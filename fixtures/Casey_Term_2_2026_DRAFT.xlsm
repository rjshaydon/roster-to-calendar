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05" codeName="{00000000-0000-0000-0000-000000000000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monashhealth.sharepoint.com/sites/MonashEDCasey-CAS-PFU-DEP-CaseyED-ALLMEDICAL/Shared Documents/Casey ED - ALL MEDICAL/Casey ED Medical Rosters/"/>
    </mc:Choice>
  </mc:AlternateContent>
  <xr:revisionPtr revIDLastSave="0" documentId="8_{4B104ABE-2692-4919-9F9F-DACB98B17B3B}" xr6:coauthVersionLast="47" xr6:coauthVersionMax="47" xr10:uidLastSave="{00000000-0000-0000-0000-000000000000}"/>
  <bookViews>
    <workbookView xWindow="0" yWindow="0" windowWidth="28800" windowHeight="12315" tabRatio="814" xr2:uid="{00000000-000D-0000-FFFF-FFFF00000000}"/>
  </bookViews>
  <sheets>
    <sheet name="May 4" sheetId="286" r:id="rId1"/>
    <sheet name="May 11" sheetId="194" r:id="rId2"/>
    <sheet name="May 18" sheetId="468" r:id="rId3"/>
    <sheet name="May 25" sheetId="470" r:id="rId4"/>
    <sheet name="Jun 1" sheetId="275" r:id="rId5"/>
    <sheet name="Jun 8" sheetId="278" r:id="rId6"/>
    <sheet name="Jun 15" sheetId="279" r:id="rId7"/>
    <sheet name="Jun 22" sheetId="280" r:id="rId8"/>
    <sheet name="Jun 29" sheetId="281" r:id="rId9"/>
    <sheet name="Jul 6" sheetId="282" r:id="rId10"/>
    <sheet name="Jul 13" sheetId="283" r:id="rId11"/>
    <sheet name="Jul 20" sheetId="284" r:id="rId12"/>
    <sheet name="Jul 27" sheetId="285" r:id="rId13"/>
    <sheet name="Personal Roster" sheetId="675" r:id="rId14"/>
    <sheet name="DayRoster" sheetId="863" r:id="rId15"/>
  </sheets>
  <externalReferences>
    <externalReference r:id="rId16"/>
  </externalReferences>
  <definedNames>
    <definedName name="_xlnm.Print_Area" localSheetId="10">'Jul 13'!$A$1:$H$147</definedName>
    <definedName name="_xlnm.Print_Area" localSheetId="11">'Jul 20'!$A$1:$H$142</definedName>
    <definedName name="_xlnm.Print_Area" localSheetId="12">'Jul 27'!$A$1:$H$140</definedName>
    <definedName name="_xlnm.Print_Area" localSheetId="9">'Jul 6'!$A$1:$H$152</definedName>
    <definedName name="_xlnm.Print_Area" localSheetId="4">'Jun 1'!$A$1:$H$140</definedName>
    <definedName name="_xlnm.Print_Area" localSheetId="6">'Jun 15'!$A$1:$H$131</definedName>
    <definedName name="_xlnm.Print_Area" localSheetId="7">'Jun 22'!$A$1:$H$142</definedName>
    <definedName name="_xlnm.Print_Area" localSheetId="8">'Jun 29'!$A$1:$H$149</definedName>
    <definedName name="_xlnm.Print_Area" localSheetId="5">'Jun 8'!$A$1:$H$140</definedName>
    <definedName name="_xlnm.Print_Area" localSheetId="1">'May 11'!$A$1:$H$139</definedName>
    <definedName name="_xlnm.Print_Area" localSheetId="2">'May 18'!$A$1:$H$135</definedName>
    <definedName name="_xlnm.Print_Area" localSheetId="3">'May 25'!$A$1:$H$127</definedName>
    <definedName name="_xlnm.Print_Area" localSheetId="0">'May 4'!$A$1:$H$137</definedName>
    <definedName name="STAFFLIST">'[1]Staff List'!$A$3:$A$30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8" i="286" l="1"/>
  <c r="X58" i="286"/>
  <c r="K58" i="286"/>
  <c r="W58" i="286"/>
  <c r="J58" i="286"/>
  <c r="V58" i="286"/>
  <c r="U58" i="286"/>
  <c r="T58" i="286"/>
  <c r="S58" i="286"/>
  <c r="R58" i="286"/>
  <c r="P58" i="286"/>
  <c r="O58" i="286"/>
  <c r="N58" i="286"/>
  <c r="M58" i="286"/>
  <c r="B62" i="194" l="1"/>
  <c r="C62" i="194"/>
  <c r="D62" i="194"/>
  <c r="E62" i="194"/>
  <c r="F62" i="194"/>
  <c r="G62" i="194"/>
  <c r="H62" i="194"/>
  <c r="Z53" i="470" l="1"/>
  <c r="Z53" i="286"/>
  <c r="S9" i="286"/>
  <c r="R10" i="286"/>
  <c r="S21" i="286"/>
  <c r="T32" i="286"/>
  <c r="U43" i="286"/>
  <c r="V54" i="286"/>
  <c r="W66" i="286"/>
  <c r="J78" i="286"/>
  <c r="K89" i="286"/>
  <c r="L100" i="286"/>
  <c r="M111" i="286"/>
  <c r="N122" i="286"/>
  <c r="M15" i="286"/>
  <c r="N26" i="286"/>
  <c r="O37" i="286"/>
  <c r="P48" i="286"/>
  <c r="R60" i="286"/>
  <c r="S71" i="286"/>
  <c r="T82" i="286"/>
  <c r="U93" i="286"/>
  <c r="V104" i="286"/>
  <c r="W115" i="286"/>
  <c r="R12" i="286"/>
  <c r="S23" i="286"/>
  <c r="T34" i="286"/>
  <c r="U45" i="286"/>
  <c r="V56" i="286"/>
  <c r="J80" i="286"/>
  <c r="L6" i="286"/>
  <c r="M17" i="286"/>
  <c r="W10" i="286"/>
  <c r="J22" i="286"/>
  <c r="K33" i="286"/>
  <c r="L44" i="286"/>
  <c r="M55" i="286"/>
  <c r="N67" i="286"/>
  <c r="O78" i="286"/>
  <c r="S5" i="286"/>
  <c r="T16" i="286"/>
  <c r="U27" i="286"/>
  <c r="V38" i="286"/>
  <c r="W49" i="286"/>
  <c r="J62" i="286"/>
  <c r="K73" i="286"/>
  <c r="L84" i="286"/>
  <c r="V12" i="286"/>
  <c r="L33" i="286"/>
  <c r="J52" i="286"/>
  <c r="K72" i="286"/>
  <c r="S90" i="286"/>
  <c r="J104" i="286"/>
  <c r="M117" i="286"/>
  <c r="O135" i="286"/>
  <c r="U14" i="286"/>
  <c r="V34" i="286"/>
  <c r="U53" i="286"/>
  <c r="V73" i="286"/>
  <c r="U91" i="286"/>
  <c r="L105" i="286"/>
  <c r="M11" i="286"/>
  <c r="T31" i="286"/>
  <c r="U50" i="286"/>
  <c r="V70" i="286"/>
  <c r="S89" i="286"/>
  <c r="K103" i="286"/>
  <c r="N116" i="286"/>
  <c r="O22" i="286"/>
  <c r="P41" i="286"/>
  <c r="N61" i="286"/>
  <c r="O80" i="286"/>
  <c r="O96" i="286"/>
  <c r="U109" i="286"/>
  <c r="R9" i="286"/>
  <c r="P30" i="286"/>
  <c r="R49" i="286"/>
  <c r="P69" i="286"/>
  <c r="P88" i="286"/>
  <c r="L102" i="286"/>
  <c r="O115" i="286"/>
  <c r="O127" i="286"/>
  <c r="P138" i="286"/>
  <c r="L91" i="286"/>
  <c r="V120" i="286"/>
  <c r="L19" i="286"/>
  <c r="R38" i="286"/>
  <c r="P57" i="286"/>
  <c r="L79" i="286"/>
  <c r="J101" i="286"/>
  <c r="R126" i="286"/>
  <c r="N24" i="286"/>
  <c r="O43" i="286"/>
  <c r="P63" i="286"/>
  <c r="O82" i="286"/>
  <c r="V97" i="286"/>
  <c r="K111" i="286"/>
  <c r="V123" i="286"/>
  <c r="W134" i="286"/>
  <c r="J146" i="286"/>
  <c r="P113" i="286"/>
  <c r="S24" i="286"/>
  <c r="R43" i="286"/>
  <c r="J65" i="286"/>
  <c r="K84" i="286"/>
  <c r="W107" i="286"/>
  <c r="T17" i="286"/>
  <c r="M37" i="286"/>
  <c r="N56" i="286"/>
  <c r="O76" i="286"/>
  <c r="R93" i="286"/>
  <c r="W106" i="286"/>
  <c r="T6" i="286"/>
  <c r="W27" i="286"/>
  <c r="J47" i="286"/>
  <c r="V66" i="286"/>
  <c r="W85" i="286"/>
  <c r="P11" i="286"/>
  <c r="R22" i="286"/>
  <c r="S33" i="286"/>
  <c r="T44" i="286"/>
  <c r="U55" i="286"/>
  <c r="V67" i="286"/>
  <c r="W78" i="286"/>
  <c r="J90" i="286"/>
  <c r="K101" i="286"/>
  <c r="L112" i="286"/>
  <c r="K5" i="286"/>
  <c r="L16" i="286"/>
  <c r="M27" i="286"/>
  <c r="N38" i="286"/>
  <c r="O49" i="286"/>
  <c r="P61" i="286"/>
  <c r="R72" i="286"/>
  <c r="S83" i="286"/>
  <c r="T94" i="286"/>
  <c r="U105" i="286"/>
  <c r="V116" i="286"/>
  <c r="P13" i="286"/>
  <c r="R24" i="286"/>
  <c r="S35" i="286"/>
  <c r="T46" i="286"/>
  <c r="U57" i="286"/>
  <c r="V69" i="286"/>
  <c r="W80" i="286"/>
  <c r="K7" i="286"/>
  <c r="L18" i="286"/>
  <c r="V11" i="286"/>
  <c r="W22" i="286"/>
  <c r="J34" i="286"/>
  <c r="K45" i="286"/>
  <c r="L56" i="286"/>
  <c r="M68" i="286"/>
  <c r="N79" i="286"/>
  <c r="R6" i="286"/>
  <c r="S17" i="286"/>
  <c r="T28" i="286"/>
  <c r="U39" i="286"/>
  <c r="V50" i="286"/>
  <c r="W62" i="286"/>
  <c r="J74" i="286"/>
  <c r="K85" i="286"/>
  <c r="T14" i="286"/>
  <c r="U34" i="286"/>
  <c r="T53" i="286"/>
  <c r="T73" i="286"/>
  <c r="T91" i="286"/>
  <c r="K105" i="286"/>
  <c r="O119" i="286"/>
  <c r="M137" i="286"/>
  <c r="S16" i="286"/>
  <c r="N36" i="286"/>
  <c r="O55" i="286"/>
  <c r="P75" i="286"/>
  <c r="J93" i="286"/>
  <c r="O108" i="286"/>
  <c r="K13" i="286"/>
  <c r="O33" i="286"/>
  <c r="O52" i="286"/>
  <c r="N72" i="286"/>
  <c r="U90" i="286"/>
  <c r="L104" i="286"/>
  <c r="O117" i="286"/>
  <c r="J24" i="286"/>
  <c r="K43" i="286"/>
  <c r="J63" i="286"/>
  <c r="J82" i="286"/>
  <c r="S97" i="286"/>
  <c r="V110" i="286"/>
  <c r="O11" i="286"/>
  <c r="K32" i="286"/>
  <c r="J51" i="286"/>
  <c r="K71" i="286"/>
  <c r="V89" i="286"/>
  <c r="M103" i="286"/>
  <c r="P116" i="286"/>
  <c r="N128" i="286"/>
  <c r="O139" i="286"/>
  <c r="O94" i="286"/>
  <c r="V122" i="286"/>
  <c r="J21" i="286"/>
  <c r="J40" i="286"/>
  <c r="K60" i="286"/>
  <c r="S80" i="286"/>
  <c r="N103" i="286"/>
  <c r="O128" i="286"/>
  <c r="J26" i="286"/>
  <c r="J45" i="286"/>
  <c r="J84" i="286"/>
  <c r="W98" i="286"/>
  <c r="N112" i="286"/>
  <c r="U124" i="286"/>
  <c r="V135" i="286"/>
  <c r="W146" i="286"/>
  <c r="S115" i="286"/>
  <c r="K26" i="286"/>
  <c r="L45" i="286"/>
  <c r="T66" i="286"/>
  <c r="T85" i="286"/>
  <c r="J109" i="286"/>
  <c r="R19" i="286"/>
  <c r="W38" i="286"/>
  <c r="W57" i="286"/>
  <c r="V77" i="286"/>
  <c r="U94" i="286"/>
  <c r="J108" i="286"/>
  <c r="R8" i="286"/>
  <c r="R29" i="286"/>
  <c r="S48" i="286"/>
  <c r="O12" i="286"/>
  <c r="P23" i="286"/>
  <c r="R34" i="286"/>
  <c r="S45" i="286"/>
  <c r="T56" i="286"/>
  <c r="V79" i="286"/>
  <c r="W90" i="286"/>
  <c r="J102" i="286"/>
  <c r="K113" i="286"/>
  <c r="J6" i="286"/>
  <c r="K17" i="286"/>
  <c r="L28" i="286"/>
  <c r="M39" i="286"/>
  <c r="N50" i="286"/>
  <c r="O62" i="286"/>
  <c r="P73" i="286"/>
  <c r="R84" i="286"/>
  <c r="S95" i="286"/>
  <c r="T106" i="286"/>
  <c r="U117" i="286"/>
  <c r="O14" i="286"/>
  <c r="P25" i="286"/>
  <c r="R36" i="286"/>
  <c r="S47" i="286"/>
  <c r="T59" i="286"/>
  <c r="U70" i="286"/>
  <c r="V81" i="286"/>
  <c r="J8" i="286"/>
  <c r="K19" i="286"/>
  <c r="U12" i="286"/>
  <c r="V23" i="286"/>
  <c r="W34" i="286"/>
  <c r="J46" i="286"/>
  <c r="K57" i="286"/>
  <c r="L69" i="286"/>
  <c r="M80" i="286"/>
  <c r="P7" i="286"/>
  <c r="R18" i="286"/>
  <c r="S29" i="286"/>
  <c r="T40" i="286"/>
  <c r="U51" i="286"/>
  <c r="V63" i="286"/>
  <c r="W74" i="286"/>
  <c r="J86" i="286"/>
  <c r="R16" i="286"/>
  <c r="M36" i="286"/>
  <c r="N55" i="286"/>
  <c r="L75" i="286"/>
  <c r="W92" i="286"/>
  <c r="L106" i="286"/>
  <c r="O120" i="286"/>
  <c r="K139" i="286"/>
  <c r="P18" i="286"/>
  <c r="J38" i="286"/>
  <c r="J57" i="286"/>
  <c r="K94" i="286"/>
  <c r="S109" i="286"/>
  <c r="W14" i="286"/>
  <c r="J35" i="286"/>
  <c r="V53" i="286"/>
  <c r="W73" i="286"/>
  <c r="J92" i="286"/>
  <c r="M105" i="286"/>
  <c r="P118" i="286"/>
  <c r="S25" i="286"/>
  <c r="R44" i="286"/>
  <c r="P83" i="286"/>
  <c r="T98" i="286"/>
  <c r="W111" i="286"/>
  <c r="M13" i="286"/>
  <c r="R33" i="286"/>
  <c r="S52" i="286"/>
  <c r="T72" i="286"/>
  <c r="K91" i="286"/>
  <c r="N104" i="286"/>
  <c r="R117" i="286"/>
  <c r="M129" i="286"/>
  <c r="N140" i="286"/>
  <c r="T96" i="286"/>
  <c r="U123" i="286"/>
  <c r="U22" i="286"/>
  <c r="T41" i="286"/>
  <c r="T61" i="286"/>
  <c r="M82" i="286"/>
  <c r="P105" i="286"/>
  <c r="O6" i="286"/>
  <c r="S27" i="286"/>
  <c r="P46" i="286"/>
  <c r="R66" i="286"/>
  <c r="S85" i="286"/>
  <c r="J100" i="286"/>
  <c r="O113" i="286"/>
  <c r="T125" i="286"/>
  <c r="U136" i="286"/>
  <c r="N60" i="286"/>
  <c r="P6" i="286"/>
  <c r="T27" i="286"/>
  <c r="U46" i="286"/>
  <c r="N68" i="286"/>
  <c r="V88" i="286"/>
  <c r="L111" i="286"/>
  <c r="O21" i="286"/>
  <c r="R40" i="286"/>
  <c r="O60" i="286"/>
  <c r="P79" i="286"/>
  <c r="V95" i="286"/>
  <c r="K109" i="286"/>
  <c r="O10" i="286"/>
  <c r="L31" i="286"/>
  <c r="K50" i="286"/>
  <c r="L70" i="286"/>
  <c r="J89" i="286"/>
  <c r="U115" i="286"/>
  <c r="U127" i="286"/>
  <c r="V138" i="286"/>
  <c r="K20" i="286"/>
  <c r="O39" i="286"/>
  <c r="N59" i="286"/>
  <c r="N78" i="286"/>
  <c r="J95" i="286"/>
  <c r="M108" i="286"/>
  <c r="N121" i="286"/>
  <c r="R132" i="286"/>
  <c r="N13" i="286"/>
  <c r="O24" i="286"/>
  <c r="M14" i="286"/>
  <c r="L15" i="286"/>
  <c r="M26" i="286"/>
  <c r="N37" i="286"/>
  <c r="O48" i="286"/>
  <c r="P60" i="286"/>
  <c r="R71" i="286"/>
  <c r="S82" i="286"/>
  <c r="T93" i="286"/>
  <c r="U104" i="286"/>
  <c r="V115" i="286"/>
  <c r="U8" i="286"/>
  <c r="V19" i="286"/>
  <c r="W30" i="286"/>
  <c r="J42" i="286"/>
  <c r="K53" i="286"/>
  <c r="L65" i="286"/>
  <c r="M76" i="286"/>
  <c r="N87" i="286"/>
  <c r="O98" i="286"/>
  <c r="P109" i="286"/>
  <c r="K6" i="286"/>
  <c r="L17" i="286"/>
  <c r="M28" i="286"/>
  <c r="N39" i="286"/>
  <c r="O50" i="286"/>
  <c r="P62" i="286"/>
  <c r="R73" i="286"/>
  <c r="S84" i="286"/>
  <c r="U10" i="286"/>
  <c r="V21" i="286"/>
  <c r="R15" i="286"/>
  <c r="S26" i="286"/>
  <c r="T37" i="286"/>
  <c r="U48" i="286"/>
  <c r="V60" i="286"/>
  <c r="W71" i="286"/>
  <c r="J83" i="286"/>
  <c r="M10" i="286"/>
  <c r="N21" i="286"/>
  <c r="O32" i="286"/>
  <c r="P43" i="286"/>
  <c r="R54" i="286"/>
  <c r="S66" i="286"/>
  <c r="T77" i="286"/>
  <c r="U88" i="286"/>
  <c r="K22" i="286"/>
  <c r="W40" i="286"/>
  <c r="J61" i="286"/>
  <c r="K80" i="286"/>
  <c r="L96" i="286"/>
  <c r="R109" i="286"/>
  <c r="N124" i="286"/>
  <c r="U23" i="286"/>
  <c r="T42" i="286"/>
  <c r="U62" i="286"/>
  <c r="S81" i="286"/>
  <c r="N97" i="286"/>
  <c r="V112" i="286"/>
  <c r="P20" i="286"/>
  <c r="T39" i="286"/>
  <c r="U59" i="286"/>
  <c r="T78" i="286"/>
  <c r="M95" i="286"/>
  <c r="S108" i="286"/>
  <c r="P9" i="286"/>
  <c r="O30" i="286"/>
  <c r="M49" i="286"/>
  <c r="N69" i="286"/>
  <c r="O88" i="286"/>
  <c r="W101" i="286"/>
  <c r="N115" i="286"/>
  <c r="U18" i="286"/>
  <c r="P38" i="286"/>
  <c r="O57" i="286"/>
  <c r="O77" i="286"/>
  <c r="N94" i="286"/>
  <c r="T107" i="286"/>
  <c r="U120" i="286"/>
  <c r="J132" i="286"/>
  <c r="K143" i="286"/>
  <c r="O104" i="286"/>
  <c r="M6" i="286"/>
  <c r="P27" i="286"/>
  <c r="O46" i="286"/>
  <c r="P66" i="286"/>
  <c r="S88" i="286"/>
  <c r="J111" i="286"/>
  <c r="W11" i="286"/>
  <c r="N32" i="286"/>
  <c r="O51" i="286"/>
  <c r="N71" i="286"/>
  <c r="L90" i="286"/>
  <c r="O103" i="286"/>
  <c r="S116" i="286"/>
  <c r="P128" i="286"/>
  <c r="R139" i="286"/>
  <c r="R94" i="286"/>
  <c r="J12" i="286"/>
  <c r="P32" i="286"/>
  <c r="P51" i="286"/>
  <c r="J73" i="286"/>
  <c r="P93" i="286"/>
  <c r="T116" i="286"/>
  <c r="L26" i="286"/>
  <c r="M45" i="286"/>
  <c r="N65" i="286"/>
  <c r="M84" i="286"/>
  <c r="K99" i="286"/>
  <c r="P112" i="286"/>
  <c r="W15" i="286"/>
  <c r="W35" i="286"/>
  <c r="U54" i="286"/>
  <c r="V74" i="286"/>
  <c r="R92" i="286"/>
  <c r="W105" i="286"/>
  <c r="L119" i="286"/>
  <c r="R130" i="286"/>
  <c r="S141" i="286"/>
  <c r="K25" i="286"/>
  <c r="J5" i="286"/>
  <c r="W5" i="286"/>
  <c r="J17" i="286"/>
  <c r="K28" i="286"/>
  <c r="L39" i="286"/>
  <c r="M50" i="286"/>
  <c r="N62" i="286"/>
  <c r="O73" i="286"/>
  <c r="P84" i="286"/>
  <c r="R95" i="286"/>
  <c r="S106" i="286"/>
  <c r="T117" i="286"/>
  <c r="S10" i="286"/>
  <c r="T21" i="286"/>
  <c r="U32" i="286"/>
  <c r="V43" i="286"/>
  <c r="W54" i="286"/>
  <c r="J67" i="286"/>
  <c r="K78" i="286"/>
  <c r="L89" i="286"/>
  <c r="M100" i="286"/>
  <c r="N111" i="286"/>
  <c r="W7" i="286"/>
  <c r="J19" i="286"/>
  <c r="K30" i="286"/>
  <c r="L41" i="286"/>
  <c r="M52" i="286"/>
  <c r="N64" i="286"/>
  <c r="O75" i="286"/>
  <c r="P86" i="286"/>
  <c r="S12" i="286"/>
  <c r="N6" i="286"/>
  <c r="O17" i="286"/>
  <c r="P28" i="286"/>
  <c r="R39" i="286"/>
  <c r="S50" i="286"/>
  <c r="T62" i="286"/>
  <c r="U73" i="286"/>
  <c r="V84" i="286"/>
  <c r="K12" i="286"/>
  <c r="L23" i="286"/>
  <c r="M34" i="286"/>
  <c r="N45" i="286"/>
  <c r="O56" i="286"/>
  <c r="P68" i="286"/>
  <c r="R79" i="286"/>
  <c r="V5" i="286"/>
  <c r="L25" i="286"/>
  <c r="M44" i="286"/>
  <c r="K64" i="286"/>
  <c r="L83" i="286"/>
  <c r="P98" i="286"/>
  <c r="T111" i="286"/>
  <c r="K127" i="286"/>
  <c r="P5" i="286"/>
  <c r="W26" i="286"/>
  <c r="W45" i="286"/>
  <c r="V65" i="286"/>
  <c r="W84" i="286"/>
  <c r="L115" i="286"/>
  <c r="W23" i="286"/>
  <c r="U42" i="286"/>
  <c r="V62" i="286"/>
  <c r="W81" i="286"/>
  <c r="R97" i="286"/>
  <c r="U110" i="286"/>
  <c r="L13" i="286"/>
  <c r="P33" i="286"/>
  <c r="R52" i="286"/>
  <c r="O72" i="286"/>
  <c r="V90" i="286"/>
  <c r="M104" i="286"/>
  <c r="P117" i="286"/>
  <c r="P22" i="286"/>
  <c r="R41" i="286"/>
  <c r="S61" i="286"/>
  <c r="R80" i="286"/>
  <c r="S96" i="286"/>
  <c r="V109" i="286"/>
  <c r="U122" i="286"/>
  <c r="V133" i="286"/>
  <c r="W144" i="286"/>
  <c r="W109" i="286"/>
  <c r="W9" i="286"/>
  <c r="S30" i="286"/>
  <c r="S49" i="286"/>
  <c r="L71" i="286"/>
  <c r="M92" i="286"/>
  <c r="P115" i="286"/>
  <c r="S15" i="286"/>
  <c r="O35" i="286"/>
  <c r="P54" i="286"/>
  <c r="R74" i="286"/>
  <c r="N92" i="286"/>
  <c r="V6" i="286"/>
  <c r="W17" i="286"/>
  <c r="J29" i="286"/>
  <c r="K40" i="286"/>
  <c r="L51" i="286"/>
  <c r="M63" i="286"/>
  <c r="N74" i="286"/>
  <c r="O85" i="286"/>
  <c r="P96" i="286"/>
  <c r="R107" i="286"/>
  <c r="S118" i="286"/>
  <c r="R11" i="286"/>
  <c r="S22" i="286"/>
  <c r="T33" i="286"/>
  <c r="U44" i="286"/>
  <c r="V55" i="286"/>
  <c r="W67" i="286"/>
  <c r="J79" i="286"/>
  <c r="K90" i="286"/>
  <c r="L101" i="286"/>
  <c r="M112" i="286"/>
  <c r="V8" i="286"/>
  <c r="W19" i="286"/>
  <c r="J31" i="286"/>
  <c r="K42" i="286"/>
  <c r="L53" i="286"/>
  <c r="M65" i="286"/>
  <c r="N76" i="286"/>
  <c r="O87" i="286"/>
  <c r="R13" i="286"/>
  <c r="M7" i="286"/>
  <c r="N18" i="286"/>
  <c r="O29" i="286"/>
  <c r="P40" i="286"/>
  <c r="R51" i="286"/>
  <c r="S63" i="286"/>
  <c r="T74" i="286"/>
  <c r="U85" i="286"/>
  <c r="J13" i="286"/>
  <c r="K24" i="286"/>
  <c r="L35" i="286"/>
  <c r="M46" i="286"/>
  <c r="N57" i="286"/>
  <c r="O69" i="286"/>
  <c r="P80" i="286"/>
  <c r="N5" i="286"/>
  <c r="U26" i="286"/>
  <c r="V45" i="286"/>
  <c r="U65" i="286"/>
  <c r="U84" i="286"/>
  <c r="U112" i="286"/>
  <c r="O7" i="286"/>
  <c r="R28" i="286"/>
  <c r="O47" i="286"/>
  <c r="P67" i="286"/>
  <c r="R86" i="286"/>
  <c r="T100" i="286"/>
  <c r="N117" i="286"/>
  <c r="R25" i="286"/>
  <c r="P44" i="286"/>
  <c r="P64" i="286"/>
  <c r="O83" i="286"/>
  <c r="S98" i="286"/>
  <c r="V111" i="286"/>
  <c r="J15" i="286"/>
  <c r="K35" i="286"/>
  <c r="L54" i="286"/>
  <c r="K74" i="286"/>
  <c r="K92" i="286"/>
  <c r="N105" i="286"/>
  <c r="R118" i="286"/>
  <c r="L24" i="286"/>
  <c r="L43" i="286"/>
  <c r="K63" i="286"/>
  <c r="L82" i="286"/>
  <c r="T97" i="286"/>
  <c r="W110" i="286"/>
  <c r="T123" i="286"/>
  <c r="U134" i="286"/>
  <c r="K112" i="286"/>
  <c r="U11" i="286"/>
  <c r="M32" i="286"/>
  <c r="K51" i="286"/>
  <c r="U72" i="286"/>
  <c r="N93" i="286"/>
  <c r="S117" i="286"/>
  <c r="P17" i="286"/>
  <c r="K37" i="286"/>
  <c r="K56" i="286"/>
  <c r="J76" i="286"/>
  <c r="O93" i="286"/>
  <c r="U106" i="286"/>
  <c r="W119" i="286"/>
  <c r="M131" i="286"/>
  <c r="N142" i="286"/>
  <c r="O102" i="286"/>
  <c r="R17" i="286"/>
  <c r="L37" i="286"/>
  <c r="M56" i="286"/>
  <c r="U77" i="286"/>
  <c r="J99" i="286"/>
  <c r="N10" i="286"/>
  <c r="K31" i="286"/>
  <c r="J50" i="286"/>
  <c r="J70" i="286"/>
  <c r="W88" i="286"/>
  <c r="P102" i="286"/>
  <c r="T115" i="286"/>
  <c r="P21" i="286"/>
  <c r="S40" i="286"/>
  <c r="T60" i="286"/>
  <c r="S79" i="286"/>
  <c r="W95" i="286"/>
  <c r="L109" i="286"/>
  <c r="L122" i="286"/>
  <c r="N133" i="286"/>
  <c r="J9" i="286"/>
  <c r="U29" i="286"/>
  <c r="V48" i="286"/>
  <c r="T68" i="286"/>
  <c r="U87" i="286"/>
  <c r="S101" i="286"/>
  <c r="V114" i="286"/>
  <c r="J127" i="286"/>
  <c r="U7" i="286"/>
  <c r="V18" i="286"/>
  <c r="W29" i="286"/>
  <c r="J41" i="286"/>
  <c r="K52" i="286"/>
  <c r="L64" i="286"/>
  <c r="M75" i="286"/>
  <c r="N86" i="286"/>
  <c r="O97" i="286"/>
  <c r="P108" i="286"/>
  <c r="R119" i="286"/>
  <c r="P12" i="286"/>
  <c r="R23" i="286"/>
  <c r="S34" i="286"/>
  <c r="T45" i="286"/>
  <c r="U56" i="286"/>
  <c r="W79" i="286"/>
  <c r="J91" i="286"/>
  <c r="K102" i="286"/>
  <c r="L113" i="286"/>
  <c r="U9" i="286"/>
  <c r="V20" i="286"/>
  <c r="W31" i="286"/>
  <c r="J43" i="286"/>
  <c r="K54" i="286"/>
  <c r="L66" i="286"/>
  <c r="M77" i="286"/>
  <c r="N88" i="286"/>
  <c r="P14" i="286"/>
  <c r="L8" i="286"/>
  <c r="M19" i="286"/>
  <c r="N30" i="286"/>
  <c r="O41" i="286"/>
  <c r="P52" i="286"/>
  <c r="R64" i="286"/>
  <c r="S75" i="286"/>
  <c r="T86" i="286"/>
  <c r="W13" i="286"/>
  <c r="J25" i="286"/>
  <c r="K36" i="286"/>
  <c r="L47" i="286"/>
  <c r="M59" i="286"/>
  <c r="N70" i="286"/>
  <c r="O81" i="286"/>
  <c r="N7" i="286"/>
  <c r="O28" i="286"/>
  <c r="N47" i="286"/>
  <c r="O67" i="286"/>
  <c r="M86" i="286"/>
  <c r="S100" i="286"/>
  <c r="V113" i="286"/>
  <c r="U130" i="286"/>
  <c r="M9" i="286"/>
  <c r="L30" i="286"/>
  <c r="K49" i="286"/>
  <c r="K69" i="286"/>
  <c r="J88" i="286"/>
  <c r="U101" i="286"/>
  <c r="R5" i="286"/>
  <c r="J27" i="286"/>
  <c r="K46" i="286"/>
  <c r="W65" i="286"/>
  <c r="J85" i="286"/>
  <c r="W112" i="286"/>
  <c r="V16" i="286"/>
  <c r="T36" i="286"/>
  <c r="S55" i="286"/>
  <c r="T75" i="286"/>
  <c r="L93" i="286"/>
  <c r="O106" i="286"/>
  <c r="T119" i="286"/>
  <c r="U25" i="286"/>
  <c r="S44" i="286"/>
  <c r="U83" i="286"/>
  <c r="U98" i="286"/>
  <c r="J112" i="286"/>
  <c r="S124" i="286"/>
  <c r="T135" i="286"/>
  <c r="U146" i="286"/>
  <c r="O114" i="286"/>
  <c r="S13" i="286"/>
  <c r="V33" i="286"/>
  <c r="U52" i="286"/>
  <c r="M74" i="286"/>
  <c r="P95" i="286"/>
  <c r="V119" i="286"/>
  <c r="N19" i="286"/>
  <c r="T38" i="286"/>
  <c r="R57" i="286"/>
  <c r="S77" i="286"/>
  <c r="P94" i="286"/>
  <c r="V107" i="286"/>
  <c r="W120" i="286"/>
  <c r="L132" i="286"/>
  <c r="M143" i="286"/>
  <c r="R104" i="286"/>
  <c r="O19" i="286"/>
  <c r="U38" i="286"/>
  <c r="V57" i="286"/>
  <c r="O79" i="286"/>
  <c r="N101" i="286"/>
  <c r="L12" i="286"/>
  <c r="R32" i="286"/>
  <c r="S51" i="286"/>
  <c r="P71" i="286"/>
  <c r="N90" i="286"/>
  <c r="R103" i="286"/>
  <c r="T8" i="286"/>
  <c r="U19" i="286"/>
  <c r="V30" i="286"/>
  <c r="W41" i="286"/>
  <c r="J53" i="286"/>
  <c r="K65" i="286"/>
  <c r="L76" i="286"/>
  <c r="M87" i="286"/>
  <c r="N98" i="286"/>
  <c r="O109" i="286"/>
  <c r="P120" i="286"/>
  <c r="O13" i="286"/>
  <c r="P24" i="286"/>
  <c r="R35" i="286"/>
  <c r="S46" i="286"/>
  <c r="T57" i="286"/>
  <c r="U69" i="286"/>
  <c r="V80" i="286"/>
  <c r="W91" i="286"/>
  <c r="J103" i="286"/>
  <c r="K114" i="286"/>
  <c r="T10" i="286"/>
  <c r="U21" i="286"/>
  <c r="V32" i="286"/>
  <c r="W43" i="286"/>
  <c r="J55" i="286"/>
  <c r="K67" i="286"/>
  <c r="L78" i="286"/>
  <c r="M89" i="286"/>
  <c r="O15" i="286"/>
  <c r="K9" i="286"/>
  <c r="L20" i="286"/>
  <c r="M31" i="286"/>
  <c r="N42" i="286"/>
  <c r="O53" i="286"/>
  <c r="P65" i="286"/>
  <c r="R76" i="286"/>
  <c r="S87" i="286"/>
  <c r="V14" i="286"/>
  <c r="W25" i="286"/>
  <c r="J37" i="286"/>
  <c r="K48" i="286"/>
  <c r="L60" i="286"/>
  <c r="M71" i="286"/>
  <c r="N82" i="286"/>
  <c r="L9" i="286"/>
  <c r="V29" i="286"/>
  <c r="W48" i="286"/>
  <c r="J69" i="286"/>
  <c r="W87" i="286"/>
  <c r="T101" i="286"/>
  <c r="K115" i="286"/>
  <c r="T131" i="286"/>
  <c r="K11" i="286"/>
  <c r="S31" i="286"/>
  <c r="T50" i="286"/>
  <c r="R70" i="286"/>
  <c r="R89" i="286"/>
  <c r="R7" i="286"/>
  <c r="S28" i="286"/>
  <c r="T47" i="286"/>
  <c r="S67" i="286"/>
  <c r="S86" i="286"/>
  <c r="U100" i="286"/>
  <c r="L114" i="286"/>
  <c r="T18" i="286"/>
  <c r="L38" i="286"/>
  <c r="M57" i="286"/>
  <c r="N77" i="286"/>
  <c r="M94" i="286"/>
  <c r="P107" i="286"/>
  <c r="U5" i="286"/>
  <c r="O27" i="286"/>
  <c r="N46" i="286"/>
  <c r="N66" i="286"/>
  <c r="M85" i="286"/>
  <c r="M113" i="286"/>
  <c r="R125" i="286"/>
  <c r="S136" i="286"/>
  <c r="K68" i="286"/>
  <c r="R116" i="286"/>
  <c r="P15" i="286"/>
  <c r="N35" i="286"/>
  <c r="O54" i="286"/>
  <c r="W75" i="286"/>
  <c r="U97" i="286"/>
  <c r="V121" i="286"/>
  <c r="L21" i="286"/>
  <c r="N40" i="286"/>
  <c r="M60" i="286"/>
  <c r="M79" i="286"/>
  <c r="T95" i="286"/>
  <c r="W108" i="286"/>
  <c r="W121" i="286"/>
  <c r="K133" i="286"/>
  <c r="L144" i="286"/>
  <c r="V106" i="286"/>
  <c r="M21" i="286"/>
  <c r="O40" i="286"/>
  <c r="W61" i="286"/>
  <c r="J81" i="286"/>
  <c r="P103" i="286"/>
  <c r="J14" i="286"/>
  <c r="L34" i="286"/>
  <c r="M53" i="286"/>
  <c r="L73" i="286"/>
  <c r="O91" i="286"/>
  <c r="S104" i="286"/>
  <c r="J118" i="286"/>
  <c r="V24" i="286"/>
  <c r="T43" i="286"/>
  <c r="U63" i="286"/>
  <c r="V82" i="286"/>
  <c r="K98" i="286"/>
  <c r="K16" i="286"/>
  <c r="W53" i="286"/>
  <c r="L88" i="286"/>
  <c r="O121" i="286"/>
  <c r="P36" i="286"/>
  <c r="T70" i="286"/>
  <c r="W103" i="286"/>
  <c r="T22" i="286"/>
  <c r="W55" i="286"/>
  <c r="M5" i="286"/>
  <c r="K21" i="286"/>
  <c r="N54" i="286"/>
  <c r="R88" i="286"/>
  <c r="W37" i="286"/>
  <c r="L72" i="286"/>
  <c r="R31" i="286"/>
  <c r="P89" i="286"/>
  <c r="R133" i="286"/>
  <c r="N52" i="286"/>
  <c r="K104" i="286"/>
  <c r="L49" i="286"/>
  <c r="V101" i="286"/>
  <c r="V39" i="286"/>
  <c r="N95" i="286"/>
  <c r="V28" i="286"/>
  <c r="V86" i="286"/>
  <c r="P126" i="286"/>
  <c r="V118" i="286"/>
  <c r="J56" i="286"/>
  <c r="T124" i="286"/>
  <c r="V61" i="286"/>
  <c r="R105" i="286"/>
  <c r="V13" i="286"/>
  <c r="R63" i="286"/>
  <c r="R114" i="286"/>
  <c r="N48" i="286"/>
  <c r="W96" i="286"/>
  <c r="K14" i="286"/>
  <c r="N53" i="286"/>
  <c r="R87" i="286"/>
  <c r="K108" i="286"/>
  <c r="J125" i="286"/>
  <c r="U139" i="286"/>
  <c r="N28" i="286"/>
  <c r="W51" i="286"/>
  <c r="K75" i="286"/>
  <c r="K96" i="286"/>
  <c r="S111" i="286"/>
  <c r="K126" i="286"/>
  <c r="J139" i="286"/>
  <c r="J128" i="286"/>
  <c r="U6" i="286"/>
  <c r="N129" i="286"/>
  <c r="T29" i="286"/>
  <c r="R146" i="286"/>
  <c r="L50" i="286"/>
  <c r="V71" i="286"/>
  <c r="R134" i="286"/>
  <c r="S120" i="286"/>
  <c r="J141" i="286"/>
  <c r="T120" i="286"/>
  <c r="K141" i="286"/>
  <c r="V142" i="286"/>
  <c r="L145" i="286"/>
  <c r="V124" i="286"/>
  <c r="O138" i="286"/>
  <c r="O118" i="286"/>
  <c r="T139" i="286"/>
  <c r="M121" i="286"/>
  <c r="P141" i="286"/>
  <c r="R140" i="286"/>
  <c r="W63" i="286"/>
  <c r="U133" i="286"/>
  <c r="O84" i="286"/>
  <c r="R135" i="286"/>
  <c r="X134" i="286"/>
  <c r="X146" i="286"/>
  <c r="V136" i="286"/>
  <c r="K121" i="286"/>
  <c r="M123" i="286"/>
  <c r="N146" i="286"/>
  <c r="W82" i="286"/>
  <c r="O99" i="286"/>
  <c r="K137" i="286"/>
  <c r="N27" i="286"/>
  <c r="J23" i="286"/>
  <c r="P91" i="286"/>
  <c r="L55" i="286"/>
  <c r="U113" i="286"/>
  <c r="S132" i="286"/>
  <c r="P132" i="286"/>
  <c r="N89" i="286"/>
  <c r="R124" i="286"/>
  <c r="L146" i="286"/>
  <c r="K123" i="286"/>
  <c r="L131" i="286"/>
  <c r="O143" i="286"/>
  <c r="N29" i="286"/>
  <c r="K134" i="286"/>
  <c r="N126" i="286"/>
  <c r="O137" i="286"/>
  <c r="W138" i="286"/>
  <c r="J30" i="286"/>
  <c r="U119" i="286"/>
  <c r="T104" i="286"/>
  <c r="U125" i="286"/>
  <c r="R143" i="286"/>
  <c r="P45" i="286"/>
  <c r="T20" i="286"/>
  <c r="S57" i="286"/>
  <c r="V91" i="286"/>
  <c r="W6" i="286"/>
  <c r="L40" i="286"/>
  <c r="O74" i="286"/>
  <c r="S107" i="286"/>
  <c r="O26" i="286"/>
  <c r="S60" i="286"/>
  <c r="W8" i="286"/>
  <c r="U24" i="286"/>
  <c r="J59" i="286"/>
  <c r="O8" i="286"/>
  <c r="S41" i="286"/>
  <c r="V75" i="286"/>
  <c r="V37" i="286"/>
  <c r="J94" i="286"/>
  <c r="V141" i="286"/>
  <c r="P59" i="286"/>
  <c r="T110" i="286"/>
  <c r="R55" i="286"/>
  <c r="N106" i="286"/>
  <c r="L46" i="286"/>
  <c r="M35" i="286"/>
  <c r="L92" i="286"/>
  <c r="L130" i="286"/>
  <c r="S125" i="286"/>
  <c r="L63" i="286"/>
  <c r="M8" i="286"/>
  <c r="L68" i="286"/>
  <c r="J110" i="286"/>
  <c r="S138" i="286"/>
  <c r="T15" i="286"/>
  <c r="W69" i="286"/>
  <c r="S6" i="286"/>
  <c r="T54" i="286"/>
  <c r="J98" i="286"/>
  <c r="U17" i="286"/>
  <c r="P56" i="286"/>
  <c r="O90" i="286"/>
  <c r="M110" i="286"/>
  <c r="W125" i="286"/>
  <c r="T140" i="286"/>
  <c r="O31" i="286"/>
  <c r="R53" i="286"/>
  <c r="T76" i="286"/>
  <c r="L97" i="286"/>
  <c r="T112" i="286"/>
  <c r="W127" i="286"/>
  <c r="W139" i="286"/>
  <c r="V129" i="286"/>
  <c r="J28" i="286"/>
  <c r="W130" i="286"/>
  <c r="T48" i="286"/>
  <c r="M145" i="286"/>
  <c r="M70" i="286"/>
  <c r="P90" i="286"/>
  <c r="J136" i="286"/>
  <c r="S122" i="286"/>
  <c r="P142" i="286"/>
  <c r="T122" i="286"/>
  <c r="S142" i="286"/>
  <c r="N141" i="286"/>
  <c r="J143" i="286"/>
  <c r="P135" i="286"/>
  <c r="X129" i="286"/>
  <c r="T25" i="286"/>
  <c r="P8" i="286"/>
  <c r="P111" i="286"/>
  <c r="J33" i="286"/>
  <c r="M98" i="286"/>
  <c r="V140" i="286"/>
  <c r="T103" i="286"/>
  <c r="W143" i="286"/>
  <c r="M62" i="286"/>
  <c r="U144" i="286"/>
  <c r="O144" i="286"/>
  <c r="L98" i="286"/>
  <c r="X141" i="286"/>
  <c r="V15" i="286"/>
  <c r="U141" i="286"/>
  <c r="O145" i="286"/>
  <c r="N144" i="286"/>
  <c r="R138" i="286"/>
  <c r="M16" i="286"/>
  <c r="P78" i="286"/>
  <c r="M41" i="286"/>
  <c r="U86" i="286"/>
  <c r="U49" i="286"/>
  <c r="S105" i="286"/>
  <c r="O45" i="286"/>
  <c r="M124" i="286"/>
  <c r="N138" i="286"/>
  <c r="N25" i="286"/>
  <c r="R59" i="286"/>
  <c r="U92" i="286"/>
  <c r="V7" i="286"/>
  <c r="K41" i="286"/>
  <c r="N75" i="286"/>
  <c r="R108" i="286"/>
  <c r="R61" i="286"/>
  <c r="V9" i="286"/>
  <c r="W59" i="286"/>
  <c r="N9" i="286"/>
  <c r="R42" i="286"/>
  <c r="P39" i="286"/>
  <c r="K95" i="286"/>
  <c r="T143" i="286"/>
  <c r="L61" i="286"/>
  <c r="U111" i="286"/>
  <c r="L57" i="286"/>
  <c r="O107" i="286"/>
  <c r="U47" i="286"/>
  <c r="V100" i="286"/>
  <c r="V36" i="286"/>
  <c r="M93" i="286"/>
  <c r="K131" i="286"/>
  <c r="P127" i="286"/>
  <c r="K10" i="286"/>
  <c r="S69" i="286"/>
  <c r="P114" i="286"/>
  <c r="P140" i="286"/>
  <c r="O71" i="286"/>
  <c r="K62" i="286"/>
  <c r="N100" i="286"/>
  <c r="S19" i="286"/>
  <c r="K59" i="286"/>
  <c r="V126" i="286"/>
  <c r="R142" i="286"/>
  <c r="U79" i="286"/>
  <c r="K47" i="286"/>
  <c r="S8" i="286"/>
  <c r="P124" i="286"/>
  <c r="K144" i="286"/>
  <c r="U131" i="286"/>
  <c r="K125" i="286"/>
  <c r="S112" i="286"/>
  <c r="T63" i="286"/>
  <c r="U129" i="286"/>
  <c r="T87" i="286"/>
  <c r="N145" i="286"/>
  <c r="M133" i="286"/>
  <c r="W126" i="286"/>
  <c r="S119" i="286"/>
  <c r="T83" i="286"/>
  <c r="K38" i="286"/>
  <c r="N130" i="286"/>
  <c r="M81" i="286"/>
  <c r="P122" i="286"/>
  <c r="J106" i="286"/>
  <c r="M109" i="286"/>
  <c r="L27" i="286"/>
  <c r="O61" i="286"/>
  <c r="S94" i="286"/>
  <c r="T9" i="286"/>
  <c r="W42" i="286"/>
  <c r="L77" i="286"/>
  <c r="O110" i="286"/>
  <c r="L29" i="286"/>
  <c r="O63" i="286"/>
  <c r="T11" i="286"/>
  <c r="R27" i="286"/>
  <c r="U61" i="286"/>
  <c r="L11" i="286"/>
  <c r="O44" i="286"/>
  <c r="S78" i="286"/>
  <c r="S42" i="286"/>
  <c r="M97" i="286"/>
  <c r="M106" i="286"/>
  <c r="O64" i="286"/>
  <c r="W113" i="286"/>
  <c r="M61" i="286"/>
  <c r="T109" i="286"/>
  <c r="W50" i="286"/>
  <c r="L103" i="286"/>
  <c r="W39" i="286"/>
  <c r="O95" i="286"/>
  <c r="W132" i="286"/>
  <c r="K8" i="286"/>
  <c r="R69" i="286"/>
  <c r="U13" i="286"/>
  <c r="W72" i="286"/>
  <c r="R115" i="286"/>
  <c r="O141" i="286"/>
  <c r="O101" i="286"/>
  <c r="M23" i="286"/>
  <c r="L62" i="286"/>
  <c r="S93" i="286"/>
  <c r="R112" i="286"/>
  <c r="L7" i="286"/>
  <c r="P34" i="286"/>
  <c r="S56" i="286"/>
  <c r="P81" i="286"/>
  <c r="P99" i="286"/>
  <c r="K116" i="286"/>
  <c r="L67" i="286"/>
  <c r="R101" i="286"/>
  <c r="M139" i="286"/>
  <c r="M119" i="286"/>
  <c r="W124" i="286"/>
  <c r="R111" i="286"/>
  <c r="S14" i="286"/>
  <c r="M96" i="286"/>
  <c r="N102" i="286"/>
  <c r="L123" i="286"/>
  <c r="P146" i="286"/>
  <c r="S130" i="286"/>
  <c r="U31" i="286"/>
  <c r="J66" i="286"/>
  <c r="M99" i="286"/>
  <c r="N14" i="286"/>
  <c r="R47" i="286"/>
  <c r="U81" i="286"/>
  <c r="J115" i="286"/>
  <c r="U33" i="286"/>
  <c r="J68" i="286"/>
  <c r="N16" i="286"/>
  <c r="L32" i="286"/>
  <c r="O66" i="286"/>
  <c r="U15" i="286"/>
  <c r="J49" i="286"/>
  <c r="M83" i="286"/>
  <c r="R50" i="286"/>
  <c r="W12" i="286"/>
  <c r="M72" i="286"/>
  <c r="O9" i="286"/>
  <c r="M69" i="286"/>
  <c r="M115" i="286"/>
  <c r="V59" i="286"/>
  <c r="T108" i="286"/>
  <c r="W47" i="286"/>
  <c r="W100" i="286"/>
  <c r="N17" i="286"/>
  <c r="R77" i="286"/>
  <c r="V22" i="286"/>
  <c r="T80" i="286"/>
  <c r="V117" i="286"/>
  <c r="K145" i="286"/>
  <c r="U30" i="286"/>
  <c r="K76" i="286"/>
  <c r="K23" i="286"/>
  <c r="U66" i="286"/>
  <c r="V105" i="286"/>
  <c r="P26" i="286"/>
  <c r="O65" i="286"/>
  <c r="V94" i="286"/>
  <c r="S113" i="286"/>
  <c r="S129" i="286"/>
  <c r="V10" i="286"/>
  <c r="L36" i="286"/>
  <c r="W60" i="286"/>
  <c r="K83" i="286"/>
  <c r="R100" i="286"/>
  <c r="L117" i="286"/>
  <c r="T130" i="286"/>
  <c r="T142" i="286"/>
  <c r="N136" i="286"/>
  <c r="K86" i="286"/>
  <c r="S135" i="286"/>
  <c r="U114" i="286"/>
  <c r="K122" i="286"/>
  <c r="J116" i="286"/>
  <c r="R120" i="286"/>
  <c r="U140" i="286"/>
  <c r="L128" i="286"/>
  <c r="T146" i="286"/>
  <c r="M128" i="286"/>
  <c r="V146" i="286"/>
  <c r="P123" i="286"/>
  <c r="L139" i="286"/>
  <c r="P136" i="286"/>
  <c r="W135" i="286"/>
  <c r="U126" i="286"/>
  <c r="O42" i="286"/>
  <c r="S146" i="286"/>
  <c r="P119" i="286"/>
  <c r="L140" i="286"/>
  <c r="T121" i="286"/>
  <c r="U132" i="286"/>
  <c r="X138" i="286"/>
  <c r="O131" i="286"/>
  <c r="L141" i="286"/>
  <c r="U40" i="286"/>
  <c r="R121" i="286"/>
  <c r="N143" i="286"/>
  <c r="X131" i="286"/>
  <c r="P53" i="286"/>
  <c r="V131" i="286"/>
  <c r="O125" i="286"/>
  <c r="X133" i="286"/>
  <c r="L120" i="286"/>
  <c r="U142" i="286"/>
  <c r="K142" i="286"/>
  <c r="J75" i="286"/>
  <c r="T79" i="286"/>
  <c r="M127" i="286"/>
  <c r="X135" i="286"/>
  <c r="P97" i="286"/>
  <c r="W16" i="286"/>
  <c r="S43" i="286"/>
  <c r="J72" i="286"/>
  <c r="N131" i="286"/>
  <c r="L143" i="286"/>
  <c r="P35" i="286"/>
  <c r="T69" i="286"/>
  <c r="J18" i="286"/>
  <c r="M51" i="286"/>
  <c r="P85" i="286"/>
  <c r="T118" i="286"/>
  <c r="P37" i="286"/>
  <c r="T71" i="286"/>
  <c r="J20" i="286"/>
  <c r="V35" i="286"/>
  <c r="K70" i="286"/>
  <c r="P19" i="286"/>
  <c r="T52" i="286"/>
  <c r="W86" i="286"/>
  <c r="W56" i="286"/>
  <c r="M107" i="286"/>
  <c r="N20" i="286"/>
  <c r="R78" i="286"/>
  <c r="U16" i="286"/>
  <c r="R75" i="286"/>
  <c r="T5" i="286"/>
  <c r="M66" i="286"/>
  <c r="J113" i="286"/>
  <c r="M54" i="286"/>
  <c r="O105" i="286"/>
  <c r="M141" i="286"/>
  <c r="M24" i="286"/>
  <c r="V83" i="286"/>
  <c r="M29" i="286"/>
  <c r="K87" i="286"/>
  <c r="W118" i="286"/>
  <c r="L87" i="286"/>
  <c r="K34" i="286"/>
  <c r="P82" i="286"/>
  <c r="T24" i="286"/>
  <c r="O68" i="286"/>
  <c r="L110" i="286"/>
  <c r="S32" i="286"/>
  <c r="R68" i="286"/>
  <c r="J97" i="286"/>
  <c r="T114" i="286"/>
  <c r="P131" i="286"/>
  <c r="T12" i="286"/>
  <c r="U37" i="286"/>
  <c r="R62" i="286"/>
  <c r="T84" i="286"/>
  <c r="M118" i="286"/>
  <c r="S131" i="286"/>
  <c r="S143" i="286"/>
  <c r="L138" i="286"/>
  <c r="P100" i="286"/>
  <c r="N137" i="286"/>
  <c r="K120" i="286"/>
  <c r="V125" i="286"/>
  <c r="M120" i="286"/>
  <c r="R122" i="286"/>
  <c r="L14" i="286"/>
  <c r="W129" i="286"/>
  <c r="J16" i="286"/>
  <c r="J130" i="286"/>
  <c r="R56" i="286"/>
  <c r="J129" i="286"/>
  <c r="O142" i="286"/>
  <c r="J138" i="286"/>
  <c r="V143" i="286"/>
  <c r="R21" i="286"/>
  <c r="O130" i="286"/>
  <c r="K97" i="286"/>
  <c r="W141" i="286"/>
  <c r="S121" i="286"/>
  <c r="T141" i="286"/>
  <c r="S123" i="286"/>
  <c r="M142" i="286"/>
  <c r="L86" i="286"/>
  <c r="O34" i="286"/>
  <c r="T133" i="286"/>
  <c r="T19" i="286"/>
  <c r="W131" i="286"/>
  <c r="R123" i="286"/>
  <c r="X140" i="286"/>
  <c r="M126" i="286"/>
  <c r="M144" i="286"/>
  <c r="L127" i="286"/>
  <c r="T144" i="286"/>
  <c r="P76" i="286"/>
  <c r="J122" i="286"/>
  <c r="N73" i="286"/>
  <c r="P144" i="286"/>
  <c r="O133" i="286"/>
  <c r="K146" i="286"/>
  <c r="T81" i="286"/>
  <c r="V108" i="286"/>
  <c r="J137" i="286"/>
  <c r="P10" i="286"/>
  <c r="K107" i="286"/>
  <c r="N132" i="286"/>
  <c r="O36" i="286"/>
  <c r="S70" i="286"/>
  <c r="V103" i="286"/>
  <c r="W18" i="286"/>
  <c r="L52" i="286"/>
  <c r="O86" i="286"/>
  <c r="L5" i="286"/>
  <c r="O38" i="286"/>
  <c r="S72" i="286"/>
  <c r="W20" i="286"/>
  <c r="U36" i="286"/>
  <c r="J71" i="286"/>
  <c r="O20" i="286"/>
  <c r="S53" i="286"/>
  <c r="V87" i="286"/>
  <c r="O59" i="286"/>
  <c r="N108" i="286"/>
  <c r="L22" i="286"/>
  <c r="L80" i="286"/>
  <c r="S18" i="286"/>
  <c r="J77" i="286"/>
  <c r="S7" i="286"/>
  <c r="T67" i="286"/>
  <c r="M114" i="286"/>
  <c r="T55" i="286"/>
  <c r="P106" i="286"/>
  <c r="L142" i="286"/>
  <c r="V25" i="286"/>
  <c r="N85" i="286"/>
  <c r="T30" i="286"/>
  <c r="T88" i="286"/>
  <c r="W122" i="286"/>
  <c r="O92" i="286"/>
  <c r="T35" i="286"/>
  <c r="M90" i="286"/>
  <c r="V27" i="286"/>
  <c r="U74" i="286"/>
  <c r="O111" i="286"/>
  <c r="N34" i="286"/>
  <c r="U71" i="286"/>
  <c r="L99" i="286"/>
  <c r="J117" i="286"/>
  <c r="O132" i="286"/>
  <c r="R14" i="286"/>
  <c r="V40" i="286"/>
  <c r="J64" i="286"/>
  <c r="U103" i="286"/>
  <c r="N119" i="286"/>
  <c r="P133" i="286"/>
  <c r="R144" i="286"/>
  <c r="J140" i="286"/>
  <c r="T113" i="286"/>
  <c r="U138" i="286"/>
  <c r="J124" i="286"/>
  <c r="J131" i="286"/>
  <c r="M122" i="286"/>
  <c r="O124" i="286"/>
  <c r="J36" i="286"/>
  <c r="R131" i="286"/>
  <c r="L118" i="286"/>
  <c r="V17" i="286"/>
  <c r="M130" i="286"/>
  <c r="V127" i="286"/>
  <c r="P125" i="286"/>
  <c r="K55" i="286"/>
  <c r="S133" i="286"/>
  <c r="K44" i="286"/>
  <c r="S134" i="286"/>
  <c r="R141" i="286"/>
  <c r="V47" i="286"/>
  <c r="L137" i="286"/>
  <c r="M38" i="286"/>
  <c r="P72" i="286"/>
  <c r="T105" i="286"/>
  <c r="U20" i="286"/>
  <c r="J54" i="286"/>
  <c r="M88" i="286"/>
  <c r="J7" i="286"/>
  <c r="M40" i="286"/>
  <c r="P74" i="286"/>
  <c r="O5" i="286"/>
  <c r="S38" i="286"/>
  <c r="V72" i="286"/>
  <c r="M22" i="286"/>
  <c r="P55" i="286"/>
  <c r="T89" i="286"/>
  <c r="S62" i="286"/>
  <c r="S110" i="286"/>
  <c r="M25" i="286"/>
  <c r="N83" i="286"/>
  <c r="N22" i="286"/>
  <c r="N80" i="286"/>
  <c r="N11" i="286"/>
  <c r="W70" i="286"/>
  <c r="O116" i="286"/>
  <c r="J60" i="286"/>
  <c r="U108" i="286"/>
  <c r="J144" i="286"/>
  <c r="W28" i="286"/>
  <c r="W89" i="286"/>
  <c r="W33" i="286"/>
  <c r="M91" i="286"/>
  <c r="S126" i="286"/>
  <c r="V96" i="286"/>
  <c r="V41" i="286"/>
  <c r="N91" i="286"/>
  <c r="P29" i="286"/>
  <c r="K81" i="286"/>
  <c r="R113" i="286"/>
  <c r="R37" i="286"/>
  <c r="M73" i="286"/>
  <c r="O100" i="286"/>
  <c r="K118" i="286"/>
  <c r="M134" i="286"/>
  <c r="O16" i="286"/>
  <c r="P42" i="286"/>
  <c r="S65" i="286"/>
  <c r="O89" i="286"/>
  <c r="J105" i="286"/>
  <c r="N120" i="286"/>
  <c r="O134" i="286"/>
  <c r="P145" i="286"/>
  <c r="W140" i="286"/>
  <c r="J120" i="286"/>
  <c r="O140" i="286"/>
  <c r="T127" i="286"/>
  <c r="U135" i="286"/>
  <c r="R129" i="286"/>
  <c r="J133" i="286"/>
  <c r="L133" i="286"/>
  <c r="J123" i="286"/>
  <c r="K140" i="286"/>
  <c r="S37" i="286"/>
  <c r="K39" i="286"/>
  <c r="U60" i="286"/>
  <c r="N81" i="286"/>
  <c r="N127" i="286"/>
  <c r="L135" i="286"/>
  <c r="N135" i="286"/>
  <c r="J142" i="286"/>
  <c r="S140" i="286"/>
  <c r="T134" i="286"/>
  <c r="N23" i="286"/>
  <c r="K135" i="286"/>
  <c r="L129" i="286"/>
  <c r="W114" i="286"/>
  <c r="M102" i="286"/>
  <c r="O23" i="286"/>
  <c r="V144" i="286"/>
  <c r="V134" i="286"/>
  <c r="W24" i="286"/>
  <c r="V42" i="286"/>
  <c r="K77" i="286"/>
  <c r="N110" i="286"/>
  <c r="O25" i="286"/>
  <c r="S59" i="286"/>
  <c r="V92" i="286"/>
  <c r="S11" i="286"/>
  <c r="V44" i="286"/>
  <c r="K79" i="286"/>
  <c r="J10" i="286"/>
  <c r="M43" i="286"/>
  <c r="P77" i="286"/>
  <c r="V26" i="286"/>
  <c r="K61" i="286"/>
  <c r="J11" i="286"/>
  <c r="P70" i="286"/>
  <c r="L116" i="286"/>
  <c r="M33" i="286"/>
  <c r="T90" i="286"/>
  <c r="M30" i="286"/>
  <c r="K88" i="286"/>
  <c r="R20" i="286"/>
  <c r="U78" i="286"/>
  <c r="T7" i="286"/>
  <c r="U67" i="286"/>
  <c r="N114" i="286"/>
  <c r="J87" i="286"/>
  <c r="W36" i="286"/>
  <c r="U41" i="286"/>
  <c r="U96" i="286"/>
  <c r="R127" i="286"/>
  <c r="K100" i="286"/>
  <c r="M48" i="286"/>
  <c r="U95" i="286"/>
  <c r="U35" i="286"/>
  <c r="R82" i="286"/>
  <c r="S114" i="286"/>
  <c r="J39" i="286"/>
  <c r="P101" i="286"/>
  <c r="M18" i="286"/>
  <c r="M67" i="286"/>
  <c r="R90" i="286"/>
  <c r="K106" i="286"/>
  <c r="O122" i="286"/>
  <c r="O146" i="286"/>
  <c r="P129" i="286"/>
  <c r="K128" i="286"/>
  <c r="T126" i="286"/>
  <c r="L59" i="286"/>
  <c r="K132" i="286"/>
  <c r="X142" i="286"/>
  <c r="M64" i="286"/>
  <c r="U75" i="286"/>
  <c r="P87" i="286"/>
  <c r="N109" i="286"/>
  <c r="W104" i="286"/>
  <c r="R136" i="286"/>
  <c r="R46" i="286"/>
  <c r="U80" i="286"/>
  <c r="J114" i="286"/>
  <c r="K29" i="286"/>
  <c r="N63" i="286"/>
  <c r="R96" i="286"/>
  <c r="N15" i="286"/>
  <c r="R48" i="286"/>
  <c r="U82" i="286"/>
  <c r="T13" i="286"/>
  <c r="W46" i="286"/>
  <c r="L81" i="286"/>
  <c r="R30" i="286"/>
  <c r="O18" i="286"/>
  <c r="P121" i="286"/>
  <c r="S39" i="286"/>
  <c r="L95" i="286"/>
  <c r="S36" i="286"/>
  <c r="K93" i="286"/>
  <c r="K27" i="286"/>
  <c r="L85" i="286"/>
  <c r="K15" i="286"/>
  <c r="L74" i="286"/>
  <c r="U118" i="286"/>
  <c r="V98" i="286"/>
  <c r="N43" i="286"/>
  <c r="U107" i="286"/>
  <c r="L48" i="286"/>
  <c r="M101" i="286"/>
  <c r="O129" i="286"/>
  <c r="K110" i="286"/>
  <c r="V49" i="286"/>
  <c r="W97" i="286"/>
  <c r="L42" i="286"/>
  <c r="V85" i="286"/>
  <c r="W116" i="286"/>
  <c r="M42" i="286"/>
  <c r="W77" i="286"/>
  <c r="S103" i="286"/>
  <c r="L121" i="286"/>
  <c r="K136" i="286"/>
  <c r="W21" i="286"/>
  <c r="R45" i="286"/>
  <c r="O70" i="286"/>
  <c r="S91" i="286"/>
  <c r="L107" i="286"/>
  <c r="N123" i="286"/>
  <c r="M136" i="286"/>
  <c r="N118" i="286"/>
  <c r="S144" i="286"/>
  <c r="W123" i="286"/>
  <c r="P143" i="286"/>
  <c r="L134" i="286"/>
  <c r="N134" i="286"/>
  <c r="N12" i="286"/>
  <c r="T129" i="286"/>
  <c r="R91" i="286"/>
  <c r="L136" i="286"/>
  <c r="S92" i="286"/>
  <c r="O136" i="286"/>
  <c r="K130" i="286"/>
  <c r="M140" i="286"/>
  <c r="V93" i="286"/>
  <c r="P110" i="286"/>
  <c r="M78" i="286"/>
  <c r="J135" i="286"/>
  <c r="J96" i="286"/>
  <c r="T136" i="286"/>
  <c r="M135" i="286"/>
  <c r="L124" i="286"/>
  <c r="K129" i="286"/>
  <c r="R26" i="286"/>
  <c r="V130" i="286"/>
  <c r="X136" i="286"/>
  <c r="X143" i="286"/>
  <c r="P47" i="286"/>
  <c r="K82" i="286"/>
  <c r="P31" i="286"/>
  <c r="T65" i="286"/>
  <c r="M20" i="286"/>
  <c r="O123" i="286"/>
  <c r="L94" i="286"/>
  <c r="W44" i="286"/>
  <c r="W52" i="286"/>
  <c r="K119" i="286"/>
  <c r="T92" i="286"/>
  <c r="W32" i="286"/>
  <c r="N125" i="286"/>
  <c r="X139" i="286"/>
  <c r="N49" i="286"/>
  <c r="R83" i="286"/>
  <c r="U116" i="286"/>
  <c r="V31" i="286"/>
  <c r="K66" i="286"/>
  <c r="N99" i="286"/>
  <c r="K18" i="286"/>
  <c r="N51" i="286"/>
  <c r="R85" i="286"/>
  <c r="P16" i="286"/>
  <c r="T49" i="286"/>
  <c r="W83" i="286"/>
  <c r="N33" i="286"/>
  <c r="R67" i="286"/>
  <c r="T23" i="286"/>
  <c r="R81" i="286"/>
  <c r="L126" i="286"/>
  <c r="N44" i="286"/>
  <c r="R98" i="286"/>
  <c r="N41" i="286"/>
  <c r="N96" i="286"/>
  <c r="J32" i="286"/>
  <c r="U89" i="286"/>
  <c r="S20" i="286"/>
  <c r="V78" i="286"/>
  <c r="U121" i="286"/>
  <c r="R106" i="286"/>
  <c r="J48" i="286"/>
  <c r="N113" i="286"/>
  <c r="V52" i="286"/>
  <c r="P104" i="286"/>
  <c r="J134" i="286"/>
  <c r="L10" i="286"/>
  <c r="S54" i="286"/>
  <c r="O112" i="286"/>
  <c r="V46" i="286"/>
  <c r="P92" i="286"/>
  <c r="M12" i="286"/>
  <c r="T51" i="286"/>
  <c r="N84" i="286"/>
  <c r="J107" i="286"/>
  <c r="K124" i="286"/>
  <c r="T26" i="286"/>
  <c r="P50" i="286"/>
  <c r="S73" i="286"/>
  <c r="W93" i="286"/>
  <c r="R110" i="286"/>
  <c r="L125" i="286"/>
  <c r="K138" i="286"/>
  <c r="M125" i="286"/>
  <c r="N107" i="286"/>
  <c r="S127" i="286"/>
  <c r="M146" i="286"/>
  <c r="P137" i="286"/>
  <c r="N31" i="286"/>
  <c r="V51" i="286"/>
  <c r="V132" i="286"/>
  <c r="K117" i="286"/>
  <c r="N139" i="286"/>
  <c r="W117" i="286"/>
  <c r="P139" i="286"/>
  <c r="S139" i="286"/>
  <c r="J126" i="286"/>
  <c r="J121" i="286"/>
  <c r="P130" i="286"/>
  <c r="L108" i="286"/>
  <c r="M138" i="286"/>
  <c r="J119" i="286"/>
  <c r="V139" i="286"/>
  <c r="T138" i="286"/>
  <c r="J44" i="286"/>
  <c r="M132" i="286"/>
  <c r="R65" i="286"/>
  <c r="W133" i="286"/>
  <c r="X132" i="286"/>
  <c r="X130" i="286"/>
  <c r="W142" i="286"/>
  <c r="W136" i="286"/>
  <c r="S74" i="286"/>
  <c r="P134" i="286"/>
  <c r="M116" i="286"/>
  <c r="O126" i="286"/>
  <c r="T132" i="286"/>
  <c r="U143" i="286"/>
  <c r="X144" i="286"/>
  <c r="P49" i="286"/>
  <c r="U28" i="286"/>
  <c r="N8" i="286"/>
  <c r="M47" i="286"/>
  <c r="J145" i="286"/>
  <c r="W94" i="286"/>
  <c r="H141" i="285" l="1"/>
  <c r="G141" i="285"/>
  <c r="F141" i="285"/>
  <c r="E141" i="285"/>
  <c r="D141" i="285"/>
  <c r="C141" i="285"/>
  <c r="B141" i="285"/>
  <c r="Z136" i="285"/>
  <c r="H127" i="285"/>
  <c r="G127" i="285"/>
  <c r="F127" i="285"/>
  <c r="E127" i="285"/>
  <c r="D127" i="285"/>
  <c r="C127" i="285"/>
  <c r="B127" i="285"/>
  <c r="Z101" i="285"/>
  <c r="H101" i="285"/>
  <c r="H136" i="285" s="1"/>
  <c r="H139" i="285" s="1"/>
  <c r="G101" i="285"/>
  <c r="G136" i="285" s="1"/>
  <c r="G139" i="285" s="1"/>
  <c r="F101" i="285"/>
  <c r="F136" i="285" s="1"/>
  <c r="F139" i="285" s="1"/>
  <c r="E101" i="285"/>
  <c r="E136" i="285" s="1"/>
  <c r="E139" i="285" s="1"/>
  <c r="D101" i="285"/>
  <c r="D136" i="285" s="1"/>
  <c r="D139" i="285" s="1"/>
  <c r="C101" i="285"/>
  <c r="C136" i="285" s="1"/>
  <c r="C139" i="285" s="1"/>
  <c r="B101" i="285"/>
  <c r="B136" i="285" s="1"/>
  <c r="B139" i="285" s="1"/>
  <c r="Z98" i="285"/>
  <c r="H98" i="285"/>
  <c r="G98" i="285"/>
  <c r="F98" i="285"/>
  <c r="E98" i="285"/>
  <c r="D98" i="285"/>
  <c r="C98" i="285"/>
  <c r="B98" i="285"/>
  <c r="Z75" i="285"/>
  <c r="B75" i="285"/>
  <c r="Z67" i="285"/>
  <c r="H67" i="285"/>
  <c r="H75" i="285" s="1"/>
  <c r="G67" i="285"/>
  <c r="G75" i="285" s="1"/>
  <c r="F67" i="285"/>
  <c r="F75" i="285" s="1"/>
  <c r="E67" i="285"/>
  <c r="E75" i="285" s="1"/>
  <c r="C67" i="285"/>
  <c r="C75" i="285" s="1"/>
  <c r="B67" i="285"/>
  <c r="Z63" i="285"/>
  <c r="H63" i="285"/>
  <c r="G63" i="285"/>
  <c r="F63" i="285"/>
  <c r="E63" i="285"/>
  <c r="D63" i="285"/>
  <c r="C63" i="285"/>
  <c r="B63" i="285"/>
  <c r="H54" i="285"/>
  <c r="G54" i="285"/>
  <c r="F54" i="285"/>
  <c r="E54" i="285"/>
  <c r="D54" i="285"/>
  <c r="C54" i="285"/>
  <c r="B54" i="285"/>
  <c r="Z53" i="285"/>
  <c r="C2" i="285"/>
  <c r="D2" i="285" s="1"/>
  <c r="E2" i="285" s="1"/>
  <c r="F2" i="285" s="1"/>
  <c r="G2" i="285" s="1"/>
  <c r="H2" i="285" s="1"/>
  <c r="H141" i="284"/>
  <c r="G141" i="284"/>
  <c r="F141" i="284"/>
  <c r="E141" i="284"/>
  <c r="D141" i="284"/>
  <c r="C141" i="284"/>
  <c r="B141" i="284"/>
  <c r="Z136" i="284"/>
  <c r="H127" i="284"/>
  <c r="G127" i="284"/>
  <c r="F127" i="284"/>
  <c r="E127" i="284"/>
  <c r="D127" i="284"/>
  <c r="C127" i="284"/>
  <c r="B127" i="284"/>
  <c r="Z101" i="284"/>
  <c r="H101" i="284"/>
  <c r="H136" i="284" s="1"/>
  <c r="H139" i="284" s="1"/>
  <c r="G101" i="284"/>
  <c r="G136" i="284" s="1"/>
  <c r="G139" i="284" s="1"/>
  <c r="F101" i="284"/>
  <c r="F136" i="284" s="1"/>
  <c r="F139" i="284" s="1"/>
  <c r="E101" i="284"/>
  <c r="E136" i="284" s="1"/>
  <c r="E139" i="284" s="1"/>
  <c r="D101" i="284"/>
  <c r="D136" i="284" s="1"/>
  <c r="D139" i="284" s="1"/>
  <c r="C101" i="284"/>
  <c r="C136" i="284" s="1"/>
  <c r="C139" i="284" s="1"/>
  <c r="B101" i="284"/>
  <c r="B136" i="284" s="1"/>
  <c r="B139" i="284" s="1"/>
  <c r="Z98" i="284"/>
  <c r="H98" i="284"/>
  <c r="G98" i="284"/>
  <c r="F98" i="284"/>
  <c r="E98" i="284"/>
  <c r="D98" i="284"/>
  <c r="C98" i="284"/>
  <c r="B98" i="284"/>
  <c r="Z75" i="284"/>
  <c r="B75" i="284"/>
  <c r="Z67" i="284"/>
  <c r="H67" i="284"/>
  <c r="H75" i="284" s="1"/>
  <c r="G67" i="284"/>
  <c r="G75" i="284" s="1"/>
  <c r="F67" i="284"/>
  <c r="F75" i="284" s="1"/>
  <c r="E67" i="284"/>
  <c r="E75" i="284" s="1"/>
  <c r="C67" i="284"/>
  <c r="C75" i="284" s="1"/>
  <c r="B67" i="284"/>
  <c r="Z63" i="284"/>
  <c r="H63" i="284"/>
  <c r="G63" i="284"/>
  <c r="F63" i="284"/>
  <c r="E63" i="284"/>
  <c r="D63" i="284"/>
  <c r="C63" i="284"/>
  <c r="B63" i="284"/>
  <c r="H54" i="284"/>
  <c r="G54" i="284"/>
  <c r="F54" i="284"/>
  <c r="E54" i="284"/>
  <c r="D54" i="284"/>
  <c r="C54" i="284"/>
  <c r="B54" i="284"/>
  <c r="Z53" i="284"/>
  <c r="C2" i="284"/>
  <c r="D2" i="284" s="1"/>
  <c r="E2" i="284" s="1"/>
  <c r="F2" i="284" s="1"/>
  <c r="G2" i="284" s="1"/>
  <c r="H2" i="284" s="1"/>
  <c r="H141" i="283"/>
  <c r="G141" i="283"/>
  <c r="F141" i="283"/>
  <c r="E141" i="283"/>
  <c r="D141" i="283"/>
  <c r="C141" i="283"/>
  <c r="B141" i="283"/>
  <c r="Z136" i="283"/>
  <c r="H127" i="283"/>
  <c r="G127" i="283"/>
  <c r="F127" i="283"/>
  <c r="E127" i="283"/>
  <c r="D127" i="283"/>
  <c r="C127" i="283"/>
  <c r="B127" i="283"/>
  <c r="Z101" i="283"/>
  <c r="H101" i="283"/>
  <c r="H136" i="283" s="1"/>
  <c r="H139" i="283" s="1"/>
  <c r="G101" i="283"/>
  <c r="G136" i="283" s="1"/>
  <c r="G139" i="283" s="1"/>
  <c r="F101" i="283"/>
  <c r="F136" i="283" s="1"/>
  <c r="F139" i="283" s="1"/>
  <c r="E101" i="283"/>
  <c r="E136" i="283" s="1"/>
  <c r="E139" i="283" s="1"/>
  <c r="D101" i="283"/>
  <c r="D136" i="283" s="1"/>
  <c r="D139" i="283" s="1"/>
  <c r="C101" i="283"/>
  <c r="C136" i="283" s="1"/>
  <c r="C139" i="283" s="1"/>
  <c r="B101" i="283"/>
  <c r="B136" i="283" s="1"/>
  <c r="B139" i="283" s="1"/>
  <c r="Z98" i="283"/>
  <c r="H98" i="283"/>
  <c r="G98" i="283"/>
  <c r="F98" i="283"/>
  <c r="E98" i="283"/>
  <c r="D98" i="283"/>
  <c r="C98" i="283"/>
  <c r="B98" i="283"/>
  <c r="Z75" i="283"/>
  <c r="B75" i="283"/>
  <c r="Z67" i="283"/>
  <c r="H67" i="283"/>
  <c r="H75" i="283" s="1"/>
  <c r="G67" i="283"/>
  <c r="G75" i="283" s="1"/>
  <c r="F67" i="283"/>
  <c r="F75" i="283" s="1"/>
  <c r="E67" i="283"/>
  <c r="E75" i="283" s="1"/>
  <c r="C67" i="283"/>
  <c r="C75" i="283" s="1"/>
  <c r="B67" i="283"/>
  <c r="Z63" i="283"/>
  <c r="H63" i="283"/>
  <c r="G63" i="283"/>
  <c r="F63" i="283"/>
  <c r="E63" i="283"/>
  <c r="D63" i="283"/>
  <c r="C63" i="283"/>
  <c r="B63" i="283"/>
  <c r="H54" i="283"/>
  <c r="G54" i="283"/>
  <c r="F54" i="283"/>
  <c r="E54" i="283"/>
  <c r="D54" i="283"/>
  <c r="C54" i="283"/>
  <c r="B54" i="283"/>
  <c r="Z53" i="283"/>
  <c r="C2" i="283"/>
  <c r="D2" i="283" s="1"/>
  <c r="E2" i="283" s="1"/>
  <c r="F2" i="283" s="1"/>
  <c r="G2" i="283" s="1"/>
  <c r="H2" i="283" s="1"/>
  <c r="B75" i="282"/>
  <c r="B67" i="282"/>
  <c r="B76" i="281"/>
  <c r="B68" i="281"/>
  <c r="B75" i="280"/>
  <c r="B67" i="280"/>
  <c r="B75" i="279"/>
  <c r="B67" i="279"/>
  <c r="B75" i="278"/>
  <c r="B67" i="278"/>
  <c r="B75" i="275"/>
  <c r="B67" i="275"/>
  <c r="B75" i="470"/>
  <c r="B67" i="470"/>
  <c r="B75" i="468"/>
  <c r="B67" i="468"/>
  <c r="B74" i="194"/>
  <c r="B66" i="194"/>
  <c r="H141" i="282"/>
  <c r="G141" i="282"/>
  <c r="F141" i="282"/>
  <c r="E141" i="282"/>
  <c r="D141" i="282"/>
  <c r="C141" i="282"/>
  <c r="B141" i="282"/>
  <c r="Z136" i="282"/>
  <c r="H127" i="282"/>
  <c r="G127" i="282"/>
  <c r="F127" i="282"/>
  <c r="E127" i="282"/>
  <c r="D127" i="282"/>
  <c r="C127" i="282"/>
  <c r="B127" i="282"/>
  <c r="Z101" i="282"/>
  <c r="H101" i="282"/>
  <c r="H136" i="282" s="1"/>
  <c r="H139" i="282" s="1"/>
  <c r="G101" i="282"/>
  <c r="G136" i="282" s="1"/>
  <c r="G139" i="282" s="1"/>
  <c r="F101" i="282"/>
  <c r="F136" i="282" s="1"/>
  <c r="F139" i="282" s="1"/>
  <c r="E101" i="282"/>
  <c r="E136" i="282" s="1"/>
  <c r="E139" i="282" s="1"/>
  <c r="D101" i="282"/>
  <c r="D136" i="282" s="1"/>
  <c r="D139" i="282" s="1"/>
  <c r="C101" i="282"/>
  <c r="C136" i="282" s="1"/>
  <c r="C139" i="282" s="1"/>
  <c r="B101" i="282"/>
  <c r="B136" i="282" s="1"/>
  <c r="B139" i="282" s="1"/>
  <c r="Z98" i="282"/>
  <c r="H98" i="282"/>
  <c r="G98" i="282"/>
  <c r="F98" i="282"/>
  <c r="E98" i="282"/>
  <c r="D98" i="282"/>
  <c r="C98" i="282"/>
  <c r="B98" i="282"/>
  <c r="Z75" i="282"/>
  <c r="Z67" i="282"/>
  <c r="H67" i="282"/>
  <c r="H75" i="282" s="1"/>
  <c r="G67" i="282"/>
  <c r="G75" i="282" s="1"/>
  <c r="F67" i="282"/>
  <c r="F75" i="282" s="1"/>
  <c r="E67" i="282"/>
  <c r="E75" i="282" s="1"/>
  <c r="C67" i="282"/>
  <c r="C75" i="282" s="1"/>
  <c r="Z63" i="282"/>
  <c r="H63" i="282"/>
  <c r="G63" i="282"/>
  <c r="F63" i="282"/>
  <c r="E63" i="282"/>
  <c r="D63" i="282"/>
  <c r="C63" i="282"/>
  <c r="B63" i="282"/>
  <c r="H54" i="282"/>
  <c r="G54" i="282"/>
  <c r="F54" i="282"/>
  <c r="E54" i="282"/>
  <c r="D54" i="282"/>
  <c r="C54" i="282"/>
  <c r="B54" i="282"/>
  <c r="Z53" i="282"/>
  <c r="C2" i="282"/>
  <c r="D2" i="282" s="1"/>
  <c r="E2" i="282" s="1"/>
  <c r="F2" i="282" s="1"/>
  <c r="G2" i="282" s="1"/>
  <c r="H2" i="282" s="1"/>
  <c r="H142" i="281"/>
  <c r="G142" i="281"/>
  <c r="F142" i="281"/>
  <c r="E142" i="281"/>
  <c r="D142" i="281"/>
  <c r="C142" i="281"/>
  <c r="B142" i="281"/>
  <c r="Z137" i="281"/>
  <c r="H128" i="281"/>
  <c r="G128" i="281"/>
  <c r="F128" i="281"/>
  <c r="E128" i="281"/>
  <c r="D128" i="281"/>
  <c r="C128" i="281"/>
  <c r="B128" i="281"/>
  <c r="Z102" i="281"/>
  <c r="H102" i="281"/>
  <c r="H137" i="281" s="1"/>
  <c r="H140" i="281" s="1"/>
  <c r="G102" i="281"/>
  <c r="G137" i="281" s="1"/>
  <c r="G140" i="281" s="1"/>
  <c r="F102" i="281"/>
  <c r="F137" i="281" s="1"/>
  <c r="F140" i="281" s="1"/>
  <c r="E102" i="281"/>
  <c r="E137" i="281" s="1"/>
  <c r="E140" i="281" s="1"/>
  <c r="D102" i="281"/>
  <c r="D137" i="281" s="1"/>
  <c r="D140" i="281" s="1"/>
  <c r="C102" i="281"/>
  <c r="C137" i="281" s="1"/>
  <c r="C140" i="281" s="1"/>
  <c r="B102" i="281"/>
  <c r="B137" i="281" s="1"/>
  <c r="B140" i="281" s="1"/>
  <c r="Z99" i="281"/>
  <c r="H99" i="281"/>
  <c r="G99" i="281"/>
  <c r="F99" i="281"/>
  <c r="E99" i="281"/>
  <c r="D99" i="281"/>
  <c r="C99" i="281"/>
  <c r="B99" i="281"/>
  <c r="Z76" i="281"/>
  <c r="Z68" i="281"/>
  <c r="H68" i="281"/>
  <c r="H76" i="281" s="1"/>
  <c r="G68" i="281"/>
  <c r="G76" i="281" s="1"/>
  <c r="F68" i="281"/>
  <c r="F76" i="281" s="1"/>
  <c r="E68" i="281"/>
  <c r="E76" i="281" s="1"/>
  <c r="C68" i="281"/>
  <c r="C76" i="281" s="1"/>
  <c r="Z64" i="281"/>
  <c r="H64" i="281"/>
  <c r="G64" i="281"/>
  <c r="F64" i="281"/>
  <c r="E64" i="281"/>
  <c r="D64" i="281"/>
  <c r="C64" i="281"/>
  <c r="B64" i="281"/>
  <c r="H55" i="281"/>
  <c r="G55" i="281"/>
  <c r="F55" i="281"/>
  <c r="E55" i="281"/>
  <c r="D55" i="281"/>
  <c r="C55" i="281"/>
  <c r="B55" i="281"/>
  <c r="Z54" i="281"/>
  <c r="C2" i="281"/>
  <c r="D2" i="281" s="1"/>
  <c r="E2" i="281" s="1"/>
  <c r="F2" i="281" s="1"/>
  <c r="G2" i="281" s="1"/>
  <c r="H2" i="281" s="1"/>
  <c r="H141" i="280"/>
  <c r="G141" i="280"/>
  <c r="F141" i="280"/>
  <c r="E141" i="280"/>
  <c r="D141" i="280"/>
  <c r="C141" i="280"/>
  <c r="B141" i="280"/>
  <c r="Z136" i="280"/>
  <c r="H127" i="280"/>
  <c r="G127" i="280"/>
  <c r="F127" i="280"/>
  <c r="E127" i="280"/>
  <c r="D127" i="280"/>
  <c r="C127" i="280"/>
  <c r="B127" i="280"/>
  <c r="Z101" i="280"/>
  <c r="H101" i="280"/>
  <c r="H136" i="280" s="1"/>
  <c r="H139" i="280" s="1"/>
  <c r="G101" i="280"/>
  <c r="G136" i="280" s="1"/>
  <c r="G139" i="280" s="1"/>
  <c r="F101" i="280"/>
  <c r="F136" i="280" s="1"/>
  <c r="F139" i="280" s="1"/>
  <c r="E101" i="280"/>
  <c r="E136" i="280" s="1"/>
  <c r="E139" i="280" s="1"/>
  <c r="D101" i="280"/>
  <c r="D136" i="280" s="1"/>
  <c r="D139" i="280" s="1"/>
  <c r="C101" i="280"/>
  <c r="C136" i="280" s="1"/>
  <c r="C139" i="280" s="1"/>
  <c r="B101" i="280"/>
  <c r="B136" i="280" s="1"/>
  <c r="B139" i="280" s="1"/>
  <c r="Z98" i="280"/>
  <c r="H98" i="280"/>
  <c r="G98" i="280"/>
  <c r="F98" i="280"/>
  <c r="E98" i="280"/>
  <c r="D98" i="280"/>
  <c r="C98" i="280"/>
  <c r="B98" i="280"/>
  <c r="Z75" i="280"/>
  <c r="Z67" i="280"/>
  <c r="H67" i="280"/>
  <c r="H75" i="280" s="1"/>
  <c r="G67" i="280"/>
  <c r="G75" i="280" s="1"/>
  <c r="F67" i="280"/>
  <c r="F75" i="280" s="1"/>
  <c r="E67" i="280"/>
  <c r="E75" i="280" s="1"/>
  <c r="C67" i="280"/>
  <c r="C75" i="280" s="1"/>
  <c r="Z63" i="280"/>
  <c r="H63" i="280"/>
  <c r="G63" i="280"/>
  <c r="F63" i="280"/>
  <c r="E63" i="280"/>
  <c r="D63" i="280"/>
  <c r="C63" i="280"/>
  <c r="B63" i="280"/>
  <c r="H54" i="280"/>
  <c r="G54" i="280"/>
  <c r="F54" i="280"/>
  <c r="E54" i="280"/>
  <c r="D54" i="280"/>
  <c r="C54" i="280"/>
  <c r="B54" i="280"/>
  <c r="Z53" i="280"/>
  <c r="C2" i="280"/>
  <c r="D2" i="280" s="1"/>
  <c r="E2" i="280" s="1"/>
  <c r="F2" i="280" s="1"/>
  <c r="G2" i="280" s="1"/>
  <c r="H2" i="280" s="1"/>
  <c r="H141" i="279"/>
  <c r="G141" i="279"/>
  <c r="F141" i="279"/>
  <c r="E141" i="279"/>
  <c r="D141" i="279"/>
  <c r="C141" i="279"/>
  <c r="B141" i="279"/>
  <c r="Z136" i="279"/>
  <c r="H127" i="279"/>
  <c r="G127" i="279"/>
  <c r="F127" i="279"/>
  <c r="E127" i="279"/>
  <c r="D127" i="279"/>
  <c r="C127" i="279"/>
  <c r="B127" i="279"/>
  <c r="Z101" i="279"/>
  <c r="H101" i="279"/>
  <c r="H136" i="279" s="1"/>
  <c r="H139" i="279" s="1"/>
  <c r="G101" i="279"/>
  <c r="G136" i="279" s="1"/>
  <c r="G139" i="279" s="1"/>
  <c r="F101" i="279"/>
  <c r="F136" i="279" s="1"/>
  <c r="F139" i="279" s="1"/>
  <c r="E101" i="279"/>
  <c r="E136" i="279" s="1"/>
  <c r="E139" i="279" s="1"/>
  <c r="D101" i="279"/>
  <c r="D136" i="279" s="1"/>
  <c r="D139" i="279" s="1"/>
  <c r="C101" i="279"/>
  <c r="C136" i="279" s="1"/>
  <c r="C139" i="279" s="1"/>
  <c r="B101" i="279"/>
  <c r="B136" i="279" s="1"/>
  <c r="B139" i="279" s="1"/>
  <c r="Z98" i="279"/>
  <c r="H98" i="279"/>
  <c r="G98" i="279"/>
  <c r="F98" i="279"/>
  <c r="E98" i="279"/>
  <c r="D98" i="279"/>
  <c r="C98" i="279"/>
  <c r="B98" i="279"/>
  <c r="Z75" i="279"/>
  <c r="Z67" i="279"/>
  <c r="H67" i="279"/>
  <c r="H75" i="279" s="1"/>
  <c r="G67" i="279"/>
  <c r="G75" i="279" s="1"/>
  <c r="F67" i="279"/>
  <c r="F75" i="279" s="1"/>
  <c r="E67" i="279"/>
  <c r="E75" i="279" s="1"/>
  <c r="C67" i="279"/>
  <c r="C75" i="279" s="1"/>
  <c r="Z63" i="279"/>
  <c r="H63" i="279"/>
  <c r="G63" i="279"/>
  <c r="F63" i="279"/>
  <c r="E63" i="279"/>
  <c r="D63" i="279"/>
  <c r="C63" i="279"/>
  <c r="B63" i="279"/>
  <c r="H54" i="279"/>
  <c r="G54" i="279"/>
  <c r="F54" i="279"/>
  <c r="E54" i="279"/>
  <c r="D54" i="279"/>
  <c r="C54" i="279"/>
  <c r="B54" i="279"/>
  <c r="Z53" i="279"/>
  <c r="C2" i="279"/>
  <c r="D2" i="279" s="1"/>
  <c r="E2" i="279" s="1"/>
  <c r="F2" i="279" s="1"/>
  <c r="G2" i="279" s="1"/>
  <c r="H2" i="279" s="1"/>
  <c r="H141" i="278"/>
  <c r="G141" i="278"/>
  <c r="F141" i="278"/>
  <c r="E141" i="278"/>
  <c r="D141" i="278"/>
  <c r="C141" i="278"/>
  <c r="B141" i="278"/>
  <c r="Z136" i="278"/>
  <c r="H127" i="278"/>
  <c r="G127" i="278"/>
  <c r="F127" i="278"/>
  <c r="E127" i="278"/>
  <c r="D127" i="278"/>
  <c r="C127" i="278"/>
  <c r="B127" i="278"/>
  <c r="Z101" i="278"/>
  <c r="H101" i="278"/>
  <c r="H136" i="278" s="1"/>
  <c r="H139" i="278" s="1"/>
  <c r="G101" i="278"/>
  <c r="G136" i="278" s="1"/>
  <c r="G139" i="278" s="1"/>
  <c r="F101" i="278"/>
  <c r="F136" i="278" s="1"/>
  <c r="F139" i="278" s="1"/>
  <c r="E101" i="278"/>
  <c r="E136" i="278" s="1"/>
  <c r="E139" i="278" s="1"/>
  <c r="D101" i="278"/>
  <c r="D136" i="278" s="1"/>
  <c r="D139" i="278" s="1"/>
  <c r="C101" i="278"/>
  <c r="C136" i="278" s="1"/>
  <c r="C139" i="278" s="1"/>
  <c r="B101" i="278"/>
  <c r="B136" i="278" s="1"/>
  <c r="B139" i="278" s="1"/>
  <c r="Z98" i="278"/>
  <c r="H98" i="278"/>
  <c r="G98" i="278"/>
  <c r="F98" i="278"/>
  <c r="E98" i="278"/>
  <c r="D98" i="278"/>
  <c r="C98" i="278"/>
  <c r="B98" i="278"/>
  <c r="Z75" i="278"/>
  <c r="Z67" i="278"/>
  <c r="H67" i="278"/>
  <c r="H75" i="278" s="1"/>
  <c r="G67" i="278"/>
  <c r="G75" i="278" s="1"/>
  <c r="F67" i="278"/>
  <c r="F75" i="278" s="1"/>
  <c r="E67" i="278"/>
  <c r="E75" i="278" s="1"/>
  <c r="C67" i="278"/>
  <c r="C75" i="278" s="1"/>
  <c r="Z63" i="278"/>
  <c r="H63" i="278"/>
  <c r="G63" i="278"/>
  <c r="F63" i="278"/>
  <c r="E63" i="278"/>
  <c r="D63" i="278"/>
  <c r="C63" i="278"/>
  <c r="B63" i="278"/>
  <c r="H54" i="278"/>
  <c r="G54" i="278"/>
  <c r="F54" i="278"/>
  <c r="E54" i="278"/>
  <c r="D54" i="278"/>
  <c r="C54" i="278"/>
  <c r="B54" i="278"/>
  <c r="Z53" i="278"/>
  <c r="C2" i="278"/>
  <c r="D2" i="278" s="1"/>
  <c r="E2" i="278" s="1"/>
  <c r="F2" i="278" s="1"/>
  <c r="G2" i="278" s="1"/>
  <c r="H2" i="278" s="1"/>
  <c r="H141" i="275"/>
  <c r="G141" i="275"/>
  <c r="F141" i="275"/>
  <c r="E141" i="275"/>
  <c r="D141" i="275"/>
  <c r="C141" i="275"/>
  <c r="B141" i="275"/>
  <c r="Z136" i="275"/>
  <c r="H127" i="275"/>
  <c r="G127" i="275"/>
  <c r="F127" i="275"/>
  <c r="E127" i="275"/>
  <c r="D127" i="275"/>
  <c r="C127" i="275"/>
  <c r="B127" i="275"/>
  <c r="Z101" i="275"/>
  <c r="H101" i="275"/>
  <c r="H136" i="275" s="1"/>
  <c r="H139" i="275" s="1"/>
  <c r="G101" i="275"/>
  <c r="G136" i="275" s="1"/>
  <c r="G139" i="275" s="1"/>
  <c r="F101" i="275"/>
  <c r="F136" i="275" s="1"/>
  <c r="F139" i="275" s="1"/>
  <c r="E101" i="275"/>
  <c r="E136" i="275" s="1"/>
  <c r="E139" i="275" s="1"/>
  <c r="D101" i="275"/>
  <c r="D136" i="275" s="1"/>
  <c r="D139" i="275" s="1"/>
  <c r="C101" i="275"/>
  <c r="C136" i="275" s="1"/>
  <c r="C139" i="275" s="1"/>
  <c r="B101" i="275"/>
  <c r="B136" i="275" s="1"/>
  <c r="B139" i="275" s="1"/>
  <c r="Z98" i="275"/>
  <c r="H98" i="275"/>
  <c r="G98" i="275"/>
  <c r="F98" i="275"/>
  <c r="E98" i="275"/>
  <c r="D98" i="275"/>
  <c r="C98" i="275"/>
  <c r="B98" i="275"/>
  <c r="Z75" i="275"/>
  <c r="Z67" i="275"/>
  <c r="H67" i="275"/>
  <c r="H75" i="275" s="1"/>
  <c r="G67" i="275"/>
  <c r="G75" i="275" s="1"/>
  <c r="F67" i="275"/>
  <c r="F75" i="275" s="1"/>
  <c r="E67" i="275"/>
  <c r="E75" i="275" s="1"/>
  <c r="C67" i="275"/>
  <c r="C75" i="275" s="1"/>
  <c r="Z63" i="275"/>
  <c r="H63" i="275"/>
  <c r="G63" i="275"/>
  <c r="F63" i="275"/>
  <c r="E63" i="275"/>
  <c r="D63" i="275"/>
  <c r="C63" i="275"/>
  <c r="B63" i="275"/>
  <c r="H54" i="275"/>
  <c r="G54" i="275"/>
  <c r="F54" i="275"/>
  <c r="E54" i="275"/>
  <c r="D54" i="275"/>
  <c r="C54" i="275"/>
  <c r="B54" i="275"/>
  <c r="Z53" i="275"/>
  <c r="C2" i="275"/>
  <c r="D2" i="275" s="1"/>
  <c r="E2" i="275" s="1"/>
  <c r="F2" i="275" s="1"/>
  <c r="G2" i="275" s="1"/>
  <c r="H2" i="275" s="1"/>
  <c r="H142" i="470"/>
  <c r="G142" i="470"/>
  <c r="F142" i="470"/>
  <c r="E142" i="470"/>
  <c r="D142" i="470"/>
  <c r="C142" i="470"/>
  <c r="B142" i="470"/>
  <c r="Z136" i="470"/>
  <c r="H127" i="470"/>
  <c r="G127" i="470"/>
  <c r="F127" i="470"/>
  <c r="E127" i="470"/>
  <c r="D127" i="470"/>
  <c r="C127" i="470"/>
  <c r="B127" i="470"/>
  <c r="Z101" i="470"/>
  <c r="H101" i="470"/>
  <c r="H136" i="470" s="1"/>
  <c r="H140" i="470" s="1"/>
  <c r="G101" i="470"/>
  <c r="G136" i="470" s="1"/>
  <c r="G140" i="470" s="1"/>
  <c r="F101" i="470"/>
  <c r="F136" i="470" s="1"/>
  <c r="F140" i="470" s="1"/>
  <c r="E101" i="470"/>
  <c r="E136" i="470" s="1"/>
  <c r="E140" i="470" s="1"/>
  <c r="D101" i="470"/>
  <c r="D136" i="470" s="1"/>
  <c r="D140" i="470" s="1"/>
  <c r="C101" i="470"/>
  <c r="C136" i="470" s="1"/>
  <c r="C140" i="470" s="1"/>
  <c r="B101" i="470"/>
  <c r="B136" i="470" s="1"/>
  <c r="B140" i="470" s="1"/>
  <c r="Z98" i="470"/>
  <c r="H98" i="470"/>
  <c r="G98" i="470"/>
  <c r="F98" i="470"/>
  <c r="E98" i="470"/>
  <c r="D98" i="470"/>
  <c r="C98" i="470"/>
  <c r="B98" i="470"/>
  <c r="Z75" i="470"/>
  <c r="Z67" i="470"/>
  <c r="H67" i="470"/>
  <c r="H75" i="470" s="1"/>
  <c r="G67" i="470"/>
  <c r="G75" i="470" s="1"/>
  <c r="F67" i="470"/>
  <c r="F75" i="470" s="1"/>
  <c r="E67" i="470"/>
  <c r="E75" i="470" s="1"/>
  <c r="C67" i="470"/>
  <c r="C75" i="470" s="1"/>
  <c r="Z63" i="470"/>
  <c r="H63" i="470"/>
  <c r="G63" i="470"/>
  <c r="F63" i="470"/>
  <c r="E63" i="470"/>
  <c r="D63" i="470"/>
  <c r="C63" i="470"/>
  <c r="B63" i="470"/>
  <c r="H54" i="470"/>
  <c r="G54" i="470"/>
  <c r="F54" i="470"/>
  <c r="E54" i="470"/>
  <c r="D54" i="470"/>
  <c r="C54" i="470"/>
  <c r="B54" i="470"/>
  <c r="Z52" i="470"/>
  <c r="C2" i="470"/>
  <c r="D2" i="470" s="1"/>
  <c r="E2" i="470" s="1"/>
  <c r="F2" i="470" s="1"/>
  <c r="G2" i="470" s="1"/>
  <c r="H2" i="470" s="1"/>
  <c r="B53" i="468"/>
  <c r="H141" i="468"/>
  <c r="G141" i="468"/>
  <c r="F141" i="468"/>
  <c r="E141" i="468"/>
  <c r="D141" i="468"/>
  <c r="C141" i="468"/>
  <c r="B141" i="468"/>
  <c r="Z136" i="468"/>
  <c r="H127" i="468"/>
  <c r="G127" i="468"/>
  <c r="F127" i="468"/>
  <c r="E127" i="468"/>
  <c r="D127" i="468"/>
  <c r="C127" i="468"/>
  <c r="B127" i="468"/>
  <c r="Z101" i="468"/>
  <c r="H101" i="468"/>
  <c r="H136" i="468" s="1"/>
  <c r="H139" i="468" s="1"/>
  <c r="G101" i="468"/>
  <c r="G136" i="468" s="1"/>
  <c r="G139" i="468" s="1"/>
  <c r="F101" i="468"/>
  <c r="F136" i="468" s="1"/>
  <c r="F139" i="468" s="1"/>
  <c r="E101" i="468"/>
  <c r="E136" i="468" s="1"/>
  <c r="E139" i="468" s="1"/>
  <c r="D101" i="468"/>
  <c r="D136" i="468" s="1"/>
  <c r="D139" i="468" s="1"/>
  <c r="C101" i="468"/>
  <c r="C136" i="468" s="1"/>
  <c r="C139" i="468" s="1"/>
  <c r="B101" i="468"/>
  <c r="B136" i="468" s="1"/>
  <c r="B139" i="468" s="1"/>
  <c r="Z98" i="468"/>
  <c r="H98" i="468"/>
  <c r="G98" i="468"/>
  <c r="F98" i="468"/>
  <c r="E98" i="468"/>
  <c r="D98" i="468"/>
  <c r="C98" i="468"/>
  <c r="B98" i="468"/>
  <c r="Z75" i="468"/>
  <c r="Z67" i="468"/>
  <c r="H67" i="468"/>
  <c r="H75" i="468" s="1"/>
  <c r="G67" i="468"/>
  <c r="G75" i="468" s="1"/>
  <c r="F67" i="468"/>
  <c r="F75" i="468" s="1"/>
  <c r="E67" i="468"/>
  <c r="E75" i="468" s="1"/>
  <c r="C67" i="468"/>
  <c r="C75" i="468" s="1"/>
  <c r="Z63" i="468"/>
  <c r="H63" i="468"/>
  <c r="G63" i="468"/>
  <c r="F63" i="468"/>
  <c r="E63" i="468"/>
  <c r="D63" i="468"/>
  <c r="C63" i="468"/>
  <c r="B63" i="468"/>
  <c r="H53" i="468"/>
  <c r="G53" i="468"/>
  <c r="F53" i="468"/>
  <c r="E53" i="468"/>
  <c r="D53" i="468"/>
  <c r="C53" i="468"/>
  <c r="Z52" i="468"/>
  <c r="C2" i="468"/>
  <c r="D2" i="468" s="1"/>
  <c r="E2" i="468" s="1"/>
  <c r="F2" i="468" s="1"/>
  <c r="G2" i="468" s="1"/>
  <c r="H2" i="468" s="1"/>
  <c r="D53" i="194"/>
  <c r="E53" i="194"/>
  <c r="F53" i="194"/>
  <c r="G53" i="194"/>
  <c r="H53" i="194"/>
  <c r="C53" i="194"/>
  <c r="H140" i="194"/>
  <c r="G140" i="194"/>
  <c r="F140" i="194"/>
  <c r="E140" i="194"/>
  <c r="D140" i="194"/>
  <c r="C140" i="194"/>
  <c r="B140" i="194"/>
  <c r="Z135" i="194"/>
  <c r="H126" i="194"/>
  <c r="G126" i="194"/>
  <c r="F126" i="194"/>
  <c r="E126" i="194"/>
  <c r="D126" i="194"/>
  <c r="C126" i="194"/>
  <c r="B126" i="194"/>
  <c r="Z100" i="194"/>
  <c r="H100" i="194"/>
  <c r="G100" i="194"/>
  <c r="F100" i="194"/>
  <c r="E100" i="194"/>
  <c r="D100" i="194"/>
  <c r="C100" i="194"/>
  <c r="B100" i="194"/>
  <c r="Z97" i="194"/>
  <c r="H97" i="194"/>
  <c r="G97" i="194"/>
  <c r="F97" i="194"/>
  <c r="E97" i="194"/>
  <c r="D97" i="194"/>
  <c r="C97" i="194"/>
  <c r="B97" i="194"/>
  <c r="Z74" i="194"/>
  <c r="Z66" i="194"/>
  <c r="H66" i="194"/>
  <c r="G66" i="194"/>
  <c r="F66" i="194"/>
  <c r="E66" i="194"/>
  <c r="C66" i="194"/>
  <c r="Z62" i="194"/>
  <c r="Z52" i="194"/>
  <c r="C2" i="194"/>
  <c r="D2" i="194" s="1"/>
  <c r="E2" i="194" s="1"/>
  <c r="F2" i="194" s="1"/>
  <c r="G2" i="194" s="1"/>
  <c r="H2" i="194" s="1"/>
  <c r="C135" i="194" l="1"/>
  <c r="D135" i="194"/>
  <c r="B135" i="194"/>
  <c r="H74" i="194"/>
  <c r="E135" i="194"/>
  <c r="F135" i="194"/>
  <c r="G135" i="194"/>
  <c r="H135" i="194"/>
  <c r="E74" i="194"/>
  <c r="F74" i="194"/>
  <c r="G74" i="194"/>
  <c r="C74" i="194"/>
  <c r="Z99" i="286"/>
  <c r="B138" i="194" l="1"/>
  <c r="D138" i="194"/>
  <c r="C138" i="194"/>
  <c r="H138" i="194"/>
  <c r="G138" i="194"/>
  <c r="F138" i="194"/>
  <c r="E138" i="194"/>
  <c r="B128" i="286"/>
  <c r="C128" i="286"/>
  <c r="D128" i="286"/>
  <c r="E128" i="286"/>
  <c r="F128" i="286"/>
  <c r="G128" i="286"/>
  <c r="H128" i="286"/>
  <c r="W128" i="286"/>
  <c r="V128" i="286"/>
  <c r="R128" i="286"/>
  <c r="X128" i="286"/>
  <c r="T128" i="286"/>
  <c r="S128" i="286"/>
  <c r="U128" i="286"/>
  <c r="V105" i="285"/>
  <c r="U69" i="285"/>
  <c r="S20" i="285"/>
  <c r="N140" i="285"/>
  <c r="V5" i="285"/>
  <c r="P50" i="285"/>
  <c r="J43" i="285"/>
  <c r="V93" i="285"/>
  <c r="L66" i="285"/>
  <c r="U78" i="285"/>
  <c r="N113" i="285"/>
  <c r="T110" i="285"/>
  <c r="K101" i="285"/>
  <c r="R90" i="285"/>
  <c r="T86" i="285"/>
  <c r="K133" i="285"/>
  <c r="U137" i="285"/>
  <c r="S84" i="285"/>
  <c r="J61" i="285"/>
  <c r="V47" i="278"/>
  <c r="R128" i="285"/>
  <c r="X132" i="285"/>
  <c r="S85" i="285"/>
  <c r="O47" i="285"/>
  <c r="T122" i="285"/>
  <c r="K80" i="285"/>
  <c r="J79" i="285"/>
  <c r="M29" i="285"/>
  <c r="J103" i="285"/>
  <c r="T100" i="285"/>
  <c r="S137" i="275"/>
  <c r="N20" i="285"/>
  <c r="O11" i="285"/>
  <c r="T94" i="285"/>
  <c r="V69" i="285"/>
  <c r="X85" i="285"/>
  <c r="K68" i="285"/>
  <c r="R83" i="285"/>
  <c r="P120" i="285"/>
  <c r="O74" i="285"/>
  <c r="V49" i="285"/>
  <c r="U15" i="285"/>
  <c r="V15" i="285"/>
  <c r="R105" i="285"/>
  <c r="O46" i="285"/>
  <c r="K83" i="285"/>
  <c r="T40" i="285"/>
  <c r="N29" i="285"/>
  <c r="N47" i="285"/>
  <c r="U47" i="283"/>
  <c r="N19" i="285"/>
  <c r="O66" i="285"/>
  <c r="P56" i="285"/>
  <c r="L100" i="285"/>
  <c r="W99" i="285"/>
  <c r="V66" i="285"/>
  <c r="N35" i="285"/>
  <c r="W4" i="285"/>
  <c r="N91" i="285"/>
  <c r="K26" i="285"/>
  <c r="K67" i="285"/>
  <c r="P7" i="285"/>
  <c r="U26" i="285"/>
  <c r="K139" i="470"/>
  <c r="T10" i="285"/>
  <c r="N104" i="285"/>
  <c r="L12" i="285"/>
  <c r="O92" i="285"/>
  <c r="T139" i="470"/>
  <c r="V79" i="285"/>
  <c r="W49" i="285"/>
  <c r="J131" i="285"/>
  <c r="R98" i="285"/>
  <c r="L41" i="285"/>
  <c r="O6" i="285"/>
  <c r="V131" i="285"/>
  <c r="U99" i="285"/>
  <c r="R53" i="285"/>
  <c r="P136" i="285"/>
  <c r="M33" i="285"/>
  <c r="R10" i="285"/>
  <c r="K127" i="285"/>
  <c r="U7" i="285"/>
  <c r="L117" i="285"/>
  <c r="L72" i="285"/>
  <c r="L48" i="285"/>
  <c r="J97" i="285"/>
  <c r="K8" i="285"/>
  <c r="O126" i="285"/>
  <c r="L34" i="285"/>
  <c r="K48" i="285"/>
  <c r="W21" i="285"/>
  <c r="P4" i="285"/>
  <c r="K122" i="285"/>
  <c r="X81" i="285"/>
  <c r="M11" i="285"/>
  <c r="S12" i="285"/>
  <c r="S59" i="285"/>
  <c r="O131" i="285"/>
  <c r="N103" i="285"/>
  <c r="M40" i="285"/>
  <c r="O85" i="285"/>
  <c r="W13" i="285"/>
  <c r="K16" i="285"/>
  <c r="N114" i="285"/>
  <c r="J17" i="285"/>
  <c r="N134" i="285"/>
  <c r="M34" i="285"/>
  <c r="M28" i="285"/>
  <c r="V40" i="285"/>
  <c r="L138" i="285"/>
  <c r="U28" i="285"/>
  <c r="T82" i="285"/>
  <c r="L9" i="285"/>
  <c r="L65" i="285"/>
  <c r="T106" i="285"/>
  <c r="K47" i="284"/>
  <c r="W47" i="283"/>
  <c r="X114" i="285"/>
  <c r="L87" i="285"/>
  <c r="T47" i="283"/>
  <c r="J65" i="285"/>
  <c r="V132" i="285"/>
  <c r="O19" i="285"/>
  <c r="X107" i="285"/>
  <c r="K87" i="285"/>
  <c r="J21" i="285"/>
  <c r="U119" i="285"/>
  <c r="R57" i="285"/>
  <c r="J62" i="285"/>
  <c r="X23" i="285"/>
  <c r="L75" i="285"/>
  <c r="K136" i="285"/>
  <c r="L58" i="285"/>
  <c r="U41" i="285"/>
  <c r="X45" i="285"/>
  <c r="U95" i="285"/>
  <c r="O39" i="285"/>
  <c r="L82" i="285"/>
  <c r="V63" i="285"/>
  <c r="X58" i="285"/>
  <c r="S33" i="285"/>
  <c r="L131" i="285"/>
  <c r="O130" i="285"/>
  <c r="R38" i="285"/>
  <c r="U30" i="285"/>
  <c r="V70" i="285"/>
  <c r="L8" i="285"/>
  <c r="J67" i="285"/>
  <c r="L11" i="285"/>
  <c r="O56" i="285"/>
  <c r="N54" i="285"/>
  <c r="M47" i="280"/>
  <c r="O32" i="285"/>
  <c r="V91" i="285"/>
  <c r="S115" i="285"/>
  <c r="W105" i="285"/>
  <c r="J69" i="285"/>
  <c r="O107" i="285"/>
  <c r="K40" i="285"/>
  <c r="L93" i="285"/>
  <c r="R33" i="285"/>
  <c r="P16" i="285"/>
  <c r="V98" i="285"/>
  <c r="V86" i="285"/>
  <c r="U56" i="285"/>
  <c r="K20" i="285"/>
  <c r="L112" i="285"/>
  <c r="K64" i="285"/>
  <c r="J64" i="285"/>
  <c r="S46" i="285"/>
  <c r="M69" i="285"/>
  <c r="M36" i="285"/>
  <c r="M47" i="284"/>
  <c r="U12" i="285"/>
  <c r="X33" i="285"/>
  <c r="X95" i="285"/>
  <c r="V138" i="285"/>
  <c r="N14" i="285"/>
  <c r="W48" i="285"/>
  <c r="M39" i="285"/>
  <c r="T35" i="285"/>
  <c r="V103" i="285"/>
  <c r="V96" i="285"/>
  <c r="S89" i="285"/>
  <c r="S73" i="285"/>
  <c r="W36" i="285"/>
  <c r="N90" i="285"/>
  <c r="P21" i="285"/>
  <c r="U85" i="285"/>
  <c r="R25" i="285"/>
  <c r="N136" i="285"/>
  <c r="N100" i="285"/>
  <c r="J93" i="285"/>
  <c r="O118" i="285"/>
  <c r="O65" i="285"/>
  <c r="S7" i="285"/>
  <c r="W113" i="285"/>
  <c r="N13" i="285"/>
  <c r="K73" i="285"/>
  <c r="V74" i="285"/>
  <c r="P65" i="285"/>
  <c r="O84" i="285"/>
  <c r="X87" i="285"/>
  <c r="M71" i="285"/>
  <c r="S54" i="285"/>
  <c r="T5" i="285"/>
  <c r="R47" i="281"/>
  <c r="W67" i="285"/>
  <c r="V84" i="285"/>
  <c r="T58" i="285"/>
  <c r="S52" i="285"/>
  <c r="P46" i="285"/>
  <c r="M7" i="285"/>
  <c r="L59" i="285"/>
  <c r="P78" i="285"/>
  <c r="T56" i="285"/>
  <c r="L137" i="275"/>
  <c r="W107" i="285"/>
  <c r="T65" i="285"/>
  <c r="O71" i="285"/>
  <c r="P58" i="285"/>
  <c r="R108" i="285"/>
  <c r="X17" i="285"/>
  <c r="P109" i="285"/>
  <c r="S92" i="285"/>
  <c r="U29" i="285"/>
  <c r="O103" i="285"/>
  <c r="T107" i="285"/>
  <c r="V47" i="280"/>
  <c r="J15" i="285"/>
  <c r="P112" i="285"/>
  <c r="L54" i="285"/>
  <c r="W28" i="285"/>
  <c r="M127" i="285"/>
  <c r="S25" i="285"/>
  <c r="J132" i="285"/>
  <c r="P82" i="285"/>
  <c r="S134" i="285"/>
  <c r="R119" i="285"/>
  <c r="P84" i="285"/>
  <c r="S11" i="285"/>
  <c r="V139" i="470"/>
  <c r="O117" i="285"/>
  <c r="M25" i="285"/>
  <c r="K43" i="285"/>
  <c r="U68" i="285"/>
  <c r="K58" i="285"/>
  <c r="L111" i="285"/>
  <c r="W81" i="285"/>
  <c r="N47" i="275"/>
  <c r="T13" i="285"/>
  <c r="O138" i="285"/>
  <c r="N124" i="285"/>
  <c r="S71" i="285"/>
  <c r="U58" i="285"/>
  <c r="P124" i="285"/>
  <c r="U38" i="285"/>
  <c r="U47" i="275"/>
  <c r="U9" i="285"/>
  <c r="X140" i="285"/>
  <c r="M70" i="285"/>
  <c r="N61" i="285"/>
  <c r="K39" i="285"/>
  <c r="O105" i="285"/>
  <c r="N57" i="285"/>
  <c r="X100" i="285"/>
  <c r="S60" i="285"/>
  <c r="J70" i="285"/>
  <c r="L124" i="285"/>
  <c r="S106" i="285"/>
  <c r="J74" i="285"/>
  <c r="V6" i="285"/>
  <c r="V53" i="285"/>
  <c r="R73" i="285"/>
  <c r="W47" i="282"/>
  <c r="U8" i="285"/>
  <c r="T87" i="285"/>
  <c r="R43" i="285"/>
  <c r="N86" i="285"/>
  <c r="J76" i="285"/>
  <c r="K10" i="285"/>
  <c r="M81" i="285"/>
  <c r="P113" i="285"/>
  <c r="K44" i="285"/>
  <c r="W123" i="285"/>
  <c r="X94" i="285"/>
  <c r="O48" i="285"/>
  <c r="L52" i="285"/>
  <c r="O97" i="285"/>
  <c r="V47" i="282"/>
  <c r="M19" i="285"/>
  <c r="W91" i="285"/>
  <c r="R107" i="285"/>
  <c r="M108" i="285"/>
  <c r="V36" i="285"/>
  <c r="P40" i="285"/>
  <c r="M122" i="285"/>
  <c r="R91" i="285"/>
  <c r="T126" i="285"/>
  <c r="P47" i="280"/>
  <c r="X64" i="285"/>
  <c r="T46" i="285"/>
  <c r="X137" i="275"/>
  <c r="K139" i="285"/>
  <c r="M94" i="285"/>
  <c r="L47" i="280"/>
  <c r="L61" i="285"/>
  <c r="W16" i="285"/>
  <c r="R54" i="285"/>
  <c r="M110" i="285"/>
  <c r="X46" i="285"/>
  <c r="J35" i="285"/>
  <c r="J8" i="285"/>
  <c r="N70" i="285"/>
  <c r="S126" i="285"/>
  <c r="T124" i="285"/>
  <c r="L27" i="285"/>
  <c r="W106" i="285"/>
  <c r="N23" i="285"/>
  <c r="L47" i="282"/>
  <c r="L121" i="285"/>
  <c r="J83" i="285"/>
  <c r="K81" i="285"/>
  <c r="V8" i="285"/>
  <c r="M140" i="285"/>
  <c r="P43" i="285"/>
  <c r="M88" i="285"/>
  <c r="O137" i="275"/>
  <c r="K95" i="285"/>
  <c r="L140" i="285"/>
  <c r="T32" i="285"/>
  <c r="K30" i="285"/>
  <c r="T113" i="285"/>
  <c r="X57" i="285"/>
  <c r="U71" i="285"/>
  <c r="S29" i="285"/>
  <c r="J47" i="285"/>
  <c r="N77" i="285"/>
  <c r="K124" i="285"/>
  <c r="X139" i="285"/>
  <c r="L109" i="285"/>
  <c r="P126" i="285"/>
  <c r="O98" i="285"/>
  <c r="K92" i="285"/>
  <c r="J22" i="285"/>
  <c r="L29" i="285"/>
  <c r="O49" i="285"/>
  <c r="U79" i="285"/>
  <c r="K134" i="285"/>
  <c r="V4" i="285"/>
  <c r="R70" i="285"/>
  <c r="U47" i="284"/>
  <c r="O38" i="285"/>
  <c r="K88" i="285"/>
  <c r="N110" i="285"/>
  <c r="J80" i="285"/>
  <c r="M56" i="285"/>
  <c r="T54" i="285"/>
  <c r="S17" i="285"/>
  <c r="O111" i="285"/>
  <c r="L88" i="285"/>
  <c r="M116" i="285"/>
  <c r="L89" i="285"/>
  <c r="V81" i="285"/>
  <c r="X35" i="285"/>
  <c r="J55" i="285"/>
  <c r="K86" i="285"/>
  <c r="V23" i="285"/>
  <c r="X47" i="282"/>
  <c r="R126" i="285"/>
  <c r="P66" i="285"/>
  <c r="W122" i="285"/>
  <c r="L25" i="285"/>
  <c r="L30" i="285"/>
  <c r="S43" i="285"/>
  <c r="P73" i="285"/>
  <c r="L53" i="285"/>
  <c r="L10" i="285"/>
  <c r="J127" i="285"/>
  <c r="J11" i="285"/>
  <c r="M120" i="285"/>
  <c r="L71" i="285"/>
  <c r="S19" i="285"/>
  <c r="P55" i="285"/>
  <c r="P47" i="275"/>
  <c r="R6" i="285"/>
  <c r="O14" i="285"/>
  <c r="M130" i="285"/>
  <c r="N132" i="285"/>
  <c r="N45" i="285"/>
  <c r="T39" i="285"/>
  <c r="X12" i="285"/>
  <c r="V30" i="285"/>
  <c r="U18" i="285"/>
  <c r="V7" i="285"/>
  <c r="V42" i="285"/>
  <c r="S80" i="285"/>
  <c r="W29" i="285"/>
  <c r="O88" i="285"/>
  <c r="P36" i="285"/>
  <c r="O26" i="285"/>
  <c r="W75" i="285"/>
  <c r="S51" i="285"/>
  <c r="W7" i="285"/>
  <c r="L99" i="285"/>
  <c r="W93" i="285"/>
  <c r="T93" i="285"/>
  <c r="M73" i="285"/>
  <c r="V117" i="285"/>
  <c r="J81" i="285"/>
  <c r="N17" i="285"/>
  <c r="P59" i="285"/>
  <c r="P79" i="285"/>
  <c r="O47" i="280"/>
  <c r="W32" i="285"/>
  <c r="P137" i="285"/>
  <c r="K78" i="285"/>
  <c r="L125" i="285"/>
  <c r="T17" i="285"/>
  <c r="V137" i="275"/>
  <c r="S76" i="285"/>
  <c r="R51" i="285"/>
  <c r="V115" i="285"/>
  <c r="T85" i="285"/>
  <c r="V71" i="285"/>
  <c r="R95" i="285"/>
  <c r="T84" i="285"/>
  <c r="S83" i="285"/>
  <c r="J140" i="285"/>
  <c r="U122" i="285"/>
  <c r="U137" i="275"/>
  <c r="U83" i="285"/>
  <c r="W60" i="285"/>
  <c r="P135" i="285"/>
  <c r="L64" i="285"/>
  <c r="U65" i="285"/>
  <c r="M21" i="285"/>
  <c r="V140" i="285"/>
  <c r="N80" i="285"/>
  <c r="J47" i="282"/>
  <c r="L63" i="285"/>
  <c r="X108" i="285"/>
  <c r="R59" i="285"/>
  <c r="J7" i="285"/>
  <c r="M129" i="285"/>
  <c r="N40" i="285"/>
  <c r="S128" i="285"/>
  <c r="J42" i="285"/>
  <c r="R122" i="285"/>
  <c r="S62" i="285"/>
  <c r="S58" i="285"/>
  <c r="R61" i="285"/>
  <c r="S10" i="285"/>
  <c r="U21" i="285"/>
  <c r="L108" i="285"/>
  <c r="M139" i="285"/>
  <c r="T89" i="285"/>
  <c r="X40" i="285"/>
  <c r="L107" i="285"/>
  <c r="J134" i="285"/>
  <c r="K36" i="285"/>
  <c r="K56" i="285"/>
  <c r="M9" i="285"/>
  <c r="N39" i="285"/>
  <c r="M14" i="285"/>
  <c r="T47" i="275"/>
  <c r="S91" i="285"/>
  <c r="V22" i="285"/>
  <c r="T92" i="285"/>
  <c r="U111" i="285"/>
  <c r="W40" i="285"/>
  <c r="V25" i="285"/>
  <c r="K6" i="285"/>
  <c r="M136" i="285"/>
  <c r="R21" i="285"/>
  <c r="M59" i="285"/>
  <c r="K5" i="285"/>
  <c r="M107" i="285"/>
  <c r="V118" i="285"/>
  <c r="V57" i="285"/>
  <c r="M31" i="285"/>
  <c r="X103" i="285"/>
  <c r="U89" i="285"/>
  <c r="M104" i="285"/>
  <c r="R15" i="285"/>
  <c r="R136" i="285"/>
  <c r="L83" i="285"/>
  <c r="O110" i="285"/>
  <c r="O23" i="285"/>
  <c r="K97" i="285"/>
  <c r="T79" i="285"/>
  <c r="X51" i="285"/>
  <c r="N111" i="285"/>
  <c r="P30" i="285"/>
  <c r="W78" i="285"/>
  <c r="O4" i="285"/>
  <c r="R93" i="285"/>
  <c r="K121" i="285"/>
  <c r="K63" i="285"/>
  <c r="P47" i="278"/>
  <c r="P114" i="285"/>
  <c r="N109" i="285"/>
  <c r="K29" i="285"/>
  <c r="K51" i="285"/>
  <c r="V44" i="285"/>
  <c r="U74" i="285"/>
  <c r="S87" i="285"/>
  <c r="V27" i="285"/>
  <c r="U107" i="285"/>
  <c r="V58" i="285"/>
  <c r="K47" i="283"/>
  <c r="O96" i="285"/>
  <c r="V133" i="285"/>
  <c r="N82" i="285"/>
  <c r="X38" i="285"/>
  <c r="W132" i="285"/>
  <c r="P42" i="285"/>
  <c r="K54" i="285"/>
  <c r="M102" i="285"/>
  <c r="T132" i="285"/>
  <c r="U72" i="285"/>
  <c r="T27" i="285"/>
  <c r="T139" i="285"/>
  <c r="J106" i="285"/>
  <c r="P116" i="285"/>
  <c r="K137" i="285"/>
  <c r="X74" i="285"/>
  <c r="N131" i="285"/>
  <c r="N47" i="284"/>
  <c r="T81" i="285"/>
  <c r="L32" i="285"/>
  <c r="X109" i="285"/>
  <c r="X28" i="285"/>
  <c r="K57" i="285"/>
  <c r="N94" i="285"/>
  <c r="T34" i="285"/>
  <c r="T33" i="285"/>
  <c r="X96" i="285"/>
  <c r="P100" i="285"/>
  <c r="J128" i="285"/>
  <c r="L128" i="285"/>
  <c r="O125" i="285"/>
  <c r="R29" i="285"/>
  <c r="O67" i="285"/>
  <c r="X26" i="285"/>
  <c r="V95" i="285"/>
  <c r="J51" i="285"/>
  <c r="V101" i="285"/>
  <c r="P130" i="285"/>
  <c r="N76" i="285"/>
  <c r="W85" i="285"/>
  <c r="X125" i="285"/>
  <c r="V41" i="285"/>
  <c r="L116" i="285"/>
  <c r="L47" i="283"/>
  <c r="K34" i="285"/>
  <c r="X47" i="279"/>
  <c r="W92" i="285"/>
  <c r="M106" i="285"/>
  <c r="J5" i="285"/>
  <c r="V9" i="285"/>
  <c r="X60" i="285"/>
  <c r="V50" i="285"/>
  <c r="K28" i="285"/>
  <c r="J75" i="285"/>
  <c r="V104" i="285"/>
  <c r="K4" i="285"/>
  <c r="X127" i="285"/>
  <c r="W95" i="285"/>
  <c r="R11" i="285"/>
  <c r="X47" i="283"/>
  <c r="R47" i="283"/>
  <c r="W102" i="285"/>
  <c r="J101" i="285"/>
  <c r="J40" i="285"/>
  <c r="W26" i="285"/>
  <c r="P60" i="285"/>
  <c r="P18" i="285"/>
  <c r="N5" i="285"/>
  <c r="M90" i="285"/>
  <c r="P132" i="285"/>
  <c r="J32" i="285"/>
  <c r="N102" i="285"/>
  <c r="K91" i="285"/>
  <c r="O53" i="285"/>
  <c r="R85" i="285"/>
  <c r="V46" i="285"/>
  <c r="L81" i="285"/>
  <c r="M5" i="285"/>
  <c r="M49" i="285"/>
  <c r="U98" i="285"/>
  <c r="J95" i="285"/>
  <c r="N117" i="285"/>
  <c r="S15" i="285"/>
  <c r="S139" i="285"/>
  <c r="V51" i="285"/>
  <c r="U121" i="285"/>
  <c r="N27" i="285"/>
  <c r="P137" i="275"/>
  <c r="N12" i="285"/>
  <c r="J28" i="285"/>
  <c r="R112" i="285"/>
  <c r="M38" i="285"/>
  <c r="L92" i="285"/>
  <c r="U22" i="285"/>
  <c r="W88" i="285"/>
  <c r="J30" i="285"/>
  <c r="R76" i="285"/>
  <c r="K72" i="285"/>
  <c r="W82" i="285"/>
  <c r="M67" i="285"/>
  <c r="U31" i="285"/>
  <c r="X55" i="285"/>
  <c r="W64" i="285"/>
  <c r="T73" i="285"/>
  <c r="P139" i="470"/>
  <c r="V34" i="285"/>
  <c r="K47" i="279"/>
  <c r="K106" i="285"/>
  <c r="K102" i="285"/>
  <c r="X77" i="285"/>
  <c r="L84" i="285"/>
  <c r="O16" i="285"/>
  <c r="V88" i="285"/>
  <c r="J31" i="285"/>
  <c r="N81" i="285"/>
  <c r="P117" i="285"/>
  <c r="S95" i="285"/>
  <c r="J39" i="285"/>
  <c r="R87" i="285"/>
  <c r="U131" i="285"/>
  <c r="N18" i="285"/>
  <c r="V122" i="285"/>
  <c r="O30" i="285"/>
  <c r="N133" i="285"/>
  <c r="P86" i="285"/>
  <c r="S123" i="285"/>
  <c r="S112" i="285"/>
  <c r="M119" i="285"/>
  <c r="T140" i="285"/>
  <c r="R47" i="282"/>
  <c r="W70" i="285"/>
  <c r="P28" i="285"/>
  <c r="P17" i="285"/>
  <c r="X34" i="285"/>
  <c r="N4" i="285"/>
  <c r="N51" i="285"/>
  <c r="P14" i="285"/>
  <c r="P102" i="285"/>
  <c r="M126" i="285"/>
  <c r="M64" i="285"/>
  <c r="T123" i="285"/>
  <c r="S45" i="285"/>
  <c r="T8" i="285"/>
  <c r="P74" i="285"/>
  <c r="P103" i="285"/>
  <c r="P129" i="285"/>
  <c r="S41" i="285"/>
  <c r="X41" i="285"/>
  <c r="L46" i="285"/>
  <c r="P64" i="285"/>
  <c r="U51" i="285"/>
  <c r="R125" i="285"/>
  <c r="S119" i="285"/>
  <c r="L47" i="284"/>
  <c r="W136" i="285"/>
  <c r="P131" i="285"/>
  <c r="L35" i="285"/>
  <c r="U117" i="285"/>
  <c r="R14" i="285"/>
  <c r="J19" i="285"/>
  <c r="R22" i="285"/>
  <c r="K37" i="285"/>
  <c r="O21" i="285"/>
  <c r="R104" i="285"/>
  <c r="X43" i="285"/>
  <c r="X130" i="285"/>
  <c r="U40" i="285"/>
  <c r="T137" i="285"/>
  <c r="R101" i="285"/>
  <c r="K75" i="285"/>
  <c r="K94" i="285"/>
  <c r="S140" i="285"/>
  <c r="P138" i="285"/>
  <c r="X82" i="285"/>
  <c r="P12" i="285"/>
  <c r="K98" i="285"/>
  <c r="J36" i="285"/>
  <c r="M86" i="285"/>
  <c r="T4" i="285"/>
  <c r="M27" i="285"/>
  <c r="O54" i="285"/>
  <c r="K76" i="285"/>
  <c r="W38" i="285"/>
  <c r="K123" i="285"/>
  <c r="R13" i="285"/>
  <c r="V47" i="275"/>
  <c r="V14" i="285"/>
  <c r="L77" i="285"/>
  <c r="L76" i="285"/>
  <c r="K38" i="285"/>
  <c r="T137" i="275"/>
  <c r="T19" i="285"/>
  <c r="P128" i="285"/>
  <c r="K103" i="285"/>
  <c r="M118" i="285"/>
  <c r="O120" i="285"/>
  <c r="O116" i="285"/>
  <c r="U109" i="285"/>
  <c r="T76" i="285"/>
  <c r="L110" i="285"/>
  <c r="X22" i="285"/>
  <c r="T15" i="285"/>
  <c r="N47" i="278"/>
  <c r="R92" i="285"/>
  <c r="W97" i="285"/>
  <c r="S88" i="285"/>
  <c r="N50" i="285"/>
  <c r="S14" i="285"/>
  <c r="J90" i="285"/>
  <c r="N47" i="281"/>
  <c r="U37" i="285"/>
  <c r="R121" i="285"/>
  <c r="N74" i="285"/>
  <c r="X50" i="285"/>
  <c r="X136" i="285"/>
  <c r="R131" i="285"/>
  <c r="O102" i="285"/>
  <c r="K11" i="285"/>
  <c r="V109" i="285"/>
  <c r="M41" i="285"/>
  <c r="T125" i="285"/>
  <c r="T51" i="285"/>
  <c r="N64" i="285"/>
  <c r="P123" i="285"/>
  <c r="O68" i="285"/>
  <c r="M47" i="275"/>
  <c r="X117" i="285"/>
  <c r="N129" i="285"/>
  <c r="T101" i="285"/>
  <c r="S99" i="285"/>
  <c r="J113" i="285"/>
  <c r="O47" i="278"/>
  <c r="U113" i="285"/>
  <c r="V24" i="285"/>
  <c r="W34" i="285"/>
  <c r="N71" i="285"/>
  <c r="W72" i="285"/>
  <c r="P92" i="285"/>
  <c r="L23" i="285"/>
  <c r="K47" i="285"/>
  <c r="M24" i="285"/>
  <c r="S125" i="285"/>
  <c r="K61" i="285"/>
  <c r="U47" i="282"/>
  <c r="M72" i="285"/>
  <c r="W76" i="285"/>
  <c r="P139" i="285"/>
  <c r="L26" i="285"/>
  <c r="W53" i="285"/>
  <c r="P33" i="285"/>
  <c r="P53" i="285"/>
  <c r="K138" i="285"/>
  <c r="P5" i="285"/>
  <c r="P85" i="285"/>
  <c r="K129" i="285"/>
  <c r="T9" i="285"/>
  <c r="N6" i="285"/>
  <c r="L120" i="285"/>
  <c r="J100" i="285"/>
  <c r="S129" i="285"/>
  <c r="M131" i="285"/>
  <c r="X71" i="285"/>
  <c r="P96" i="285"/>
  <c r="V108" i="285"/>
  <c r="W119" i="285"/>
  <c r="U92" i="285"/>
  <c r="W115" i="285"/>
  <c r="X66" i="285"/>
  <c r="T111" i="285"/>
  <c r="T98" i="285"/>
  <c r="J27" i="285"/>
  <c r="J73" i="285"/>
  <c r="V92" i="285"/>
  <c r="O101" i="285"/>
  <c r="M135" i="285"/>
  <c r="M47" i="285"/>
  <c r="P48" i="285"/>
  <c r="O123" i="285"/>
  <c r="W140" i="285"/>
  <c r="P25" i="285"/>
  <c r="U132" i="285"/>
  <c r="O17" i="285"/>
  <c r="X138" i="285"/>
  <c r="O64" i="285"/>
  <c r="V65" i="285"/>
  <c r="P110" i="285"/>
  <c r="U77" i="285"/>
  <c r="X72" i="285"/>
  <c r="U48" i="285"/>
  <c r="W120" i="285"/>
  <c r="N78" i="285"/>
  <c r="R140" i="285"/>
  <c r="T78" i="285"/>
  <c r="M63" i="285"/>
  <c r="M45" i="285"/>
  <c r="W84" i="285"/>
  <c r="K53" i="285"/>
  <c r="O47" i="282"/>
  <c r="W79" i="285"/>
  <c r="U128" i="285"/>
  <c r="T138" i="285"/>
  <c r="V19" i="285"/>
  <c r="W109" i="285"/>
  <c r="P54" i="285"/>
  <c r="P88" i="285"/>
  <c r="W66" i="285"/>
  <c r="W127" i="285"/>
  <c r="X21" i="285"/>
  <c r="T117" i="285"/>
  <c r="S47" i="283"/>
  <c r="M17" i="285"/>
  <c r="O86" i="285"/>
  <c r="K89" i="285"/>
  <c r="P61" i="285"/>
  <c r="K47" i="281"/>
  <c r="N41" i="285"/>
  <c r="U75" i="285"/>
  <c r="T119" i="285"/>
  <c r="R113" i="285"/>
  <c r="J120" i="285"/>
  <c r="U76" i="285"/>
  <c r="X5" i="285"/>
  <c r="U24" i="285"/>
  <c r="V64" i="285"/>
  <c r="L39" i="285"/>
  <c r="U135" i="285"/>
  <c r="U118" i="285"/>
  <c r="R115" i="285"/>
  <c r="M111" i="285"/>
  <c r="P118" i="285"/>
  <c r="N118" i="285"/>
  <c r="S113" i="285"/>
  <c r="W43" i="285"/>
  <c r="N83" i="285"/>
  <c r="R78" i="285"/>
  <c r="V11" i="285"/>
  <c r="X69" i="285"/>
  <c r="U36" i="285"/>
  <c r="X47" i="280"/>
  <c r="K18" i="285"/>
  <c r="J104" i="285"/>
  <c r="U101" i="285"/>
  <c r="S118" i="285"/>
  <c r="U126" i="285"/>
  <c r="T63" i="285"/>
  <c r="M109" i="285"/>
  <c r="N25" i="285"/>
  <c r="V85" i="285"/>
  <c r="R47" i="284"/>
  <c r="P22" i="285"/>
  <c r="X61" i="285"/>
  <c r="P47" i="285"/>
  <c r="S47" i="285"/>
  <c r="V134" i="285"/>
  <c r="R135" i="285"/>
  <c r="P101" i="285"/>
  <c r="R35" i="285"/>
  <c r="O119" i="285"/>
  <c r="L118" i="285"/>
  <c r="J48" i="285"/>
  <c r="K108" i="285"/>
  <c r="X84" i="285"/>
  <c r="U64" i="285"/>
  <c r="P93" i="285"/>
  <c r="V139" i="285"/>
  <c r="X119" i="285"/>
  <c r="W47" i="279"/>
  <c r="V29" i="285"/>
  <c r="O108" i="285"/>
  <c r="N99" i="285"/>
  <c r="V59" i="285"/>
  <c r="K59" i="285"/>
  <c r="R30" i="285"/>
  <c r="T118" i="285"/>
  <c r="M52" i="285"/>
  <c r="O25" i="285"/>
  <c r="O89" i="285"/>
  <c r="R55" i="285"/>
  <c r="S94" i="285"/>
  <c r="U60" i="285"/>
  <c r="W62" i="285"/>
  <c r="L13" i="285"/>
  <c r="W47" i="285"/>
  <c r="J87" i="285"/>
  <c r="V100" i="285"/>
  <c r="V48" i="285"/>
  <c r="X47" i="278"/>
  <c r="N116" i="285"/>
  <c r="K7" i="285"/>
  <c r="X53" i="285"/>
  <c r="O52" i="285"/>
  <c r="X19" i="285"/>
  <c r="P75" i="285"/>
  <c r="P77" i="285"/>
  <c r="N28" i="285"/>
  <c r="X120" i="285"/>
  <c r="V52" i="285"/>
  <c r="V97" i="285"/>
  <c r="K120" i="285"/>
  <c r="N127" i="285"/>
  <c r="N139" i="285"/>
  <c r="T121" i="285"/>
  <c r="V18" i="285"/>
  <c r="M62" i="285"/>
  <c r="T60" i="285"/>
  <c r="O58" i="285"/>
  <c r="N67" i="285"/>
  <c r="N96" i="285"/>
  <c r="S69" i="285"/>
  <c r="W41" i="285"/>
  <c r="J9" i="285"/>
  <c r="R132" i="285"/>
  <c r="N46" i="285"/>
  <c r="W68" i="285"/>
  <c r="M134" i="285"/>
  <c r="M96" i="285"/>
  <c r="W57" i="285"/>
  <c r="R48" i="285"/>
  <c r="T16" i="285"/>
  <c r="V13" i="285"/>
  <c r="R111" i="285"/>
  <c r="K60" i="285"/>
  <c r="W90" i="285"/>
  <c r="U67" i="285"/>
  <c r="K114" i="285"/>
  <c r="L55" i="285"/>
  <c r="P37" i="285"/>
  <c r="M51" i="285"/>
  <c r="S72" i="285"/>
  <c r="V114" i="285"/>
  <c r="V82" i="285"/>
  <c r="N21" i="285"/>
  <c r="T70" i="285"/>
  <c r="L18" i="285"/>
  <c r="V130" i="285"/>
  <c r="R68" i="285"/>
  <c r="X101" i="285"/>
  <c r="R47" i="279"/>
  <c r="U47" i="285"/>
  <c r="V75" i="285"/>
  <c r="X124" i="285"/>
  <c r="N108" i="285"/>
  <c r="T23" i="285"/>
  <c r="P27" i="285"/>
  <c r="K93" i="285"/>
  <c r="W19" i="285"/>
  <c r="W65" i="285"/>
  <c r="P87" i="285"/>
  <c r="K104" i="285"/>
  <c r="T48" i="285"/>
  <c r="T12" i="285"/>
  <c r="K90" i="285"/>
  <c r="X76" i="285"/>
  <c r="O137" i="285"/>
  <c r="X67" i="285"/>
  <c r="R137" i="275"/>
  <c r="W6" i="285"/>
  <c r="S105" i="285"/>
  <c r="O135" i="285"/>
  <c r="J135" i="285"/>
  <c r="O132" i="285"/>
  <c r="M10" i="285"/>
  <c r="O9" i="285"/>
  <c r="M18" i="285"/>
  <c r="N42" i="285"/>
  <c r="T91" i="285"/>
  <c r="W31" i="285"/>
  <c r="N56" i="285"/>
  <c r="T14" i="285"/>
  <c r="W35" i="285"/>
  <c r="X10" i="285"/>
  <c r="O35" i="285"/>
  <c r="W108" i="285"/>
  <c r="O140" i="285"/>
  <c r="V111" i="285"/>
  <c r="P38" i="285"/>
  <c r="U55" i="285"/>
  <c r="T25" i="285"/>
  <c r="M4" i="285"/>
  <c r="W5" i="285"/>
  <c r="O69" i="285"/>
  <c r="P49" i="285"/>
  <c r="W89" i="285"/>
  <c r="J85" i="285"/>
  <c r="O139" i="470"/>
  <c r="J72" i="285"/>
  <c r="M47" i="278"/>
  <c r="S42" i="285"/>
  <c r="S18" i="285"/>
  <c r="P52" i="285"/>
  <c r="R41" i="285"/>
  <c r="S47" i="280"/>
  <c r="X56" i="285"/>
  <c r="T22" i="285"/>
  <c r="O73" i="285"/>
  <c r="J13" i="285"/>
  <c r="K62" i="285"/>
  <c r="L106" i="285"/>
  <c r="R42" i="285"/>
  <c r="S137" i="285"/>
  <c r="T80" i="285"/>
  <c r="O134" i="285"/>
  <c r="V21" i="285"/>
  <c r="R39" i="285"/>
  <c r="M46" i="285"/>
  <c r="U46" i="285"/>
  <c r="V31" i="285"/>
  <c r="O78" i="285"/>
  <c r="L94" i="285"/>
  <c r="W25" i="285"/>
  <c r="R117" i="285"/>
  <c r="L113" i="285"/>
  <c r="O13" i="285"/>
  <c r="O104" i="285"/>
  <c r="X47" i="285"/>
  <c r="R130" i="285"/>
  <c r="K42" i="285"/>
  <c r="V32" i="285"/>
  <c r="O95" i="285"/>
  <c r="N126" i="285"/>
  <c r="O62" i="285"/>
  <c r="W124" i="285"/>
  <c r="W24" i="285"/>
  <c r="X32" i="285"/>
  <c r="N47" i="283"/>
  <c r="K65" i="285"/>
  <c r="J47" i="280"/>
  <c r="S135" i="285"/>
  <c r="U42" i="285"/>
  <c r="P72" i="285"/>
  <c r="R139" i="470"/>
  <c r="O41" i="285"/>
  <c r="T99" i="285"/>
  <c r="L105" i="285"/>
  <c r="L91" i="285"/>
  <c r="N43" i="285"/>
  <c r="O10" i="285"/>
  <c r="X110" i="285"/>
  <c r="P115" i="285"/>
  <c r="M76" i="285"/>
  <c r="X65" i="285"/>
  <c r="T42" i="285"/>
  <c r="P99" i="285"/>
  <c r="S116" i="285"/>
  <c r="P76" i="285"/>
  <c r="R40" i="285"/>
  <c r="M42" i="285"/>
  <c r="J25" i="285"/>
  <c r="X131" i="285"/>
  <c r="T103" i="285"/>
  <c r="K69" i="285"/>
  <c r="P23" i="285"/>
  <c r="S28" i="285"/>
  <c r="S47" i="284"/>
  <c r="V12" i="285"/>
  <c r="U94" i="285"/>
  <c r="W69" i="285"/>
  <c r="M115" i="285"/>
  <c r="K115" i="285"/>
  <c r="J130" i="285"/>
  <c r="L47" i="278"/>
  <c r="S63" i="285"/>
  <c r="N88" i="285"/>
  <c r="U33" i="285"/>
  <c r="O57" i="285"/>
  <c r="T88" i="285"/>
  <c r="R65" i="285"/>
  <c r="J121" i="285"/>
  <c r="S64" i="285"/>
  <c r="N122" i="285"/>
  <c r="N106" i="285"/>
  <c r="S100" i="285"/>
  <c r="R71" i="285"/>
  <c r="U6" i="285"/>
  <c r="N24" i="285"/>
  <c r="T47" i="282"/>
  <c r="T95" i="285"/>
  <c r="J34" i="285"/>
  <c r="X104" i="285"/>
  <c r="M79" i="285"/>
  <c r="P47" i="281"/>
  <c r="N84" i="285"/>
  <c r="O112" i="285"/>
  <c r="O36" i="285"/>
  <c r="J102" i="285"/>
  <c r="M133" i="285"/>
  <c r="N16" i="285"/>
  <c r="O77" i="285"/>
  <c r="L69" i="285"/>
  <c r="X6" i="285"/>
  <c r="X98" i="285"/>
  <c r="P134" i="285"/>
  <c r="X73" i="285"/>
  <c r="M74" i="285"/>
  <c r="J91" i="285"/>
  <c r="V125" i="285"/>
  <c r="P70" i="285"/>
  <c r="S65" i="285"/>
  <c r="M91" i="285"/>
  <c r="L21" i="285"/>
  <c r="U136" i="285"/>
  <c r="L6" i="285"/>
  <c r="U115" i="285"/>
  <c r="P104" i="285"/>
  <c r="P119" i="285"/>
  <c r="W130" i="285"/>
  <c r="T26" i="285"/>
  <c r="T20" i="285"/>
  <c r="T90" i="285"/>
  <c r="X115" i="285"/>
  <c r="M57" i="285"/>
  <c r="P34" i="285"/>
  <c r="M47" i="281"/>
  <c r="L43" i="285"/>
  <c r="V106" i="285"/>
  <c r="J78" i="285"/>
  <c r="R79" i="285"/>
  <c r="T109" i="285"/>
  <c r="L67" i="285"/>
  <c r="S30" i="285"/>
  <c r="W139" i="285"/>
  <c r="U16" i="285"/>
  <c r="V113" i="285"/>
  <c r="L36" i="285"/>
  <c r="U138" i="285"/>
  <c r="V135" i="285"/>
  <c r="P29" i="285"/>
  <c r="M137" i="275"/>
  <c r="L31" i="285"/>
  <c r="T131" i="285"/>
  <c r="X25" i="285"/>
  <c r="P68" i="285"/>
  <c r="P63" i="285"/>
  <c r="T59" i="285"/>
  <c r="M16" i="285"/>
  <c r="P26" i="285"/>
  <c r="X30" i="285"/>
  <c r="L24" i="285"/>
  <c r="L15" i="285"/>
  <c r="W86" i="285"/>
  <c r="S13" i="285"/>
  <c r="T41" i="285"/>
  <c r="O91" i="285"/>
  <c r="J24" i="285"/>
  <c r="J45" i="285"/>
  <c r="R66" i="285"/>
  <c r="W30" i="285"/>
  <c r="M101" i="285"/>
  <c r="K50" i="285"/>
  <c r="S40" i="285"/>
  <c r="O22" i="285"/>
  <c r="U81" i="285"/>
  <c r="N79" i="285"/>
  <c r="S22" i="285"/>
  <c r="W118" i="285"/>
  <c r="P45" i="285"/>
  <c r="O20" i="285"/>
  <c r="U88" i="285"/>
  <c r="R69" i="285"/>
  <c r="M77" i="285"/>
  <c r="T55" i="285"/>
  <c r="O124" i="285"/>
  <c r="U91" i="285"/>
  <c r="R102" i="285"/>
  <c r="U44" i="285"/>
  <c r="W8" i="285"/>
  <c r="L22" i="285"/>
  <c r="O31" i="285"/>
  <c r="X86" i="285"/>
  <c r="R18" i="285"/>
  <c r="W133" i="285"/>
  <c r="P95" i="285"/>
  <c r="P106" i="285"/>
  <c r="N135" i="285"/>
  <c r="M99" i="285"/>
  <c r="O76" i="285"/>
  <c r="V45" i="285"/>
  <c r="N101" i="285"/>
  <c r="P80" i="285"/>
  <c r="J66" i="285"/>
  <c r="S47" i="279"/>
  <c r="U47" i="278"/>
  <c r="T62" i="285"/>
  <c r="X70" i="285"/>
  <c r="J47" i="284"/>
  <c r="K128" i="285"/>
  <c r="S8" i="285"/>
  <c r="W83" i="285"/>
  <c r="L74" i="285"/>
  <c r="L47" i="285"/>
  <c r="O63" i="285"/>
  <c r="N11" i="285"/>
  <c r="S16" i="285"/>
  <c r="M48" i="285"/>
  <c r="S117" i="285"/>
  <c r="U25" i="285"/>
  <c r="M78" i="285"/>
  <c r="S102" i="285"/>
  <c r="S90" i="285"/>
  <c r="X121" i="285"/>
  <c r="O133" i="285"/>
  <c r="N87" i="285"/>
  <c r="N85" i="285"/>
  <c r="J47" i="279"/>
  <c r="R34" i="285"/>
  <c r="J54" i="285"/>
  <c r="K47" i="275"/>
  <c r="O115" i="285"/>
  <c r="T120" i="285"/>
  <c r="L44" i="285"/>
  <c r="X13" i="285"/>
  <c r="J59" i="285"/>
  <c r="J4" i="285"/>
  <c r="W50" i="285"/>
  <c r="U103" i="285"/>
  <c r="K96" i="285"/>
  <c r="M97" i="285"/>
  <c r="R4" i="285"/>
  <c r="W47" i="280"/>
  <c r="X11" i="285"/>
  <c r="L133" i="285"/>
  <c r="S39" i="285"/>
  <c r="X31" i="285"/>
  <c r="M93" i="285"/>
  <c r="S98" i="285"/>
  <c r="N97" i="285"/>
  <c r="L137" i="285"/>
  <c r="U127" i="285"/>
  <c r="W9" i="285"/>
  <c r="P94" i="285"/>
  <c r="N112" i="285"/>
  <c r="T47" i="278"/>
  <c r="J125" i="285"/>
  <c r="R60" i="285"/>
  <c r="X47" i="284"/>
  <c r="N115" i="285"/>
  <c r="P44" i="285"/>
  <c r="R37" i="285"/>
  <c r="W128" i="285"/>
  <c r="L122" i="285"/>
  <c r="V62" i="285"/>
  <c r="N98" i="285"/>
  <c r="L5" i="285"/>
  <c r="P41" i="285"/>
  <c r="W39" i="285"/>
  <c r="R77" i="285"/>
  <c r="R5" i="285"/>
  <c r="N89" i="285"/>
  <c r="K45" i="285"/>
  <c r="J38" i="285"/>
  <c r="U100" i="285"/>
  <c r="W101" i="285"/>
  <c r="V60" i="285"/>
  <c r="O136" i="285"/>
  <c r="X52" i="285"/>
  <c r="U102" i="285"/>
  <c r="M125" i="285"/>
  <c r="N44" i="285"/>
  <c r="K33" i="285"/>
  <c r="R118" i="285"/>
  <c r="V78" i="285"/>
  <c r="X27" i="285"/>
  <c r="M54" i="285"/>
  <c r="U62" i="285"/>
  <c r="J44" i="285"/>
  <c r="L7" i="285"/>
  <c r="X37" i="285"/>
  <c r="X80" i="285"/>
  <c r="X91" i="285"/>
  <c r="N22" i="285"/>
  <c r="N58" i="285"/>
  <c r="R26" i="285"/>
  <c r="W87" i="285"/>
  <c r="R50" i="285"/>
  <c r="W103" i="285"/>
  <c r="L134" i="285"/>
  <c r="X44" i="285"/>
  <c r="V116" i="285"/>
  <c r="W126" i="285"/>
  <c r="R17" i="285"/>
  <c r="T37" i="285"/>
  <c r="N75" i="285"/>
  <c r="S82" i="285"/>
  <c r="J6" i="285"/>
  <c r="X116" i="285"/>
  <c r="T115" i="285"/>
  <c r="U57" i="285"/>
  <c r="K131" i="285"/>
  <c r="R139" i="285"/>
  <c r="X36" i="285"/>
  <c r="W20" i="285"/>
  <c r="L98" i="285"/>
  <c r="W110" i="285"/>
  <c r="T133" i="285"/>
  <c r="P67" i="285"/>
  <c r="K117" i="285"/>
  <c r="J138" i="285"/>
  <c r="L42" i="285"/>
  <c r="K47" i="282"/>
  <c r="L49" i="285"/>
  <c r="N125" i="285"/>
  <c r="R96" i="285"/>
  <c r="T69" i="285"/>
  <c r="K47" i="278"/>
  <c r="X49" i="285"/>
  <c r="U116" i="285"/>
  <c r="P127" i="285"/>
  <c r="M105" i="285"/>
  <c r="S47" i="282"/>
  <c r="R56" i="285"/>
  <c r="T71" i="285"/>
  <c r="W98" i="285"/>
  <c r="U54" i="285"/>
  <c r="O100" i="285"/>
  <c r="X14" i="285"/>
  <c r="O47" i="279"/>
  <c r="R58" i="285"/>
  <c r="T45" i="285"/>
  <c r="T29" i="285"/>
  <c r="R16" i="285"/>
  <c r="L45" i="285"/>
  <c r="X78" i="285"/>
  <c r="J14" i="285"/>
  <c r="V137" i="285"/>
  <c r="J89" i="285"/>
  <c r="R45" i="285"/>
  <c r="X20" i="285"/>
  <c r="X123" i="285"/>
  <c r="O40" i="285"/>
  <c r="M87" i="285"/>
  <c r="U114" i="285"/>
  <c r="X47" i="281"/>
  <c r="K113" i="285"/>
  <c r="K130" i="285"/>
  <c r="M44" i="285"/>
  <c r="O55" i="285"/>
  <c r="N30" i="285"/>
  <c r="U140" i="285"/>
  <c r="K105" i="285"/>
  <c r="L114" i="285"/>
  <c r="N38" i="285"/>
  <c r="W18" i="285"/>
  <c r="V47" i="284"/>
  <c r="V39" i="285"/>
  <c r="J122" i="285"/>
  <c r="W22" i="285"/>
  <c r="U59" i="285"/>
  <c r="S67" i="285"/>
  <c r="X129" i="285"/>
  <c r="M47" i="283"/>
  <c r="U110" i="285"/>
  <c r="R62" i="285"/>
  <c r="U139" i="470"/>
  <c r="U34" i="285"/>
  <c r="J117" i="285"/>
  <c r="U130" i="285"/>
  <c r="T64" i="285"/>
  <c r="O113" i="285"/>
  <c r="T52" i="285"/>
  <c r="T129" i="285"/>
  <c r="T47" i="285"/>
  <c r="T77" i="285"/>
  <c r="S26" i="285"/>
  <c r="T96" i="285"/>
  <c r="W125" i="285"/>
  <c r="R116" i="285"/>
  <c r="P47" i="282"/>
  <c r="O12" i="285"/>
  <c r="T44" i="285"/>
  <c r="O87" i="285"/>
  <c r="N60" i="285"/>
  <c r="K35" i="285"/>
  <c r="M30" i="285"/>
  <c r="K19" i="285"/>
  <c r="R88" i="285"/>
  <c r="N37" i="285"/>
  <c r="T135" i="285"/>
  <c r="N34" i="285"/>
  <c r="W112" i="285"/>
  <c r="M121" i="285"/>
  <c r="T74" i="285"/>
  <c r="V126" i="285"/>
  <c r="U129" i="285"/>
  <c r="S78" i="285"/>
  <c r="O27" i="285"/>
  <c r="O8" i="285"/>
  <c r="W114" i="285"/>
  <c r="J126" i="285"/>
  <c r="X54" i="285"/>
  <c r="M80" i="285"/>
  <c r="R99" i="285"/>
  <c r="M22" i="285"/>
  <c r="X68" i="285"/>
  <c r="J118" i="285"/>
  <c r="L139" i="285"/>
  <c r="U120" i="285"/>
  <c r="W37" i="285"/>
  <c r="L95" i="285"/>
  <c r="U73" i="285"/>
  <c r="S127" i="285"/>
  <c r="W15" i="285"/>
  <c r="M100" i="285"/>
  <c r="R82" i="285"/>
  <c r="L97" i="285"/>
  <c r="J107" i="285"/>
  <c r="W51" i="285"/>
  <c r="K100" i="285"/>
  <c r="S107" i="285"/>
  <c r="J63" i="285"/>
  <c r="X90" i="285"/>
  <c r="S130" i="285"/>
  <c r="S66" i="285"/>
  <c r="W54" i="285"/>
  <c r="N36" i="285"/>
  <c r="J47" i="283"/>
  <c r="N47" i="280"/>
  <c r="S111" i="285"/>
  <c r="T128" i="285"/>
  <c r="S24" i="285"/>
  <c r="N59" i="285"/>
  <c r="O122" i="285"/>
  <c r="R23" i="285"/>
  <c r="S68" i="285"/>
  <c r="J26" i="285"/>
  <c r="R72" i="285"/>
  <c r="V107" i="285"/>
  <c r="R52" i="285"/>
  <c r="K109" i="285"/>
  <c r="N65" i="285"/>
  <c r="T11" i="285"/>
  <c r="K82" i="285"/>
  <c r="X79" i="285"/>
  <c r="M8" i="285"/>
  <c r="R36" i="285"/>
  <c r="M61" i="285"/>
  <c r="J41" i="285"/>
  <c r="T31" i="285"/>
  <c r="X59" i="285"/>
  <c r="K79" i="285"/>
  <c r="P51" i="285"/>
  <c r="M26" i="285"/>
  <c r="U87" i="285"/>
  <c r="P122" i="285"/>
  <c r="P31" i="285"/>
  <c r="R80" i="285"/>
  <c r="M43" i="285"/>
  <c r="X102" i="285"/>
  <c r="L28" i="285"/>
  <c r="R7" i="285"/>
  <c r="S56" i="285"/>
  <c r="O15" i="285"/>
  <c r="V128" i="285"/>
  <c r="V38" i="285"/>
  <c r="J49" i="285"/>
  <c r="T116" i="285"/>
  <c r="J94" i="285"/>
  <c r="U96" i="285"/>
  <c r="R44" i="285"/>
  <c r="W74" i="285"/>
  <c r="N137" i="285"/>
  <c r="S6" i="285"/>
  <c r="K24" i="285"/>
  <c r="W44" i="285"/>
  <c r="J33" i="285"/>
  <c r="N95" i="285"/>
  <c r="S50" i="285"/>
  <c r="X4" i="285"/>
  <c r="J109" i="285"/>
  <c r="U49" i="285"/>
  <c r="L119" i="285"/>
  <c r="V90" i="285"/>
  <c r="V47" i="285"/>
  <c r="N66" i="285"/>
  <c r="O79" i="285"/>
  <c r="R47" i="285"/>
  <c r="R94" i="285"/>
  <c r="W129" i="285"/>
  <c r="J137" i="275"/>
  <c r="T30" i="285"/>
  <c r="V110" i="285"/>
  <c r="O114" i="285"/>
  <c r="J53" i="285"/>
  <c r="N63" i="285"/>
  <c r="U10" i="285"/>
  <c r="V89" i="285"/>
  <c r="K116" i="285"/>
  <c r="J84" i="285"/>
  <c r="W52" i="285"/>
  <c r="V68" i="285"/>
  <c r="T57" i="285"/>
  <c r="M12" i="285"/>
  <c r="S122" i="285"/>
  <c r="V35" i="285"/>
  <c r="K14" i="285"/>
  <c r="U112" i="285"/>
  <c r="N69" i="285"/>
  <c r="U45" i="285"/>
  <c r="S5" i="285"/>
  <c r="J82" i="285"/>
  <c r="L37" i="285"/>
  <c r="N33" i="285"/>
  <c r="V99" i="285"/>
  <c r="R67" i="285"/>
  <c r="P20" i="285"/>
  <c r="L101" i="285"/>
  <c r="S61" i="285"/>
  <c r="X97" i="285"/>
  <c r="J56" i="285"/>
  <c r="O72" i="285"/>
  <c r="N119" i="285"/>
  <c r="S32" i="285"/>
  <c r="U23" i="285"/>
  <c r="R12" i="285"/>
  <c r="R129" i="285"/>
  <c r="K125" i="285"/>
  <c r="X29" i="285"/>
  <c r="L14" i="285"/>
  <c r="J47" i="278"/>
  <c r="S74" i="285"/>
  <c r="P89" i="285"/>
  <c r="R123" i="285"/>
  <c r="L132" i="285"/>
  <c r="X112" i="285"/>
  <c r="K22" i="285"/>
  <c r="L102" i="285"/>
  <c r="P125" i="285"/>
  <c r="M132" i="285"/>
  <c r="U11" i="285"/>
  <c r="L86" i="285"/>
  <c r="K9" i="285"/>
  <c r="W131" i="285"/>
  <c r="V16" i="285"/>
  <c r="S34" i="285"/>
  <c r="T7" i="285"/>
  <c r="T130" i="285"/>
  <c r="X88" i="285"/>
  <c r="M103" i="285"/>
  <c r="W46" i="285"/>
  <c r="V102" i="285"/>
  <c r="O37" i="285"/>
  <c r="W137" i="285"/>
  <c r="R31" i="285"/>
  <c r="W121" i="285"/>
  <c r="L79" i="285"/>
  <c r="L47" i="281"/>
  <c r="K112" i="285"/>
  <c r="O61" i="285"/>
  <c r="L40" i="285"/>
  <c r="N139" i="470"/>
  <c r="T6" i="285"/>
  <c r="P71" i="285"/>
  <c r="R114" i="285"/>
  <c r="O121" i="285"/>
  <c r="T18" i="285"/>
  <c r="V76" i="285"/>
  <c r="M50" i="285"/>
  <c r="X134" i="285"/>
  <c r="O60" i="285"/>
  <c r="T61" i="285"/>
  <c r="V120" i="285"/>
  <c r="O127" i="285"/>
  <c r="V123" i="285"/>
  <c r="L62" i="285"/>
  <c r="K66" i="285"/>
  <c r="J112" i="285"/>
  <c r="W14" i="285"/>
  <c r="J68" i="285"/>
  <c r="O83" i="285"/>
  <c r="T21" i="285"/>
  <c r="S109" i="285"/>
  <c r="X89" i="285"/>
  <c r="S57" i="285"/>
  <c r="U133" i="285"/>
  <c r="O34" i="285"/>
  <c r="R81" i="285"/>
  <c r="X18" i="285"/>
  <c r="N7" i="285"/>
  <c r="X137" i="285"/>
  <c r="P62" i="285"/>
  <c r="J105" i="285"/>
  <c r="O47" i="275"/>
  <c r="K74" i="285"/>
  <c r="W45" i="285"/>
  <c r="M6" i="285"/>
  <c r="J29" i="285"/>
  <c r="W27" i="285"/>
  <c r="O7" i="285"/>
  <c r="K110" i="285"/>
  <c r="U5" i="285"/>
  <c r="O43" i="285"/>
  <c r="J12" i="285"/>
  <c r="O129" i="285"/>
  <c r="X42" i="285"/>
  <c r="N9" i="285"/>
  <c r="P13" i="285"/>
  <c r="N10" i="285"/>
  <c r="X7" i="285"/>
  <c r="V80" i="285"/>
  <c r="J47" i="281"/>
  <c r="U20" i="285"/>
  <c r="W11" i="285"/>
  <c r="T114" i="285"/>
  <c r="W139" i="470"/>
  <c r="U50" i="285"/>
  <c r="M68" i="285"/>
  <c r="N68" i="285"/>
  <c r="W17" i="285"/>
  <c r="L20" i="285"/>
  <c r="S9" i="285"/>
  <c r="L135" i="285"/>
  <c r="V61" i="285"/>
  <c r="P47" i="284"/>
  <c r="N15" i="285"/>
  <c r="W94" i="285"/>
  <c r="L85" i="285"/>
  <c r="J115" i="285"/>
  <c r="V43" i="285"/>
  <c r="W104" i="285"/>
  <c r="W47" i="275"/>
  <c r="W42" i="285"/>
  <c r="U104" i="285"/>
  <c r="V47" i="281"/>
  <c r="N49" i="285"/>
  <c r="M35" i="285"/>
  <c r="R27" i="285"/>
  <c r="W100" i="285"/>
  <c r="W47" i="284"/>
  <c r="W80" i="285"/>
  <c r="R24" i="285"/>
  <c r="T47" i="284"/>
  <c r="R100" i="285"/>
  <c r="J37" i="285"/>
  <c r="L96" i="285"/>
  <c r="R63" i="285"/>
  <c r="P133" i="285"/>
  <c r="M89" i="285"/>
  <c r="K41" i="285"/>
  <c r="J18" i="285"/>
  <c r="M58" i="285"/>
  <c r="U4" i="285"/>
  <c r="L4" i="285"/>
  <c r="T136" i="285"/>
  <c r="R127" i="285"/>
  <c r="J50" i="285"/>
  <c r="U86" i="285"/>
  <c r="V47" i="279"/>
  <c r="K49" i="285"/>
  <c r="L90" i="285"/>
  <c r="L68" i="285"/>
  <c r="W73" i="285"/>
  <c r="T104" i="285"/>
  <c r="M37" i="285"/>
  <c r="T47" i="279"/>
  <c r="V67" i="285"/>
  <c r="S138" i="285"/>
  <c r="V10" i="285"/>
  <c r="L47" i="279"/>
  <c r="U84" i="285"/>
  <c r="R20" i="285"/>
  <c r="T49" i="285"/>
  <c r="W116" i="285"/>
  <c r="S110" i="285"/>
  <c r="L50" i="285"/>
  <c r="J52" i="285"/>
  <c r="J119" i="285"/>
  <c r="S36" i="285"/>
  <c r="P15" i="285"/>
  <c r="J108" i="285"/>
  <c r="U82" i="285"/>
  <c r="N53" i="285"/>
  <c r="P81" i="285"/>
  <c r="M95" i="285"/>
  <c r="N130" i="285"/>
  <c r="O44" i="285"/>
  <c r="M112" i="285"/>
  <c r="R109" i="285"/>
  <c r="K126" i="285"/>
  <c r="X83" i="285"/>
  <c r="N138" i="285"/>
  <c r="K15" i="285"/>
  <c r="L127" i="285"/>
  <c r="P8" i="285"/>
  <c r="P107" i="285"/>
  <c r="V112" i="285"/>
  <c r="S55" i="285"/>
  <c r="S133" i="285"/>
  <c r="L115" i="285"/>
  <c r="O47" i="284"/>
  <c r="T112" i="285"/>
  <c r="V124" i="285"/>
  <c r="M85" i="285"/>
  <c r="T66" i="285"/>
  <c r="K137" i="275"/>
  <c r="M13" i="285"/>
  <c r="W77" i="285"/>
  <c r="O28" i="285"/>
  <c r="T134" i="285"/>
  <c r="X9" i="285"/>
  <c r="K23" i="285"/>
  <c r="X126" i="285"/>
  <c r="W47" i="281"/>
  <c r="J58" i="285"/>
  <c r="U66" i="285"/>
  <c r="T28" i="285"/>
  <c r="R47" i="280"/>
  <c r="K46" i="285"/>
  <c r="J47" i="275"/>
  <c r="L70" i="285"/>
  <c r="L129" i="285"/>
  <c r="U124" i="285"/>
  <c r="X48" i="285"/>
  <c r="U108" i="285"/>
  <c r="U106" i="285"/>
  <c r="K71" i="285"/>
  <c r="P10" i="285"/>
  <c r="M124" i="285"/>
  <c r="U43" i="285"/>
  <c r="J57" i="285"/>
  <c r="R106" i="285"/>
  <c r="R8" i="285"/>
  <c r="L57" i="285"/>
  <c r="U53" i="285"/>
  <c r="X105" i="285"/>
  <c r="M15" i="285"/>
  <c r="M82" i="285"/>
  <c r="M128" i="285"/>
  <c r="S38" i="285"/>
  <c r="R28" i="285"/>
  <c r="U70" i="285"/>
  <c r="P111" i="285"/>
  <c r="N73" i="285"/>
  <c r="S53" i="285"/>
  <c r="O80" i="285"/>
  <c r="W58" i="285"/>
  <c r="J92" i="285"/>
  <c r="X15" i="285"/>
  <c r="S136" i="285"/>
  <c r="O106" i="285"/>
  <c r="M20" i="285"/>
  <c r="J136" i="285"/>
  <c r="T36" i="285"/>
  <c r="J23" i="285"/>
  <c r="V72" i="285"/>
  <c r="X118" i="285"/>
  <c r="L17" i="285"/>
  <c r="V129" i="285"/>
  <c r="R32" i="285"/>
  <c r="K84" i="285"/>
  <c r="R19" i="285"/>
  <c r="T102" i="285"/>
  <c r="P121" i="285"/>
  <c r="R49" i="285"/>
  <c r="J114" i="285"/>
  <c r="N128" i="285"/>
  <c r="M138" i="285"/>
  <c r="U123" i="285"/>
  <c r="W111" i="285"/>
  <c r="X16" i="285"/>
  <c r="P91" i="285"/>
  <c r="S44" i="285"/>
  <c r="K107" i="285"/>
  <c r="X92" i="285"/>
  <c r="M123" i="285"/>
  <c r="W96" i="285"/>
  <c r="X139" i="470"/>
  <c r="P98" i="285"/>
  <c r="P35" i="285"/>
  <c r="S132" i="285"/>
  <c r="J111" i="285"/>
  <c r="S103" i="285"/>
  <c r="K32" i="285"/>
  <c r="W59" i="285"/>
  <c r="N52" i="285"/>
  <c r="K17" i="285"/>
  <c r="P83" i="285"/>
  <c r="S104" i="285"/>
  <c r="U13" i="285"/>
  <c r="X111" i="285"/>
  <c r="T75" i="285"/>
  <c r="U97" i="285"/>
  <c r="P9" i="285"/>
  <c r="V119" i="285"/>
  <c r="S121" i="285"/>
  <c r="W23" i="285"/>
  <c r="R89" i="285"/>
  <c r="M139" i="470"/>
  <c r="T47" i="281"/>
  <c r="W138" i="285"/>
  <c r="O90" i="285"/>
  <c r="S47" i="278"/>
  <c r="S49" i="285"/>
  <c r="X63" i="285"/>
  <c r="R138" i="285"/>
  <c r="J123" i="285"/>
  <c r="K55" i="285"/>
  <c r="U47" i="279"/>
  <c r="S86" i="285"/>
  <c r="J10" i="285"/>
  <c r="U61" i="285"/>
  <c r="U52" i="285"/>
  <c r="N8" i="285"/>
  <c r="L126" i="285"/>
  <c r="N121" i="285"/>
  <c r="S37" i="285"/>
  <c r="S75" i="285"/>
  <c r="N137" i="275"/>
  <c r="J137" i="285"/>
  <c r="S47" i="281"/>
  <c r="K132" i="285"/>
  <c r="N47" i="282"/>
  <c r="W137" i="275"/>
  <c r="P47" i="279"/>
  <c r="P97" i="285"/>
  <c r="R86" i="285"/>
  <c r="U105" i="285"/>
  <c r="R46" i="285"/>
  <c r="X133" i="285"/>
  <c r="W63" i="285"/>
  <c r="K27" i="285"/>
  <c r="U39" i="285"/>
  <c r="L33" i="285"/>
  <c r="K99" i="285"/>
  <c r="M84" i="285"/>
  <c r="P108" i="285"/>
  <c r="R134" i="285"/>
  <c r="S120" i="285"/>
  <c r="U80" i="285"/>
  <c r="U19" i="285"/>
  <c r="S70" i="285"/>
  <c r="M66" i="285"/>
  <c r="W71" i="285"/>
  <c r="J46" i="285"/>
  <c r="O70" i="285"/>
  <c r="L73" i="285"/>
  <c r="S48" i="285"/>
  <c r="L51" i="285"/>
  <c r="J110" i="285"/>
  <c r="N26" i="285"/>
  <c r="L103" i="285"/>
  <c r="T53" i="285"/>
  <c r="J71" i="285"/>
  <c r="X8" i="285"/>
  <c r="V83" i="285"/>
  <c r="M47" i="279"/>
  <c r="J77" i="285"/>
  <c r="X99" i="285"/>
  <c r="U90" i="285"/>
  <c r="K70" i="285"/>
  <c r="O94" i="285"/>
  <c r="W61" i="285"/>
  <c r="U32" i="285"/>
  <c r="X93" i="285"/>
  <c r="S31" i="285"/>
  <c r="V28" i="285"/>
  <c r="J99" i="285"/>
  <c r="P6" i="285"/>
  <c r="V26" i="285"/>
  <c r="T83" i="285"/>
  <c r="L80" i="285"/>
  <c r="O59" i="285"/>
  <c r="M32" i="285"/>
  <c r="X75" i="285"/>
  <c r="W55" i="285"/>
  <c r="V33" i="285"/>
  <c r="J16" i="285"/>
  <c r="P57" i="285"/>
  <c r="S4" i="285"/>
  <c r="V77" i="285"/>
  <c r="L38" i="285"/>
  <c r="N123" i="285"/>
  <c r="O24" i="285"/>
  <c r="O75" i="285"/>
  <c r="L56" i="285"/>
  <c r="K140" i="285"/>
  <c r="R84" i="285"/>
  <c r="T97" i="285"/>
  <c r="L104" i="285"/>
  <c r="S108" i="285"/>
  <c r="N47" i="279"/>
  <c r="J60" i="285"/>
  <c r="W12" i="285"/>
  <c r="K111" i="285"/>
  <c r="R9" i="285"/>
  <c r="S96" i="285"/>
  <c r="S114" i="285"/>
  <c r="P39" i="285"/>
  <c r="O82" i="285"/>
  <c r="M75" i="285"/>
  <c r="S27" i="285"/>
  <c r="O29" i="285"/>
  <c r="M23" i="285"/>
  <c r="X24" i="285"/>
  <c r="V94" i="285"/>
  <c r="T127" i="285"/>
  <c r="K85" i="285"/>
  <c r="M65" i="285"/>
  <c r="S21" i="285"/>
  <c r="R47" i="275"/>
  <c r="P32" i="285"/>
  <c r="S79" i="285"/>
  <c r="S97" i="285"/>
  <c r="P11" i="285"/>
  <c r="K25" i="285"/>
  <c r="J116" i="285"/>
  <c r="R75" i="285"/>
  <c r="O5" i="285"/>
  <c r="O109" i="285"/>
  <c r="N48" i="285"/>
  <c r="J98" i="285"/>
  <c r="K21" i="285"/>
  <c r="N72" i="285"/>
  <c r="U47" i="280"/>
  <c r="K119" i="285"/>
  <c r="U134" i="285"/>
  <c r="V17" i="285"/>
  <c r="M55" i="285"/>
  <c r="S101" i="285"/>
  <c r="W134" i="285"/>
  <c r="U93" i="285"/>
  <c r="M113" i="285"/>
  <c r="W47" i="278"/>
  <c r="V127" i="285"/>
  <c r="S131" i="285"/>
  <c r="N107" i="285"/>
  <c r="R110" i="285"/>
  <c r="S124" i="285"/>
  <c r="O81" i="285"/>
  <c r="N31" i="285"/>
  <c r="J96" i="285"/>
  <c r="W135" i="285"/>
  <c r="J129" i="285"/>
  <c r="R103" i="285"/>
  <c r="X128" i="285"/>
  <c r="O42" i="285"/>
  <c r="M60" i="285"/>
  <c r="O45" i="285"/>
  <c r="O18" i="285"/>
  <c r="O47" i="283"/>
  <c r="K47" i="280"/>
  <c r="W56" i="285"/>
  <c r="T38" i="285"/>
  <c r="V37" i="285"/>
  <c r="L78" i="285"/>
  <c r="R133" i="285"/>
  <c r="J86" i="285"/>
  <c r="L136" i="285"/>
  <c r="O93" i="285"/>
  <c r="V136" i="285"/>
  <c r="T72" i="285"/>
  <c r="K13" i="285"/>
  <c r="N62" i="285"/>
  <c r="T108" i="285"/>
  <c r="P105" i="285"/>
  <c r="M47" i="282"/>
  <c r="O51" i="285"/>
  <c r="M114" i="285"/>
  <c r="U63" i="285"/>
  <c r="T67" i="285"/>
  <c r="V87" i="285"/>
  <c r="L16" i="285"/>
  <c r="X113" i="285"/>
  <c r="X39" i="285"/>
  <c r="J124" i="285"/>
  <c r="S77" i="285"/>
  <c r="S139" i="470"/>
  <c r="K135" i="285"/>
  <c r="U17" i="285"/>
  <c r="N93" i="285"/>
  <c r="L47" i="275"/>
  <c r="R64" i="285"/>
  <c r="X106" i="285"/>
  <c r="M53" i="285"/>
  <c r="M83" i="285"/>
  <c r="O128" i="285"/>
  <c r="K31" i="285"/>
  <c r="R97" i="285"/>
  <c r="K118" i="285"/>
  <c r="S81" i="285"/>
  <c r="O99" i="285"/>
  <c r="O47" i="281"/>
  <c r="X62" i="285"/>
  <c r="P19" i="285"/>
  <c r="T43" i="285"/>
  <c r="V47" i="283"/>
  <c r="R137" i="285"/>
  <c r="J139" i="470"/>
  <c r="O139" i="285"/>
  <c r="X135" i="285"/>
  <c r="N120" i="285"/>
  <c r="V20" i="285"/>
  <c r="T105" i="285"/>
  <c r="L139" i="470"/>
  <c r="J20" i="285"/>
  <c r="S93" i="285"/>
  <c r="P47" i="283"/>
  <c r="N55" i="285"/>
  <c r="U35" i="285"/>
  <c r="K77" i="285"/>
  <c r="N32" i="285"/>
  <c r="S35" i="285"/>
  <c r="U14" i="285"/>
  <c r="N105" i="285"/>
  <c r="P24" i="285"/>
  <c r="L19" i="285"/>
  <c r="K12" i="285"/>
  <c r="L130" i="285"/>
  <c r="M137" i="285"/>
  <c r="P90" i="285"/>
  <c r="J133" i="285"/>
  <c r="R74" i="285"/>
  <c r="M92" i="285"/>
  <c r="M98" i="285"/>
  <c r="L60" i="285"/>
  <c r="T47" i="280"/>
  <c r="O50" i="285"/>
  <c r="K52" i="285"/>
  <c r="X122" i="285"/>
  <c r="V55" i="285"/>
  <c r="R124" i="285"/>
  <c r="N92" i="285"/>
  <c r="P69" i="285"/>
  <c r="V121" i="285"/>
  <c r="R120" i="285"/>
  <c r="U125" i="285"/>
  <c r="V73" i="285"/>
  <c r="U47" i="281"/>
  <c r="T50" i="285"/>
  <c r="W117" i="285"/>
  <c r="S23" i="285"/>
  <c r="U139" i="285"/>
  <c r="P140" i="285"/>
  <c r="W10" i="285"/>
  <c r="T68" i="285"/>
  <c r="M117" i="285"/>
  <c r="O33" i="285"/>
  <c r="J88" i="285"/>
  <c r="L123" i="285"/>
  <c r="R47" i="278"/>
  <c r="V56" i="285"/>
  <c r="W33" i="285"/>
  <c r="J139" i="285"/>
  <c r="T24" i="285"/>
  <c r="V54" i="285"/>
  <c r="X47" i="275"/>
  <c r="U27" i="285"/>
  <c r="S47" i="275"/>
  <c r="B64" i="286" l="1"/>
  <c r="C64" i="286"/>
  <c r="D64" i="286"/>
  <c r="E64" i="286"/>
  <c r="F64" i="286"/>
  <c r="G64" i="286"/>
  <c r="H64" i="286"/>
  <c r="V64" i="286"/>
  <c r="W64" i="286"/>
  <c r="T64" i="286"/>
  <c r="U64" i="286"/>
  <c r="S64" i="286"/>
  <c r="Z52" i="286" l="1"/>
  <c r="Z137" i="286"/>
  <c r="Z102" i="286"/>
  <c r="Z76" i="286"/>
  <c r="Z68" i="286"/>
  <c r="Z64" i="286"/>
  <c r="H147" i="286" l="1"/>
  <c r="G147" i="286"/>
  <c r="F147" i="286"/>
  <c r="E147" i="286"/>
  <c r="D147" i="286"/>
  <c r="C147" i="286"/>
  <c r="B147" i="286"/>
  <c r="H102" i="286"/>
  <c r="G102" i="286"/>
  <c r="F102" i="286"/>
  <c r="E102" i="286"/>
  <c r="D102" i="286"/>
  <c r="C102" i="286"/>
  <c r="B102" i="286"/>
  <c r="H99" i="286"/>
  <c r="G99" i="286"/>
  <c r="F99" i="286"/>
  <c r="E99" i="286"/>
  <c r="D99" i="286"/>
  <c r="C99" i="286"/>
  <c r="B99" i="286"/>
  <c r="H68" i="286"/>
  <c r="H76" i="286" s="1"/>
  <c r="G68" i="286"/>
  <c r="F68" i="286"/>
  <c r="E68" i="286"/>
  <c r="C68" i="286"/>
  <c r="C2" i="286"/>
  <c r="D2" i="286" s="1"/>
  <c r="E2" i="286" s="1"/>
  <c r="F2" i="286" s="1"/>
  <c r="G2" i="286" s="1"/>
  <c r="H2" i="286" s="1"/>
  <c r="S102" i="286"/>
  <c r="U68" i="286"/>
  <c r="R102" i="286"/>
  <c r="S68" i="286"/>
  <c r="W99" i="286"/>
  <c r="V99" i="286"/>
  <c r="U99" i="286"/>
  <c r="T99" i="286"/>
  <c r="S99" i="286"/>
  <c r="W102" i="286"/>
  <c r="R99" i="286"/>
  <c r="W68" i="286"/>
  <c r="T102" i="286"/>
  <c r="V102" i="286"/>
  <c r="U102" i="286"/>
  <c r="V68" i="286"/>
  <c r="F76" i="286" l="1"/>
  <c r="G76" i="286"/>
  <c r="C76" i="286"/>
  <c r="E76" i="286"/>
  <c r="D137" i="286"/>
  <c r="E137" i="286"/>
  <c r="G137" i="286"/>
  <c r="H137" i="286"/>
  <c r="F137" i="286"/>
  <c r="C137" i="286"/>
  <c r="B137" i="286"/>
  <c r="W137" i="286"/>
  <c r="V137" i="286"/>
  <c r="S137" i="286"/>
  <c r="W76" i="286"/>
  <c r="U76" i="286"/>
  <c r="T137" i="286"/>
  <c r="X137" i="286"/>
  <c r="S76" i="286"/>
  <c r="U137" i="286"/>
  <c r="R137" i="286"/>
  <c r="V76" i="286"/>
  <c r="B145" i="286" l="1"/>
  <c r="C145" i="286"/>
  <c r="F145" i="286"/>
  <c r="H145" i="286"/>
  <c r="G145" i="286"/>
  <c r="E145" i="286"/>
  <c r="D145" i="286"/>
  <c r="R145" i="286"/>
  <c r="S145" i="286"/>
  <c r="T145" i="286"/>
  <c r="U145" i="286"/>
  <c r="V145" i="286"/>
  <c r="X145" i="286"/>
  <c r="W145" i="286"/>
  <c r="J83" i="470"/>
  <c r="N63" i="470"/>
  <c r="M66" i="470"/>
  <c r="J11" i="470"/>
  <c r="X130" i="470"/>
  <c r="M81" i="470"/>
  <c r="O62" i="470"/>
  <c r="P16" i="470"/>
  <c r="T91" i="280"/>
  <c r="U116" i="470"/>
  <c r="S41" i="194"/>
  <c r="O131" i="470"/>
  <c r="N13" i="470"/>
  <c r="O115" i="470"/>
  <c r="W95" i="279"/>
  <c r="P59" i="470"/>
  <c r="U138" i="470"/>
  <c r="N123" i="470"/>
  <c r="R92" i="470"/>
  <c r="O78" i="281"/>
  <c r="J101" i="470"/>
  <c r="N95" i="470"/>
  <c r="V120" i="470"/>
  <c r="U30" i="470"/>
  <c r="X102" i="194"/>
  <c r="T107" i="470"/>
  <c r="X79" i="278"/>
  <c r="P129" i="470"/>
  <c r="J35" i="470"/>
  <c r="K4" i="470"/>
  <c r="R90" i="470"/>
  <c r="V41" i="470"/>
  <c r="K85" i="283"/>
  <c r="J71" i="470"/>
  <c r="L127" i="470"/>
  <c r="P66" i="470"/>
  <c r="T124" i="470"/>
  <c r="L33" i="470"/>
  <c r="W49" i="470"/>
  <c r="S119" i="470"/>
  <c r="X90" i="280"/>
  <c r="O100" i="470"/>
  <c r="N56" i="470"/>
  <c r="J112" i="470"/>
  <c r="P121" i="470"/>
  <c r="T94" i="470"/>
  <c r="W112" i="470"/>
  <c r="X93" i="470"/>
  <c r="W39" i="470"/>
  <c r="M34" i="470"/>
  <c r="J94" i="280"/>
  <c r="M89" i="470"/>
  <c r="X20" i="470"/>
  <c r="K93" i="470"/>
  <c r="N58" i="470"/>
  <c r="P77" i="470"/>
  <c r="V8" i="470"/>
  <c r="J39" i="470"/>
  <c r="L85" i="470"/>
  <c r="V25" i="470"/>
  <c r="W37" i="470"/>
  <c r="S94" i="470"/>
  <c r="T97" i="470"/>
  <c r="S11" i="470"/>
  <c r="J82" i="279"/>
  <c r="V78" i="280"/>
  <c r="M9" i="470"/>
  <c r="R40" i="470"/>
  <c r="J83" i="281"/>
  <c r="R58" i="470"/>
  <c r="T95" i="279"/>
  <c r="L7" i="470"/>
  <c r="K141" i="470"/>
  <c r="S38" i="470"/>
  <c r="V43" i="470"/>
  <c r="R50" i="470"/>
  <c r="V58" i="470"/>
  <c r="O22" i="470"/>
  <c r="U113" i="470"/>
  <c r="P51" i="470"/>
  <c r="K87" i="275"/>
  <c r="L20" i="470"/>
  <c r="T123" i="470"/>
  <c r="X76" i="470"/>
  <c r="W36" i="470"/>
  <c r="O108" i="470"/>
  <c r="X96" i="470"/>
  <c r="N67" i="470"/>
  <c r="X13" i="470"/>
  <c r="V67" i="470"/>
  <c r="V5" i="470"/>
  <c r="N48" i="470"/>
  <c r="R109" i="470"/>
  <c r="X103" i="470"/>
  <c r="J30" i="470"/>
  <c r="X120" i="470"/>
  <c r="M80" i="281"/>
  <c r="L99" i="470"/>
  <c r="J21" i="470"/>
  <c r="S5" i="470"/>
  <c r="W34" i="470"/>
  <c r="U20" i="470"/>
  <c r="J86" i="470"/>
  <c r="K121" i="470"/>
  <c r="W78" i="470"/>
  <c r="N7" i="470"/>
  <c r="W89" i="470"/>
  <c r="R60" i="470"/>
  <c r="T77" i="281"/>
  <c r="M90" i="284"/>
  <c r="L13" i="470"/>
  <c r="L59" i="470"/>
  <c r="S133" i="470"/>
  <c r="M89" i="279"/>
  <c r="N52" i="194"/>
  <c r="S121" i="470"/>
  <c r="M128" i="194"/>
  <c r="M39" i="470"/>
  <c r="M113" i="470"/>
  <c r="U122" i="194"/>
  <c r="X16" i="470"/>
  <c r="P26" i="470"/>
  <c r="J10" i="470"/>
  <c r="R14" i="470"/>
  <c r="J47" i="470"/>
  <c r="S120" i="470"/>
  <c r="N47" i="470"/>
  <c r="S136" i="470"/>
  <c r="N28" i="470"/>
  <c r="L114" i="470"/>
  <c r="P37" i="470"/>
  <c r="T29" i="470"/>
  <c r="O12" i="194"/>
  <c r="P45" i="470"/>
  <c r="J31" i="470"/>
  <c r="S118" i="470"/>
  <c r="P91" i="282"/>
  <c r="P16" i="194"/>
  <c r="T61" i="470"/>
  <c r="R49" i="470"/>
  <c r="N141" i="470"/>
  <c r="X6" i="470"/>
  <c r="U57" i="470"/>
  <c r="U36" i="470"/>
  <c r="M110" i="194"/>
  <c r="W96" i="470"/>
  <c r="S77" i="284"/>
  <c r="U76" i="470"/>
  <c r="J22" i="470"/>
  <c r="P25" i="470"/>
  <c r="W88" i="280"/>
  <c r="V30" i="470"/>
  <c r="P54" i="470"/>
  <c r="X41" i="470"/>
  <c r="M59" i="470"/>
  <c r="S63" i="470"/>
  <c r="R136" i="194"/>
  <c r="S47" i="470"/>
  <c r="X89" i="470"/>
  <c r="R116" i="470"/>
  <c r="L37" i="470"/>
  <c r="K63" i="470"/>
  <c r="R118" i="470"/>
  <c r="W92" i="470"/>
  <c r="R20" i="194"/>
  <c r="W9" i="470"/>
  <c r="U98" i="470"/>
  <c r="V70" i="194"/>
  <c r="T103" i="470"/>
  <c r="V123" i="470"/>
  <c r="S36" i="470"/>
  <c r="P87" i="470"/>
  <c r="L94" i="470"/>
  <c r="P39" i="470"/>
  <c r="U134" i="470"/>
  <c r="M67" i="470"/>
  <c r="N114" i="470"/>
  <c r="P84" i="279"/>
  <c r="U59" i="470"/>
  <c r="L24" i="470"/>
  <c r="V119" i="470"/>
  <c r="L10" i="470"/>
  <c r="S79" i="470"/>
  <c r="V39" i="470"/>
  <c r="R22" i="470"/>
  <c r="X60" i="194"/>
  <c r="O10" i="470"/>
  <c r="V96" i="470"/>
  <c r="M135" i="470"/>
  <c r="R130" i="470"/>
  <c r="U8" i="470"/>
  <c r="S33" i="470"/>
  <c r="O70" i="470"/>
  <c r="P48" i="470"/>
  <c r="V112" i="470"/>
  <c r="V20" i="470"/>
  <c r="S96" i="194"/>
  <c r="K97" i="280"/>
  <c r="M15" i="470"/>
  <c r="S12" i="470"/>
  <c r="L91" i="275"/>
  <c r="T41" i="470"/>
  <c r="J56" i="470"/>
  <c r="X30" i="470"/>
  <c r="P116" i="470"/>
  <c r="L83" i="470"/>
  <c r="P110" i="470"/>
  <c r="W119" i="194"/>
  <c r="X21" i="470"/>
  <c r="W11" i="470"/>
  <c r="S76" i="470"/>
  <c r="R70" i="470"/>
  <c r="M120" i="470"/>
  <c r="V121" i="470"/>
  <c r="K118" i="470"/>
  <c r="T30" i="470"/>
  <c r="U119" i="470"/>
  <c r="U4" i="470"/>
  <c r="M129" i="470"/>
  <c r="N39" i="470"/>
  <c r="V60" i="470"/>
  <c r="R83" i="470"/>
  <c r="W27" i="470"/>
  <c r="L51" i="470"/>
  <c r="T120" i="470"/>
  <c r="M97" i="281"/>
  <c r="K100" i="470"/>
  <c r="V57" i="470"/>
  <c r="W23" i="194"/>
  <c r="S69" i="470"/>
  <c r="N88" i="280"/>
  <c r="S85" i="281"/>
  <c r="W141" i="470"/>
  <c r="K54" i="470"/>
  <c r="M21" i="470"/>
  <c r="T82" i="194"/>
  <c r="S92" i="278"/>
  <c r="K122" i="470"/>
  <c r="P41" i="470"/>
  <c r="O11" i="470"/>
  <c r="T4" i="470"/>
  <c r="K87" i="282"/>
  <c r="T17" i="194"/>
  <c r="N134" i="470"/>
  <c r="M45" i="470"/>
  <c r="W72" i="194"/>
  <c r="U43" i="284"/>
  <c r="O52" i="470"/>
  <c r="U141" i="470"/>
  <c r="V108" i="194"/>
  <c r="S87" i="281"/>
  <c r="N93" i="283"/>
  <c r="X90" i="283"/>
  <c r="W58" i="470"/>
  <c r="R12" i="470"/>
  <c r="O46" i="470"/>
  <c r="P106" i="470"/>
  <c r="R134" i="470"/>
  <c r="U86" i="278"/>
  <c r="T55" i="470"/>
  <c r="W57" i="470"/>
  <c r="S19" i="470"/>
  <c r="O89" i="470"/>
  <c r="J79" i="275"/>
  <c r="U130" i="470"/>
  <c r="W40" i="470"/>
  <c r="L61" i="470"/>
  <c r="T114" i="470"/>
  <c r="P95" i="278"/>
  <c r="X48" i="470"/>
  <c r="J67" i="470"/>
  <c r="J79" i="470"/>
  <c r="O137" i="470"/>
  <c r="K26" i="284"/>
  <c r="U114" i="470"/>
  <c r="P50" i="470"/>
  <c r="L119" i="470"/>
  <c r="N135" i="470"/>
  <c r="J135" i="470"/>
  <c r="W54" i="470"/>
  <c r="L89" i="470"/>
  <c r="T7" i="470"/>
  <c r="J82" i="470"/>
  <c r="R85" i="279"/>
  <c r="M49" i="470"/>
  <c r="X50" i="470"/>
  <c r="R137" i="470"/>
  <c r="U125" i="470"/>
  <c r="M82" i="470"/>
  <c r="W72" i="470"/>
  <c r="K41" i="470"/>
  <c r="T64" i="470"/>
  <c r="J4" i="470"/>
  <c r="V86" i="470"/>
  <c r="O79" i="284"/>
  <c r="T76" i="470"/>
  <c r="X125" i="470"/>
  <c r="J133" i="470"/>
  <c r="L91" i="470"/>
  <c r="O27" i="470"/>
  <c r="R113" i="470"/>
  <c r="W14" i="470"/>
  <c r="X18" i="470"/>
  <c r="P104" i="470"/>
  <c r="X88" i="275"/>
  <c r="T18" i="470"/>
  <c r="R27" i="470"/>
  <c r="O78" i="470"/>
  <c r="R51" i="470"/>
  <c r="U71" i="470"/>
  <c r="N103" i="470"/>
  <c r="K125" i="470"/>
  <c r="K19" i="470"/>
  <c r="L30" i="470"/>
  <c r="P82" i="282"/>
  <c r="U135" i="470"/>
  <c r="W5" i="470"/>
  <c r="V68" i="470"/>
  <c r="W124" i="470"/>
  <c r="T50" i="470"/>
  <c r="O16" i="470"/>
  <c r="N136" i="470"/>
  <c r="W10" i="283"/>
  <c r="P43" i="470"/>
  <c r="U34" i="470"/>
  <c r="N119" i="470"/>
  <c r="U84" i="470"/>
  <c r="N74" i="470"/>
  <c r="J99" i="470"/>
  <c r="O65" i="470"/>
  <c r="V130" i="470"/>
  <c r="T22" i="470"/>
  <c r="O129" i="470"/>
  <c r="M131" i="470"/>
  <c r="N52" i="284"/>
  <c r="S75" i="470"/>
  <c r="P79" i="470"/>
  <c r="S45" i="470"/>
  <c r="M91" i="470"/>
  <c r="T13" i="470"/>
  <c r="T84" i="275"/>
  <c r="N33" i="470"/>
  <c r="O84" i="470"/>
  <c r="S93" i="278"/>
  <c r="J13" i="470"/>
  <c r="S46" i="470"/>
  <c r="T84" i="470"/>
  <c r="N140" i="470"/>
  <c r="V129" i="470"/>
  <c r="K80" i="470"/>
  <c r="O102" i="470"/>
  <c r="S52" i="470"/>
  <c r="N62" i="470"/>
  <c r="V85" i="470"/>
  <c r="L73" i="194"/>
  <c r="V107" i="470"/>
  <c r="S73" i="470"/>
  <c r="O19" i="194"/>
  <c r="T77" i="282"/>
  <c r="J27" i="470"/>
  <c r="R81" i="275"/>
  <c r="J95" i="275"/>
  <c r="S78" i="284"/>
  <c r="R91" i="280"/>
  <c r="W116" i="470"/>
  <c r="O94" i="470"/>
  <c r="T55" i="275"/>
  <c r="R125" i="470"/>
  <c r="U124" i="470"/>
  <c r="M92" i="283"/>
  <c r="N79" i="275"/>
  <c r="P97" i="470"/>
  <c r="X28" i="279"/>
  <c r="W17" i="194"/>
  <c r="T131" i="470"/>
  <c r="S104" i="470"/>
  <c r="W98" i="470"/>
  <c r="S71" i="194"/>
  <c r="U94" i="278"/>
  <c r="P90" i="275"/>
  <c r="L74" i="470"/>
  <c r="R56" i="470"/>
  <c r="T69" i="470"/>
  <c r="W6" i="470"/>
  <c r="W31" i="470"/>
  <c r="M114" i="470"/>
  <c r="N17" i="470"/>
  <c r="W29" i="470"/>
  <c r="U96" i="470"/>
  <c r="V100" i="194"/>
  <c r="T84" i="284"/>
  <c r="R135" i="470"/>
  <c r="O111" i="470"/>
  <c r="K18" i="470"/>
  <c r="X77" i="470"/>
  <c r="U56" i="470"/>
  <c r="R48" i="470"/>
  <c r="T47" i="470"/>
  <c r="U79" i="470"/>
  <c r="S131" i="470"/>
  <c r="M46" i="470"/>
  <c r="R95" i="470"/>
  <c r="X60" i="470"/>
  <c r="S20" i="470"/>
  <c r="K110" i="470"/>
  <c r="U90" i="470"/>
  <c r="T122" i="470"/>
  <c r="M116" i="470"/>
  <c r="X81" i="470"/>
  <c r="X38" i="470"/>
  <c r="V101" i="194"/>
  <c r="L37" i="194"/>
  <c r="M74" i="470"/>
  <c r="W53" i="470"/>
  <c r="N55" i="470"/>
  <c r="K27" i="470"/>
  <c r="N133" i="470"/>
  <c r="L78" i="282"/>
  <c r="M102" i="470"/>
  <c r="K134" i="470"/>
  <c r="N46" i="470"/>
  <c r="S90" i="470"/>
  <c r="M22" i="470"/>
  <c r="P42" i="470"/>
  <c r="V136" i="470"/>
  <c r="O118" i="470"/>
  <c r="R84" i="470"/>
  <c r="K105" i="470"/>
  <c r="O83" i="470"/>
  <c r="J77" i="470"/>
  <c r="U24" i="470"/>
  <c r="P54" i="468"/>
  <c r="K6" i="470"/>
  <c r="W125" i="470"/>
  <c r="J34" i="470"/>
  <c r="S125" i="470"/>
  <c r="R47" i="470"/>
  <c r="X137" i="470"/>
  <c r="P22" i="470"/>
  <c r="W99" i="470"/>
  <c r="P17" i="470"/>
  <c r="L109" i="470"/>
  <c r="J73" i="470"/>
  <c r="N118" i="470"/>
  <c r="W66" i="194"/>
  <c r="N22" i="470"/>
  <c r="X71" i="470"/>
  <c r="X78" i="470"/>
  <c r="P99" i="470"/>
  <c r="U76" i="280"/>
  <c r="W122" i="470"/>
  <c r="K91" i="470"/>
  <c r="N19" i="470"/>
  <c r="K49" i="470"/>
  <c r="M128" i="470"/>
  <c r="L35" i="470"/>
  <c r="O113" i="470"/>
  <c r="V78" i="470"/>
  <c r="X133" i="470"/>
  <c r="R39" i="194"/>
  <c r="N34" i="470"/>
  <c r="N43" i="470"/>
  <c r="W79" i="470"/>
  <c r="W65" i="470"/>
  <c r="J85" i="470"/>
  <c r="K58" i="470"/>
  <c r="X42" i="470"/>
  <c r="W135" i="470"/>
  <c r="X114" i="470"/>
  <c r="U105" i="470"/>
  <c r="J81" i="284"/>
  <c r="J134" i="470"/>
  <c r="M100" i="470"/>
  <c r="R9" i="470"/>
  <c r="R124" i="470"/>
  <c r="V50" i="470"/>
  <c r="N131" i="470"/>
  <c r="T137" i="470"/>
  <c r="N59" i="470"/>
  <c r="J23" i="470"/>
  <c r="R75" i="470"/>
  <c r="S76" i="194"/>
  <c r="V88" i="280"/>
  <c r="T43" i="470"/>
  <c r="V34" i="470"/>
  <c r="V92" i="279"/>
  <c r="S84" i="280"/>
  <c r="S23" i="194"/>
  <c r="X118" i="282"/>
  <c r="O97" i="470"/>
  <c r="R91" i="275"/>
  <c r="O87" i="470"/>
  <c r="O98" i="194"/>
  <c r="U91" i="278"/>
  <c r="U86" i="280"/>
  <c r="K28" i="470"/>
  <c r="P76" i="470"/>
  <c r="N94" i="278"/>
  <c r="R39" i="470"/>
  <c r="N90" i="280"/>
  <c r="T99" i="470"/>
  <c r="L39" i="470"/>
  <c r="K96" i="470"/>
  <c r="L48" i="194"/>
  <c r="X35" i="194"/>
  <c r="K73" i="194"/>
  <c r="O69" i="470"/>
  <c r="T128" i="194"/>
  <c r="P23" i="470"/>
  <c r="W66" i="470"/>
  <c r="L96" i="470"/>
  <c r="M52" i="470"/>
  <c r="W117" i="470"/>
  <c r="M12" i="470"/>
  <c r="T12" i="470"/>
  <c r="T73" i="470"/>
  <c r="T85" i="283"/>
  <c r="W55" i="275"/>
  <c r="T138" i="194"/>
  <c r="S101" i="470"/>
  <c r="K39" i="470"/>
  <c r="K5" i="470"/>
  <c r="U31" i="470"/>
  <c r="N138" i="470"/>
  <c r="J53" i="470"/>
  <c r="P93" i="470"/>
  <c r="P52" i="470"/>
  <c r="J26" i="282"/>
  <c r="J59" i="470"/>
  <c r="S30" i="470"/>
  <c r="V42" i="470"/>
  <c r="T121" i="470"/>
  <c r="V47" i="470"/>
  <c r="O35" i="470"/>
  <c r="V122" i="470"/>
  <c r="J6" i="470"/>
  <c r="L129" i="470"/>
  <c r="J70" i="470"/>
  <c r="N126" i="470"/>
  <c r="X129" i="470"/>
  <c r="O105" i="470"/>
  <c r="O59" i="470"/>
  <c r="W56" i="470"/>
  <c r="W46" i="470"/>
  <c r="P83" i="275"/>
  <c r="J93" i="470"/>
  <c r="J97" i="470"/>
  <c r="L125" i="470"/>
  <c r="W71" i="470"/>
  <c r="L40" i="470"/>
  <c r="W67" i="470"/>
  <c r="T19" i="470"/>
  <c r="M36" i="470"/>
  <c r="U23" i="470"/>
  <c r="M24" i="470"/>
  <c r="P98" i="470"/>
  <c r="S50" i="470"/>
  <c r="T8" i="470"/>
  <c r="U135" i="194"/>
  <c r="J140" i="470"/>
  <c r="P125" i="470"/>
  <c r="M10" i="470"/>
  <c r="O71" i="470"/>
  <c r="O31" i="470"/>
  <c r="O112" i="470"/>
  <c r="M25" i="470"/>
  <c r="M127" i="470"/>
  <c r="S85" i="470"/>
  <c r="W43" i="470"/>
  <c r="O130" i="470"/>
  <c r="J81" i="282"/>
  <c r="S48" i="470"/>
  <c r="T119" i="470"/>
  <c r="X98" i="470"/>
  <c r="W126" i="470"/>
  <c r="S115" i="470"/>
  <c r="R90" i="279"/>
  <c r="N108" i="470"/>
  <c r="R8" i="470"/>
  <c r="R81" i="470"/>
  <c r="R66" i="470"/>
  <c r="N53" i="470"/>
  <c r="K38" i="470"/>
  <c r="J66" i="470"/>
  <c r="W79" i="275"/>
  <c r="T77" i="470"/>
  <c r="U94" i="470"/>
  <c r="N95" i="283"/>
  <c r="O126" i="470"/>
  <c r="R65" i="194"/>
  <c r="T66" i="470"/>
  <c r="W55" i="470"/>
  <c r="W106" i="470"/>
  <c r="P136" i="470"/>
  <c r="T23" i="470"/>
  <c r="N50" i="470"/>
  <c r="N76" i="470"/>
  <c r="L82" i="470"/>
  <c r="J51" i="470"/>
  <c r="R110" i="470"/>
  <c r="J44" i="470"/>
  <c r="J113" i="470"/>
  <c r="T82" i="470"/>
  <c r="J54" i="470"/>
  <c r="N82" i="470"/>
  <c r="M28" i="470"/>
  <c r="U45" i="470"/>
  <c r="P137" i="470"/>
  <c r="O48" i="470"/>
  <c r="R16" i="470"/>
  <c r="N132" i="194"/>
  <c r="N18" i="470"/>
  <c r="R132" i="470"/>
  <c r="R112" i="470"/>
  <c r="M84" i="280"/>
  <c r="T82" i="279"/>
  <c r="L136" i="470"/>
  <c r="K33" i="470"/>
  <c r="S126" i="470"/>
  <c r="N101" i="470"/>
  <c r="P29" i="470"/>
  <c r="L97" i="281"/>
  <c r="W81" i="470"/>
  <c r="P31" i="470"/>
  <c r="V38" i="470"/>
  <c r="R87" i="280"/>
  <c r="M82" i="279"/>
  <c r="L108" i="470"/>
  <c r="W103" i="470"/>
  <c r="J75" i="194"/>
  <c r="X8" i="470"/>
  <c r="V89" i="281"/>
  <c r="V78" i="282"/>
  <c r="W77" i="194"/>
  <c r="L12" i="470"/>
  <c r="S93" i="470"/>
  <c r="P113" i="470"/>
  <c r="S78" i="281"/>
  <c r="R45" i="470"/>
  <c r="R67" i="470"/>
  <c r="X7" i="470"/>
  <c r="R127" i="470"/>
  <c r="J45" i="470"/>
  <c r="J80" i="470"/>
  <c r="R71" i="470"/>
  <c r="V66" i="194"/>
  <c r="K64" i="470"/>
  <c r="V24" i="470"/>
  <c r="N92" i="470"/>
  <c r="R55" i="470"/>
  <c r="T54" i="194"/>
  <c r="L134" i="470"/>
  <c r="P117" i="470"/>
  <c r="W22" i="470"/>
  <c r="X79" i="283"/>
  <c r="X9" i="470"/>
  <c r="P40" i="470"/>
  <c r="L56" i="470"/>
  <c r="V100" i="470"/>
  <c r="K79" i="470"/>
  <c r="M55" i="470"/>
  <c r="X109" i="470"/>
  <c r="U43" i="470"/>
  <c r="P111" i="470"/>
  <c r="J96" i="470"/>
  <c r="T78" i="278"/>
  <c r="S22" i="470"/>
  <c r="U67" i="470"/>
  <c r="P15" i="470"/>
  <c r="T71" i="470"/>
  <c r="U52" i="281"/>
  <c r="J141" i="470"/>
  <c r="S81" i="470"/>
  <c r="V81" i="470"/>
  <c r="X57" i="470"/>
  <c r="R95" i="279"/>
  <c r="U132" i="470"/>
  <c r="L67" i="470"/>
  <c r="K135" i="470"/>
  <c r="U77" i="470"/>
  <c r="S10" i="470"/>
  <c r="R119" i="194"/>
  <c r="V92" i="470"/>
  <c r="X19" i="470"/>
  <c r="W105" i="470"/>
  <c r="M65" i="470"/>
  <c r="M110" i="470"/>
  <c r="L117" i="470"/>
  <c r="X68" i="470"/>
  <c r="T28" i="470"/>
  <c r="S21" i="470"/>
  <c r="W135" i="282"/>
  <c r="T91" i="470"/>
  <c r="L103" i="470"/>
  <c r="J127" i="470"/>
  <c r="T96" i="470"/>
  <c r="L70" i="470"/>
  <c r="M78" i="284"/>
  <c r="U64" i="470"/>
  <c r="P20" i="470"/>
  <c r="K36" i="470"/>
  <c r="K20" i="470"/>
  <c r="K67" i="470"/>
  <c r="K91" i="284"/>
  <c r="X121" i="194"/>
  <c r="S7" i="470"/>
  <c r="R10" i="470"/>
  <c r="U86" i="470"/>
  <c r="S87" i="470"/>
  <c r="N25" i="470"/>
  <c r="V23" i="470"/>
  <c r="K23" i="470"/>
  <c r="N64" i="470"/>
  <c r="U96" i="279"/>
  <c r="V18" i="194"/>
  <c r="V54" i="468"/>
  <c r="U110" i="470"/>
  <c r="U32" i="470"/>
  <c r="W113" i="470"/>
  <c r="R88" i="275"/>
  <c r="J90" i="278"/>
  <c r="K29" i="470"/>
  <c r="W17" i="470"/>
  <c r="T44" i="470"/>
  <c r="X140" i="470"/>
  <c r="R129" i="470"/>
  <c r="K44" i="470"/>
  <c r="K97" i="470"/>
  <c r="X62" i="470"/>
  <c r="N15" i="470"/>
  <c r="T15" i="470"/>
  <c r="K34" i="194"/>
  <c r="U47" i="470"/>
  <c r="S29" i="470"/>
  <c r="W25" i="470"/>
  <c r="O121" i="470"/>
  <c r="U35" i="470"/>
  <c r="P94" i="279"/>
  <c r="X127" i="470"/>
  <c r="N23" i="470"/>
  <c r="V11" i="470"/>
  <c r="S66" i="470"/>
  <c r="N57" i="470"/>
  <c r="R85" i="280"/>
  <c r="X88" i="470"/>
  <c r="V63" i="470"/>
  <c r="K84" i="470"/>
  <c r="K37" i="470"/>
  <c r="K67" i="194"/>
  <c r="P10" i="194"/>
  <c r="W22" i="194"/>
  <c r="L38" i="470"/>
  <c r="L55" i="279"/>
  <c r="U93" i="279"/>
  <c r="O83" i="281"/>
  <c r="O132" i="470"/>
  <c r="L98" i="470"/>
  <c r="W85" i="470"/>
  <c r="O76" i="470"/>
  <c r="X34" i="194"/>
  <c r="W85" i="278"/>
  <c r="X94" i="284"/>
  <c r="T134" i="470"/>
  <c r="W38" i="470"/>
  <c r="O50" i="470"/>
  <c r="N83" i="470"/>
  <c r="V101" i="470"/>
  <c r="K116" i="470"/>
  <c r="K128" i="470"/>
  <c r="O75" i="470"/>
  <c r="K138" i="194"/>
  <c r="O85" i="470"/>
  <c r="P134" i="470"/>
  <c r="K72" i="470"/>
  <c r="K87" i="470"/>
  <c r="W91" i="470"/>
  <c r="P57" i="470"/>
  <c r="O92" i="279"/>
  <c r="P32" i="470"/>
  <c r="O46" i="194"/>
  <c r="S134" i="470"/>
  <c r="X93" i="286"/>
  <c r="O96" i="470"/>
  <c r="K102" i="470"/>
  <c r="O15" i="470"/>
  <c r="O79" i="282"/>
  <c r="X17" i="470"/>
  <c r="O23" i="470"/>
  <c r="P9" i="470"/>
  <c r="N30" i="470"/>
  <c r="O122" i="470"/>
  <c r="O91" i="194"/>
  <c r="U56" i="280"/>
  <c r="U107" i="470"/>
  <c r="P63" i="470"/>
  <c r="N97" i="282"/>
  <c r="R97" i="279"/>
  <c r="L87" i="470"/>
  <c r="S6" i="470"/>
  <c r="N115" i="470"/>
  <c r="T9" i="470"/>
  <c r="U92" i="470"/>
  <c r="R106" i="470"/>
  <c r="P86" i="470"/>
  <c r="K89" i="470"/>
  <c r="V73" i="470"/>
  <c r="O107" i="470"/>
  <c r="K51" i="470"/>
  <c r="R111" i="470"/>
  <c r="T16" i="470"/>
  <c r="S62" i="470"/>
  <c r="T87" i="281"/>
  <c r="W96" i="279"/>
  <c r="W42" i="470"/>
  <c r="K59" i="470"/>
  <c r="X64" i="470"/>
  <c r="V27" i="470"/>
  <c r="T57" i="470"/>
  <c r="J61" i="283"/>
  <c r="W45" i="470"/>
  <c r="R138" i="470"/>
  <c r="X59" i="470"/>
  <c r="S89" i="280"/>
  <c r="O116" i="470"/>
  <c r="O81" i="283"/>
  <c r="T133" i="470"/>
  <c r="J129" i="470"/>
  <c r="O32" i="470"/>
  <c r="L122" i="470"/>
  <c r="K40" i="470"/>
  <c r="T11" i="470"/>
  <c r="L94" i="279"/>
  <c r="W63" i="470"/>
  <c r="S37" i="470"/>
  <c r="T130" i="470"/>
  <c r="J55" i="470"/>
  <c r="V137" i="470"/>
  <c r="L124" i="470"/>
  <c r="X111" i="470"/>
  <c r="U82" i="470"/>
  <c r="X75" i="470"/>
  <c r="J33" i="470"/>
  <c r="N85" i="470"/>
  <c r="W70" i="470"/>
  <c r="S39" i="470"/>
  <c r="P4" i="470"/>
  <c r="M101" i="470"/>
  <c r="L55" i="470"/>
  <c r="V104" i="470"/>
  <c r="X121" i="470"/>
  <c r="O51" i="470"/>
  <c r="R18" i="470"/>
  <c r="R38" i="470"/>
  <c r="W62" i="194"/>
  <c r="V138" i="470"/>
  <c r="X31" i="470"/>
  <c r="L9" i="470"/>
  <c r="J8" i="470"/>
  <c r="K101" i="470"/>
  <c r="O117" i="470"/>
  <c r="K82" i="280"/>
  <c r="J16" i="470"/>
  <c r="T51" i="470"/>
  <c r="V109" i="470"/>
  <c r="L104" i="470"/>
  <c r="X77" i="279"/>
  <c r="J41" i="194"/>
  <c r="J95" i="470"/>
  <c r="P123" i="470"/>
  <c r="S8" i="194"/>
  <c r="O118" i="194"/>
  <c r="N65" i="470"/>
  <c r="U65" i="470"/>
  <c r="N20" i="470"/>
  <c r="O44" i="470"/>
  <c r="K117" i="470"/>
  <c r="K88" i="275"/>
  <c r="X34" i="470"/>
  <c r="S54" i="470"/>
  <c r="R86" i="281"/>
  <c r="L135" i="284"/>
  <c r="S25" i="194"/>
  <c r="S45" i="194"/>
  <c r="N100" i="470"/>
  <c r="O108" i="194"/>
  <c r="T86" i="470"/>
  <c r="N59" i="194"/>
  <c r="J95" i="194"/>
  <c r="N97" i="275"/>
  <c r="U95" i="470"/>
  <c r="X135" i="470"/>
  <c r="K31" i="470"/>
  <c r="L50" i="470"/>
  <c r="W41" i="470"/>
  <c r="J90" i="470"/>
  <c r="N40" i="470"/>
  <c r="R33" i="470"/>
  <c r="U27" i="470"/>
  <c r="O83" i="275"/>
  <c r="P126" i="470"/>
  <c r="W60" i="470"/>
  <c r="S108" i="470"/>
  <c r="R107" i="470"/>
  <c r="T65" i="470"/>
  <c r="X35" i="470"/>
  <c r="T128" i="470"/>
  <c r="J78" i="470"/>
  <c r="J78" i="194"/>
  <c r="K83" i="284"/>
  <c r="O21" i="470"/>
  <c r="S106" i="470"/>
  <c r="P108" i="194"/>
  <c r="V98" i="470"/>
  <c r="X39" i="470"/>
  <c r="X124" i="470"/>
  <c r="V59" i="470"/>
  <c r="J17" i="470"/>
  <c r="P107" i="470"/>
  <c r="X79" i="470"/>
  <c r="L77" i="280"/>
  <c r="T80" i="280"/>
  <c r="X138" i="470"/>
  <c r="P12" i="470"/>
  <c r="U122" i="470"/>
  <c r="T40" i="281"/>
  <c r="U55" i="470"/>
  <c r="U62" i="470"/>
  <c r="N107" i="470"/>
  <c r="O119" i="470"/>
  <c r="W37" i="280"/>
  <c r="S96" i="470"/>
  <c r="K22" i="470"/>
  <c r="K62" i="470"/>
  <c r="U66" i="470"/>
  <c r="S95" i="282"/>
  <c r="W19" i="470"/>
  <c r="O13" i="470"/>
  <c r="W133" i="470"/>
  <c r="N78" i="470"/>
  <c r="O114" i="470"/>
  <c r="W32" i="470"/>
  <c r="O57" i="470"/>
  <c r="K47" i="470"/>
  <c r="P67" i="470"/>
  <c r="O30" i="470"/>
  <c r="L57" i="470"/>
  <c r="X99" i="470"/>
  <c r="W96" i="194"/>
  <c r="L101" i="470"/>
  <c r="O54" i="470"/>
  <c r="X95" i="281"/>
  <c r="K34" i="470"/>
  <c r="K65" i="470"/>
  <c r="U75" i="470"/>
  <c r="W84" i="470"/>
  <c r="N4" i="470"/>
  <c r="U37" i="470"/>
  <c r="M99" i="470"/>
  <c r="R121" i="470"/>
  <c r="K120" i="470"/>
  <c r="W110" i="470"/>
  <c r="V13" i="470"/>
  <c r="T50" i="194"/>
  <c r="S61" i="470"/>
  <c r="L105" i="470"/>
  <c r="X100" i="470"/>
  <c r="U13" i="470"/>
  <c r="O68" i="470"/>
  <c r="W119" i="470"/>
  <c r="K78" i="279"/>
  <c r="V17" i="470"/>
  <c r="L6" i="470"/>
  <c r="X47" i="470"/>
  <c r="W130" i="284"/>
  <c r="V4" i="470"/>
  <c r="J137" i="470"/>
  <c r="L25" i="470"/>
  <c r="U7" i="470"/>
  <c r="M86" i="470"/>
  <c r="O58" i="470"/>
  <c r="X37" i="470"/>
  <c r="R28" i="470"/>
  <c r="M87" i="470"/>
  <c r="J69" i="470"/>
  <c r="M104" i="470"/>
  <c r="S18" i="470"/>
  <c r="R53" i="470"/>
  <c r="R103" i="470"/>
  <c r="R115" i="470"/>
  <c r="V22" i="470"/>
  <c r="J40" i="194"/>
  <c r="P61" i="470"/>
  <c r="L88" i="470"/>
  <c r="P60" i="470"/>
  <c r="S105" i="194"/>
  <c r="V89" i="194"/>
  <c r="U118" i="470"/>
  <c r="O138" i="194"/>
  <c r="P74" i="194"/>
  <c r="X12" i="470"/>
  <c r="P78" i="284"/>
  <c r="N54" i="470"/>
  <c r="M105" i="470"/>
  <c r="U80" i="194"/>
  <c r="N77" i="194"/>
  <c r="V82" i="470"/>
  <c r="R89" i="194"/>
  <c r="R93" i="470"/>
  <c r="P90" i="281"/>
  <c r="S91" i="282"/>
  <c r="P120" i="470"/>
  <c r="X33" i="470"/>
  <c r="V46" i="284"/>
  <c r="P35" i="470"/>
  <c r="N36" i="470"/>
  <c r="U129" i="470"/>
  <c r="S60" i="470"/>
  <c r="W93" i="470"/>
  <c r="O60" i="470"/>
  <c r="J106" i="470"/>
  <c r="O135" i="470"/>
  <c r="O49" i="470"/>
  <c r="T105" i="470"/>
  <c r="J32" i="470"/>
  <c r="X27" i="470"/>
  <c r="U50" i="470"/>
  <c r="P34" i="470"/>
  <c r="V84" i="470"/>
  <c r="U106" i="470"/>
  <c r="R37" i="470"/>
  <c r="S88" i="470"/>
  <c r="X90" i="470"/>
  <c r="X117" i="470"/>
  <c r="P119" i="470"/>
  <c r="X53" i="286"/>
  <c r="L92" i="470"/>
  <c r="J50" i="470"/>
  <c r="T106" i="470"/>
  <c r="O33" i="470"/>
  <c r="K11" i="470"/>
  <c r="J105" i="470"/>
  <c r="J122" i="470"/>
  <c r="V93" i="470"/>
  <c r="L83" i="281"/>
  <c r="J63" i="470"/>
  <c r="N86" i="282"/>
  <c r="M63" i="470"/>
  <c r="M133" i="470"/>
  <c r="S13" i="470"/>
  <c r="M40" i="470"/>
  <c r="N5" i="470"/>
  <c r="U48" i="470"/>
  <c r="R97" i="470"/>
  <c r="P30" i="470"/>
  <c r="L19" i="194"/>
  <c r="L8" i="470"/>
  <c r="O124" i="470"/>
  <c r="N94" i="470"/>
  <c r="R104" i="470"/>
  <c r="L56" i="281"/>
  <c r="S24" i="470"/>
  <c r="L64" i="470"/>
  <c r="M7" i="470"/>
  <c r="V88" i="470"/>
  <c r="M91" i="279"/>
  <c r="O86" i="279"/>
  <c r="T141" i="470"/>
  <c r="O19" i="470"/>
  <c r="W111" i="470"/>
  <c r="K67" i="283"/>
  <c r="U97" i="470"/>
  <c r="T36" i="470"/>
  <c r="X94" i="282"/>
  <c r="L68" i="470"/>
  <c r="P70" i="470"/>
  <c r="W59" i="470"/>
  <c r="P75" i="470"/>
  <c r="X23" i="470"/>
  <c r="T102" i="470"/>
  <c r="K90" i="470"/>
  <c r="S111" i="470"/>
  <c r="P56" i="470"/>
  <c r="O103" i="470"/>
  <c r="L97" i="194"/>
  <c r="X29" i="470"/>
  <c r="V49" i="470"/>
  <c r="T116" i="470"/>
  <c r="N122" i="470"/>
  <c r="U128" i="470"/>
  <c r="T75" i="470"/>
  <c r="V96" i="278"/>
  <c r="O141" i="470"/>
  <c r="V94" i="470"/>
  <c r="K132" i="470"/>
  <c r="L77" i="470"/>
  <c r="J114" i="470"/>
  <c r="V113" i="470"/>
  <c r="N80" i="470"/>
  <c r="J91" i="278"/>
  <c r="W137" i="470"/>
  <c r="S107" i="470"/>
  <c r="J119" i="470"/>
  <c r="L42" i="470"/>
  <c r="R100" i="470"/>
  <c r="L47" i="470"/>
  <c r="L131" i="470"/>
  <c r="P118" i="470"/>
  <c r="S130" i="470"/>
  <c r="S135" i="470"/>
  <c r="N90" i="279"/>
  <c r="M37" i="470"/>
  <c r="L116" i="470"/>
  <c r="S80" i="470"/>
  <c r="L71" i="470"/>
  <c r="L96" i="284"/>
  <c r="K82" i="283"/>
  <c r="V95" i="280"/>
  <c r="P108" i="470"/>
  <c r="M48" i="470"/>
  <c r="K30" i="470"/>
  <c r="S81" i="284"/>
  <c r="O9" i="470"/>
  <c r="U71" i="194"/>
  <c r="R79" i="470"/>
  <c r="P44" i="470"/>
  <c r="J124" i="470"/>
  <c r="N116" i="194"/>
  <c r="W136" i="470"/>
  <c r="O76" i="280"/>
  <c r="L92" i="280"/>
  <c r="R76" i="275"/>
  <c r="J83" i="279"/>
  <c r="P38" i="470"/>
  <c r="T93" i="279"/>
  <c r="T24" i="194"/>
  <c r="U83" i="470"/>
  <c r="W36" i="194"/>
  <c r="R30" i="194"/>
  <c r="M69" i="281"/>
  <c r="T81" i="470"/>
  <c r="W127" i="470"/>
  <c r="V51" i="470"/>
  <c r="M35" i="470"/>
  <c r="M109" i="470"/>
  <c r="L23" i="470"/>
  <c r="U28" i="470"/>
  <c r="V10" i="470"/>
  <c r="R89" i="470"/>
  <c r="V110" i="470"/>
  <c r="T135" i="470"/>
  <c r="S53" i="470"/>
  <c r="M108" i="470"/>
  <c r="V134" i="470"/>
  <c r="R25" i="470"/>
  <c r="L102" i="470"/>
  <c r="O12" i="470"/>
  <c r="V33" i="470"/>
  <c r="L56" i="278"/>
  <c r="W7" i="470"/>
  <c r="K53" i="470"/>
  <c r="T140" i="470"/>
  <c r="X56" i="470"/>
  <c r="L111" i="470"/>
  <c r="J132" i="470"/>
  <c r="L31" i="470"/>
  <c r="L22" i="470"/>
  <c r="X122" i="470"/>
  <c r="U77" i="194"/>
  <c r="J60" i="470"/>
  <c r="V53" i="470"/>
  <c r="R36" i="470"/>
  <c r="L81" i="470"/>
  <c r="S11" i="194"/>
  <c r="T117" i="470"/>
  <c r="M118" i="470"/>
  <c r="T93" i="470"/>
  <c r="J40" i="470"/>
  <c r="V141" i="470"/>
  <c r="N60" i="470"/>
  <c r="V7" i="470"/>
  <c r="R119" i="470"/>
  <c r="P122" i="470"/>
  <c r="U23" i="194"/>
  <c r="X134" i="470"/>
  <c r="V133" i="470"/>
  <c r="L11" i="470"/>
  <c r="V72" i="470"/>
  <c r="R63" i="470"/>
  <c r="W140" i="470"/>
  <c r="W131" i="470"/>
  <c r="S16" i="470"/>
  <c r="K104" i="470"/>
  <c r="X104" i="283"/>
  <c r="W82" i="284"/>
  <c r="R61" i="470"/>
  <c r="S67" i="470"/>
  <c r="K126" i="470"/>
  <c r="M90" i="470"/>
  <c r="L128" i="470"/>
  <c r="W4" i="470"/>
  <c r="V91" i="470"/>
  <c r="K133" i="470"/>
  <c r="U87" i="470"/>
  <c r="O86" i="470"/>
  <c r="W16" i="470"/>
  <c r="T90" i="282"/>
  <c r="K98" i="470"/>
  <c r="N124" i="470"/>
  <c r="R52" i="470"/>
  <c r="W138" i="470"/>
  <c r="L84" i="470"/>
  <c r="J130" i="194"/>
  <c r="U41" i="470"/>
  <c r="X119" i="470"/>
  <c r="U115" i="470"/>
  <c r="W87" i="470"/>
  <c r="N79" i="470"/>
  <c r="P55" i="470"/>
  <c r="M123" i="470"/>
  <c r="M83" i="470"/>
  <c r="P80" i="470"/>
  <c r="K81" i="470"/>
  <c r="O59" i="194"/>
  <c r="U89" i="470"/>
  <c r="M60" i="470"/>
  <c r="K43" i="470"/>
  <c r="S140" i="470"/>
  <c r="M17" i="470"/>
  <c r="O45" i="470"/>
  <c r="R6" i="470"/>
  <c r="P105" i="470"/>
  <c r="J29" i="470"/>
  <c r="M47" i="470"/>
  <c r="O140" i="470"/>
  <c r="L130" i="470"/>
  <c r="M134" i="470"/>
  <c r="J92" i="470"/>
  <c r="R113" i="194"/>
  <c r="S14" i="470"/>
  <c r="M119" i="470"/>
  <c r="O20" i="470"/>
  <c r="O93" i="470"/>
  <c r="P24" i="470"/>
  <c r="P109" i="470"/>
  <c r="S4" i="470"/>
  <c r="U57" i="194"/>
  <c r="W108" i="470"/>
  <c r="W59" i="194"/>
  <c r="N77" i="470"/>
  <c r="P96" i="278"/>
  <c r="T94" i="282"/>
  <c r="J57" i="470"/>
  <c r="L27" i="470"/>
  <c r="U49" i="194"/>
  <c r="T83" i="470"/>
  <c r="S109" i="470"/>
  <c r="W82" i="470"/>
  <c r="T57" i="194"/>
  <c r="S80" i="194"/>
  <c r="O97" i="283"/>
  <c r="O95" i="278"/>
  <c r="K96" i="275"/>
  <c r="M58" i="470"/>
  <c r="R24" i="470"/>
  <c r="P140" i="470"/>
  <c r="R32" i="470"/>
  <c r="L61" i="194"/>
  <c r="K74" i="470"/>
  <c r="J48" i="470"/>
  <c r="P90" i="470"/>
  <c r="W129" i="470"/>
  <c r="S124" i="470"/>
  <c r="U132" i="283"/>
  <c r="M107" i="470"/>
  <c r="U6" i="470"/>
  <c r="M80" i="194"/>
  <c r="M8" i="470"/>
  <c r="P83" i="470"/>
  <c r="J43" i="470"/>
  <c r="X10" i="470"/>
  <c r="T37" i="470"/>
  <c r="N89" i="470"/>
  <c r="N61" i="470"/>
  <c r="X32" i="470"/>
  <c r="P138" i="470"/>
  <c r="W109" i="194"/>
  <c r="U16" i="470"/>
  <c r="J94" i="279"/>
  <c r="M90" i="281"/>
  <c r="O55" i="470"/>
  <c r="S71" i="470"/>
  <c r="K70" i="470"/>
  <c r="S41" i="470"/>
  <c r="V79" i="281"/>
  <c r="R49" i="194"/>
  <c r="T62" i="470"/>
  <c r="N41" i="470"/>
  <c r="T39" i="194"/>
  <c r="V90" i="279"/>
  <c r="M53" i="194"/>
  <c r="V66" i="470"/>
  <c r="U58" i="470"/>
  <c r="O60" i="194"/>
  <c r="K92" i="470"/>
  <c r="P93" i="282"/>
  <c r="V95" i="282"/>
  <c r="U91" i="470"/>
  <c r="S14" i="194"/>
  <c r="S21" i="194"/>
  <c r="J88" i="275"/>
  <c r="X52" i="470"/>
  <c r="P95" i="279"/>
  <c r="V74" i="470"/>
  <c r="T39" i="470"/>
  <c r="N109" i="283"/>
  <c r="J49" i="470"/>
  <c r="L17" i="470"/>
  <c r="V48" i="470"/>
  <c r="S129" i="470"/>
  <c r="M23" i="470"/>
  <c r="T79" i="470"/>
  <c r="W84" i="283"/>
  <c r="T113" i="470"/>
  <c r="W76" i="470"/>
  <c r="V75" i="470"/>
  <c r="L115" i="470"/>
  <c r="W80" i="470"/>
  <c r="K85" i="470"/>
  <c r="O92" i="281"/>
  <c r="R108" i="470"/>
  <c r="V85" i="283"/>
  <c r="O39" i="470"/>
  <c r="T89" i="284"/>
  <c r="W80" i="279"/>
  <c r="X66" i="470"/>
  <c r="M33" i="470"/>
  <c r="S123" i="470"/>
  <c r="T58" i="194"/>
  <c r="P46" i="470"/>
  <c r="X69" i="470"/>
  <c r="J94" i="470"/>
  <c r="N31" i="470"/>
  <c r="R96" i="470"/>
  <c r="T90" i="278"/>
  <c r="O11" i="283"/>
  <c r="O24" i="470"/>
  <c r="S95" i="470"/>
  <c r="X53" i="470"/>
  <c r="T118" i="284"/>
  <c r="S23" i="470"/>
  <c r="K140" i="470"/>
  <c r="V89" i="279"/>
  <c r="K73" i="470"/>
  <c r="L76" i="283"/>
  <c r="X86" i="278"/>
  <c r="X116" i="470"/>
  <c r="N132" i="470"/>
  <c r="W93" i="284"/>
  <c r="K78" i="470"/>
  <c r="U79" i="282"/>
  <c r="L66" i="470"/>
  <c r="X96" i="279"/>
  <c r="X58" i="470"/>
  <c r="O83" i="283"/>
  <c r="O77" i="470"/>
  <c r="M48" i="194"/>
  <c r="S89" i="281"/>
  <c r="N37" i="194"/>
  <c r="M88" i="282"/>
  <c r="T88" i="282"/>
  <c r="O96" i="280"/>
  <c r="K90" i="194"/>
  <c r="J34" i="284"/>
  <c r="U84" i="280"/>
  <c r="R30" i="280"/>
  <c r="S55" i="280"/>
  <c r="V118" i="470"/>
  <c r="L91" i="283"/>
  <c r="X91" i="280"/>
  <c r="O105" i="194"/>
  <c r="N120" i="194"/>
  <c r="X78" i="284"/>
  <c r="M81" i="280"/>
  <c r="M106" i="283"/>
  <c r="N80" i="282"/>
  <c r="S117" i="470"/>
  <c r="N52" i="470"/>
  <c r="T84" i="278"/>
  <c r="J44" i="194"/>
  <c r="X88" i="282"/>
  <c r="J90" i="284"/>
  <c r="T89" i="283"/>
  <c r="V128" i="194"/>
  <c r="W110" i="194"/>
  <c r="R77" i="284"/>
  <c r="S81" i="281"/>
  <c r="W123" i="470"/>
  <c r="N90" i="470"/>
  <c r="T54" i="470"/>
  <c r="R123" i="470"/>
  <c r="K87" i="283"/>
  <c r="R120" i="470"/>
  <c r="X82" i="470"/>
  <c r="S55" i="194"/>
  <c r="U80" i="470"/>
  <c r="J84" i="470"/>
  <c r="V36" i="470"/>
  <c r="L107" i="470"/>
  <c r="L16" i="470"/>
  <c r="U54" i="470"/>
  <c r="J81" i="470"/>
  <c r="K103" i="470"/>
  <c r="O40" i="470"/>
  <c r="T93" i="278"/>
  <c r="S81" i="279"/>
  <c r="P82" i="284"/>
  <c r="K93" i="279"/>
  <c r="P131" i="470"/>
  <c r="X94" i="470"/>
  <c r="U89" i="282"/>
  <c r="P82" i="279"/>
  <c r="P89" i="283"/>
  <c r="P78" i="280"/>
  <c r="O6" i="470"/>
  <c r="M54" i="470"/>
  <c r="W32" i="194"/>
  <c r="T32" i="470"/>
  <c r="P78" i="283"/>
  <c r="W89" i="284"/>
  <c r="V140" i="470"/>
  <c r="V106" i="470"/>
  <c r="S92" i="281"/>
  <c r="M84" i="283"/>
  <c r="J81" i="280"/>
  <c r="J62" i="470"/>
  <c r="W96" i="284"/>
  <c r="J11" i="194"/>
  <c r="O72" i="470"/>
  <c r="V82" i="194"/>
  <c r="V18" i="470"/>
  <c r="O138" i="470"/>
  <c r="L139" i="194"/>
  <c r="R95" i="283"/>
  <c r="W77" i="470"/>
  <c r="R26" i="470"/>
  <c r="L48" i="470"/>
  <c r="J93" i="275"/>
  <c r="R13" i="470"/>
  <c r="O64" i="194"/>
  <c r="M16" i="470"/>
  <c r="U12" i="470"/>
  <c r="J18" i="470"/>
  <c r="X85" i="281"/>
  <c r="W104" i="470"/>
  <c r="M106" i="280"/>
  <c r="M130" i="470"/>
  <c r="S129" i="281"/>
  <c r="M80" i="275"/>
  <c r="L54" i="470"/>
  <c r="T24" i="470"/>
  <c r="S76" i="282"/>
  <c r="M98" i="281"/>
  <c r="R35" i="470"/>
  <c r="U39" i="470"/>
  <c r="L4" i="470"/>
  <c r="X78" i="281"/>
  <c r="L41" i="470"/>
  <c r="X83" i="281"/>
  <c r="J88" i="282"/>
  <c r="N66" i="470"/>
  <c r="P73" i="470"/>
  <c r="O93" i="281"/>
  <c r="P80" i="281"/>
  <c r="X46" i="470"/>
  <c r="T85" i="278"/>
  <c r="M80" i="470"/>
  <c r="O81" i="275"/>
  <c r="P85" i="278"/>
  <c r="N102" i="470"/>
  <c r="O101" i="470"/>
  <c r="X15" i="470"/>
  <c r="P96" i="284"/>
  <c r="W116" i="194"/>
  <c r="P19" i="470"/>
  <c r="L78" i="275"/>
  <c r="V92" i="284"/>
  <c r="W105" i="281"/>
  <c r="S93" i="194"/>
  <c r="P69" i="194"/>
  <c r="W64" i="194"/>
  <c r="N21" i="470"/>
  <c r="R16" i="283"/>
  <c r="T112" i="470"/>
  <c r="O72" i="194"/>
  <c r="X61" i="283"/>
  <c r="U43" i="194"/>
  <c r="V59" i="279"/>
  <c r="T16" i="194"/>
  <c r="W85" i="468"/>
  <c r="P83" i="282"/>
  <c r="U68" i="194"/>
  <c r="R120" i="281"/>
  <c r="V88" i="284"/>
  <c r="L34" i="283"/>
  <c r="T31" i="194"/>
  <c r="N79" i="283"/>
  <c r="M89" i="278"/>
  <c r="K89" i="275"/>
  <c r="R76" i="278"/>
  <c r="V88" i="281"/>
  <c r="J59" i="194"/>
  <c r="X96" i="275"/>
  <c r="L109" i="284"/>
  <c r="K107" i="470"/>
  <c r="U38" i="470"/>
  <c r="X97" i="278"/>
  <c r="P92" i="282"/>
  <c r="W121" i="470"/>
  <c r="R23" i="470"/>
  <c r="V79" i="283"/>
  <c r="O17" i="194"/>
  <c r="W28" i="470"/>
  <c r="N77" i="275"/>
  <c r="T140" i="284"/>
  <c r="L63" i="470"/>
  <c r="J87" i="470"/>
  <c r="N29" i="470"/>
  <c r="X55" i="470"/>
  <c r="J103" i="470"/>
  <c r="L35" i="194"/>
  <c r="J89" i="470"/>
  <c r="M138" i="470"/>
  <c r="T6" i="470"/>
  <c r="W107" i="470"/>
  <c r="L133" i="470"/>
  <c r="X54" i="470"/>
  <c r="V46" i="470"/>
  <c r="K119" i="470"/>
  <c r="X11" i="470"/>
  <c r="U44" i="470"/>
  <c r="X128" i="282"/>
  <c r="J91" i="470"/>
  <c r="V106" i="194"/>
  <c r="P76" i="282"/>
  <c r="X12" i="194"/>
  <c r="V26" i="470"/>
  <c r="O80" i="279"/>
  <c r="V76" i="280"/>
  <c r="S83" i="278"/>
  <c r="R85" i="283"/>
  <c r="X131" i="470"/>
  <c r="X97" i="470"/>
  <c r="R41" i="470"/>
  <c r="P100" i="194"/>
  <c r="U40" i="470"/>
  <c r="R111" i="194"/>
  <c r="N86" i="470"/>
  <c r="X97" i="194"/>
  <c r="J128" i="284"/>
  <c r="J52" i="470"/>
  <c r="O79" i="470"/>
  <c r="L45" i="470"/>
  <c r="K42" i="470"/>
  <c r="R4" i="470"/>
  <c r="X84" i="470"/>
  <c r="V69" i="470"/>
  <c r="W15" i="470"/>
  <c r="L34" i="470"/>
  <c r="P84" i="282"/>
  <c r="M83" i="279"/>
  <c r="X40" i="470"/>
  <c r="K124" i="470"/>
  <c r="L76" i="470"/>
  <c r="W18" i="279"/>
  <c r="U127" i="470"/>
  <c r="V94" i="194"/>
  <c r="J25" i="470"/>
  <c r="J65" i="470"/>
  <c r="P10" i="470"/>
  <c r="O98" i="470"/>
  <c r="W35" i="470"/>
  <c r="J83" i="283"/>
  <c r="P18" i="470"/>
  <c r="M121" i="470"/>
  <c r="R80" i="284"/>
  <c r="J37" i="470"/>
  <c r="J108" i="470"/>
  <c r="P141" i="470"/>
  <c r="U90" i="283"/>
  <c r="T88" i="470"/>
  <c r="J121" i="470"/>
  <c r="J61" i="470"/>
  <c r="O41" i="470"/>
  <c r="X91" i="470"/>
  <c r="P102" i="470"/>
  <c r="N91" i="275"/>
  <c r="J42" i="194"/>
  <c r="P88" i="194"/>
  <c r="K137" i="194"/>
  <c r="R58" i="282"/>
  <c r="O42" i="470"/>
  <c r="O34" i="194"/>
  <c r="X108" i="470"/>
  <c r="O109" i="470"/>
  <c r="N76" i="194"/>
  <c r="M14" i="470"/>
  <c r="V97" i="194"/>
  <c r="L80" i="194"/>
  <c r="W84" i="284"/>
  <c r="M13" i="470"/>
  <c r="P88" i="470"/>
  <c r="V56" i="282"/>
  <c r="K75" i="470"/>
  <c r="T71" i="194"/>
  <c r="U9" i="470"/>
  <c r="K13" i="470"/>
  <c r="O82" i="470"/>
  <c r="O94" i="279"/>
  <c r="W32" i="281"/>
  <c r="O89" i="194"/>
  <c r="L95" i="282"/>
  <c r="T111" i="194"/>
  <c r="K95" i="281"/>
  <c r="K86" i="283"/>
  <c r="T124" i="280"/>
  <c r="S70" i="283"/>
  <c r="V22" i="194"/>
  <c r="T3" i="284"/>
  <c r="N10" i="194"/>
  <c r="R78" i="275"/>
  <c r="V131" i="470"/>
  <c r="S25" i="470"/>
  <c r="R50" i="278"/>
  <c r="N12" i="194"/>
  <c r="R94" i="275"/>
  <c r="O55" i="280"/>
  <c r="M7" i="194"/>
  <c r="O59" i="284"/>
  <c r="S63" i="284"/>
  <c r="W117" i="281"/>
  <c r="V55" i="278"/>
  <c r="T105" i="194"/>
  <c r="R83" i="279"/>
  <c r="U93" i="470"/>
  <c r="K40" i="194"/>
  <c r="O48" i="283"/>
  <c r="T77" i="284"/>
  <c r="X56" i="280"/>
  <c r="V76" i="194"/>
  <c r="S122" i="194"/>
  <c r="U85" i="194"/>
  <c r="X92" i="470"/>
  <c r="V40" i="470"/>
  <c r="L60" i="470"/>
  <c r="K123" i="470"/>
  <c r="N105" i="470"/>
  <c r="J125" i="470"/>
  <c r="P95" i="470"/>
  <c r="M18" i="470"/>
  <c r="V114" i="470"/>
  <c r="S83" i="470"/>
  <c r="N72" i="470"/>
  <c r="M106" i="470"/>
  <c r="N99" i="470"/>
  <c r="M57" i="470"/>
  <c r="K97" i="278"/>
  <c r="T33" i="470"/>
  <c r="O8" i="470"/>
  <c r="L132" i="470"/>
  <c r="R85" i="470"/>
  <c r="L40" i="194"/>
  <c r="R59" i="470"/>
  <c r="N137" i="470"/>
  <c r="W68" i="470"/>
  <c r="V10" i="284"/>
  <c r="X77" i="283"/>
  <c r="T52" i="470"/>
  <c r="M96" i="470"/>
  <c r="V117" i="470"/>
  <c r="K16" i="470"/>
  <c r="M4" i="470"/>
  <c r="N26" i="470"/>
  <c r="X45" i="194"/>
  <c r="T97" i="284"/>
  <c r="O88" i="283"/>
  <c r="U84" i="281"/>
  <c r="M71" i="470"/>
  <c r="J41" i="470"/>
  <c r="X101" i="470"/>
  <c r="S116" i="470"/>
  <c r="K95" i="275"/>
  <c r="W12" i="194"/>
  <c r="O81" i="194"/>
  <c r="M97" i="470"/>
  <c r="S77" i="470"/>
  <c r="J109" i="470"/>
  <c r="U28" i="194"/>
  <c r="R86" i="470"/>
  <c r="W86" i="470"/>
  <c r="L87" i="283"/>
  <c r="U117" i="470"/>
  <c r="O78" i="278"/>
  <c r="U94" i="280"/>
  <c r="N116" i="470"/>
  <c r="P44" i="194"/>
  <c r="O81" i="278"/>
  <c r="T26" i="194"/>
  <c r="O28" i="470"/>
  <c r="W126" i="283"/>
  <c r="J97" i="279"/>
  <c r="R44" i="470"/>
  <c r="N45" i="470"/>
  <c r="N88" i="470"/>
  <c r="T90" i="470"/>
  <c r="P80" i="284"/>
  <c r="U97" i="283"/>
  <c r="P68" i="470"/>
  <c r="O64" i="470"/>
  <c r="L36" i="470"/>
  <c r="J85" i="278"/>
  <c r="M29" i="470"/>
  <c r="R105" i="470"/>
  <c r="V76" i="284"/>
  <c r="X70" i="470"/>
  <c r="L97" i="279"/>
  <c r="U16" i="194"/>
  <c r="T113" i="194"/>
  <c r="J120" i="470"/>
  <c r="J58" i="470"/>
  <c r="W83" i="281"/>
  <c r="O133" i="470"/>
  <c r="T86" i="279"/>
  <c r="S92" i="470"/>
  <c r="W46" i="283"/>
  <c r="W109" i="470"/>
  <c r="J78" i="279"/>
  <c r="M76" i="470"/>
  <c r="M124" i="470"/>
  <c r="N16" i="470"/>
  <c r="M56" i="470"/>
  <c r="V19" i="470"/>
  <c r="S60" i="194"/>
  <c r="S77" i="279"/>
  <c r="L95" i="470"/>
  <c r="P123" i="194"/>
  <c r="O81" i="284"/>
  <c r="L62" i="470"/>
  <c r="T93" i="283"/>
  <c r="O51" i="194"/>
  <c r="N29" i="194"/>
  <c r="J105" i="284"/>
  <c r="N92" i="278"/>
  <c r="M115" i="470"/>
  <c r="S54" i="194"/>
  <c r="K51" i="282"/>
  <c r="L55" i="278"/>
  <c r="P18" i="194"/>
  <c r="O74" i="281"/>
  <c r="K82" i="281"/>
  <c r="L79" i="278"/>
  <c r="X17" i="194"/>
  <c r="J77" i="278"/>
  <c r="K27" i="194"/>
  <c r="V86" i="278"/>
  <c r="V52" i="194"/>
  <c r="S106" i="275"/>
  <c r="W86" i="194"/>
  <c r="N14" i="194"/>
  <c r="J138" i="470"/>
  <c r="R56" i="281"/>
  <c r="N77" i="280"/>
  <c r="N119" i="194"/>
  <c r="N84" i="281"/>
  <c r="U130" i="283"/>
  <c r="S92" i="280"/>
  <c r="S81" i="275"/>
  <c r="N110" i="194"/>
  <c r="T93" i="275"/>
  <c r="V116" i="470"/>
  <c r="O88" i="470"/>
  <c r="J74" i="470"/>
  <c r="X15" i="194"/>
  <c r="O87" i="279"/>
  <c r="O92" i="275"/>
  <c r="M103" i="470"/>
  <c r="O25" i="470"/>
  <c r="P81" i="470"/>
  <c r="P12" i="194"/>
  <c r="R19" i="470"/>
  <c r="X74" i="470"/>
  <c r="U63" i="470"/>
  <c r="R72" i="194"/>
  <c r="R77" i="470"/>
  <c r="U46" i="470"/>
  <c r="O66" i="470"/>
  <c r="W48" i="470"/>
  <c r="S57" i="470"/>
  <c r="O26" i="470"/>
  <c r="W94" i="279"/>
  <c r="L128" i="194"/>
  <c r="N95" i="279"/>
  <c r="V84" i="283"/>
  <c r="P84" i="280"/>
  <c r="V93" i="278"/>
  <c r="V56" i="470"/>
  <c r="V78" i="284"/>
  <c r="T34" i="470"/>
  <c r="P82" i="281"/>
  <c r="U88" i="470"/>
  <c r="J98" i="470"/>
  <c r="P81" i="275"/>
  <c r="R131" i="470"/>
  <c r="O79" i="278"/>
  <c r="N88" i="194"/>
  <c r="V127" i="470"/>
  <c r="L32" i="470"/>
  <c r="U121" i="194"/>
  <c r="P8" i="284"/>
  <c r="W12" i="470"/>
  <c r="P14" i="470"/>
  <c r="U91" i="284"/>
  <c r="O37" i="194"/>
  <c r="O104" i="470"/>
  <c r="M52" i="194"/>
  <c r="W120" i="470"/>
  <c r="J72" i="470"/>
  <c r="W90" i="470"/>
  <c r="X45" i="470"/>
  <c r="U70" i="470"/>
  <c r="L97" i="470"/>
  <c r="M6" i="194"/>
  <c r="P36" i="470"/>
  <c r="W82" i="275"/>
  <c r="J128" i="470"/>
  <c r="K129" i="470"/>
  <c r="W97" i="470"/>
  <c r="S22" i="284"/>
  <c r="N130" i="194"/>
  <c r="P94" i="280"/>
  <c r="J100" i="194"/>
  <c r="W82" i="194"/>
  <c r="N77" i="281"/>
  <c r="P9" i="194"/>
  <c r="W88" i="470"/>
  <c r="M81" i="281"/>
  <c r="M43" i="194"/>
  <c r="L113" i="284"/>
  <c r="R59" i="284"/>
  <c r="U102" i="470"/>
  <c r="X22" i="470"/>
  <c r="U52" i="470"/>
  <c r="W78" i="282"/>
  <c r="J85" i="280"/>
  <c r="S42" i="470"/>
  <c r="X26" i="470"/>
  <c r="R80" i="470"/>
  <c r="M93" i="470"/>
  <c r="N16" i="194"/>
  <c r="V54" i="470"/>
  <c r="U17" i="470"/>
  <c r="S87" i="279"/>
  <c r="W24" i="470"/>
  <c r="X100" i="278"/>
  <c r="X110" i="470"/>
  <c r="T45" i="470"/>
  <c r="P33" i="470"/>
  <c r="N11" i="470"/>
  <c r="L102" i="194"/>
  <c r="M11" i="470"/>
  <c r="L81" i="279"/>
  <c r="T87" i="470"/>
  <c r="X59" i="194"/>
  <c r="X92" i="282"/>
  <c r="R77" i="280"/>
  <c r="R53" i="194"/>
  <c r="J65" i="194"/>
  <c r="U80" i="282"/>
  <c r="J80" i="280"/>
  <c r="P6" i="470"/>
  <c r="T91" i="194"/>
  <c r="K81" i="278"/>
  <c r="V61" i="194"/>
  <c r="P111" i="283"/>
  <c r="L19" i="470"/>
  <c r="O43" i="470"/>
  <c r="W15" i="194"/>
  <c r="J90" i="281"/>
  <c r="M91" i="282"/>
  <c r="X103" i="283"/>
  <c r="O43" i="194"/>
  <c r="K80" i="280"/>
  <c r="L108" i="194"/>
  <c r="O18" i="284"/>
  <c r="J38" i="194"/>
  <c r="M71" i="194"/>
  <c r="L126" i="470"/>
  <c r="N26" i="194"/>
  <c r="M87" i="282"/>
  <c r="W79" i="283"/>
  <c r="N69" i="194"/>
  <c r="V85" i="279"/>
  <c r="M126" i="194"/>
  <c r="J81" i="275"/>
  <c r="L52" i="284"/>
  <c r="K91" i="281"/>
  <c r="T77" i="194"/>
  <c r="J36" i="470"/>
  <c r="L43" i="470"/>
  <c r="L76" i="275"/>
  <c r="N9" i="470"/>
  <c r="V16" i="470"/>
  <c r="X136" i="470"/>
  <c r="K130" i="470"/>
  <c r="K60" i="470"/>
  <c r="O32" i="194"/>
  <c r="O47" i="470"/>
  <c r="U108" i="470"/>
  <c r="L88" i="194"/>
  <c r="J135" i="194"/>
  <c r="O111" i="194"/>
  <c r="X123" i="470"/>
  <c r="S82" i="470"/>
  <c r="S86" i="470"/>
  <c r="R62" i="470"/>
  <c r="V6" i="470"/>
  <c r="N51" i="470"/>
  <c r="X113" i="194"/>
  <c r="R7" i="470"/>
  <c r="O5" i="470"/>
  <c r="T98" i="194"/>
  <c r="S127" i="194"/>
  <c r="J64" i="470"/>
  <c r="X83" i="280"/>
  <c r="L26" i="470"/>
  <c r="O63" i="470"/>
  <c r="J52" i="281"/>
  <c r="N81" i="470"/>
  <c r="P28" i="470"/>
  <c r="X107" i="470"/>
  <c r="W78" i="275"/>
  <c r="W91" i="284"/>
  <c r="U42" i="470"/>
  <c r="T110" i="470"/>
  <c r="P71" i="283"/>
  <c r="P84" i="470"/>
  <c r="R75" i="194"/>
  <c r="T74" i="194"/>
  <c r="P52" i="281"/>
  <c r="W93" i="279"/>
  <c r="K114" i="470"/>
  <c r="R92" i="194"/>
  <c r="O29" i="470"/>
  <c r="V45" i="470"/>
  <c r="R9" i="194"/>
  <c r="U82" i="279"/>
  <c r="U103" i="194"/>
  <c r="X61" i="470"/>
  <c r="W87" i="278"/>
  <c r="W26" i="470"/>
  <c r="P74" i="470"/>
  <c r="N106" i="470"/>
  <c r="M32" i="470"/>
  <c r="R42" i="470"/>
  <c r="J126" i="470"/>
  <c r="L33" i="282"/>
  <c r="R88" i="470"/>
  <c r="U74" i="194"/>
  <c r="K119" i="284"/>
  <c r="R83" i="194"/>
  <c r="R82" i="281"/>
  <c r="K52" i="470"/>
  <c r="W93" i="282"/>
  <c r="J56" i="280"/>
  <c r="P133" i="470"/>
  <c r="L70" i="194"/>
  <c r="J19" i="470"/>
  <c r="M126" i="470"/>
  <c r="L15" i="470"/>
  <c r="L52" i="470"/>
  <c r="R57" i="470"/>
  <c r="O92" i="470"/>
  <c r="R72" i="470"/>
  <c r="J88" i="280"/>
  <c r="R29" i="470"/>
  <c r="R46" i="470"/>
  <c r="X132" i="470"/>
  <c r="K24" i="470"/>
  <c r="X113" i="470"/>
  <c r="U91" i="279"/>
  <c r="P49" i="283"/>
  <c r="J38" i="470"/>
  <c r="V80" i="470"/>
  <c r="S46" i="194"/>
  <c r="T31" i="470"/>
  <c r="L85" i="275"/>
  <c r="L14" i="470"/>
  <c r="K88" i="281"/>
  <c r="S112" i="470"/>
  <c r="O110" i="470"/>
  <c r="W13" i="470"/>
  <c r="T109" i="470"/>
  <c r="P87" i="275"/>
  <c r="P86" i="194"/>
  <c r="U82" i="194"/>
  <c r="W84" i="194"/>
  <c r="T88" i="194"/>
  <c r="W95" i="284"/>
  <c r="P129" i="284"/>
  <c r="T6" i="194"/>
  <c r="W94" i="280"/>
  <c r="R20" i="470"/>
  <c r="W94" i="470"/>
  <c r="N70" i="279"/>
  <c r="X63" i="194"/>
  <c r="W14" i="283"/>
  <c r="P96" i="470"/>
  <c r="V83" i="282"/>
  <c r="S59" i="284"/>
  <c r="J89" i="284"/>
  <c r="P89" i="284"/>
  <c r="R83" i="280"/>
  <c r="W44" i="470"/>
  <c r="P89" i="194"/>
  <c r="R91" i="278"/>
  <c r="N94" i="275"/>
  <c r="K59" i="194"/>
  <c r="X11" i="282"/>
  <c r="K83" i="278"/>
  <c r="K80" i="282"/>
  <c r="V32" i="283"/>
  <c r="N96" i="284"/>
  <c r="S113" i="194"/>
  <c r="N96" i="470"/>
  <c r="O134" i="470"/>
  <c r="V80" i="278"/>
  <c r="J76" i="470"/>
  <c r="R65" i="470"/>
  <c r="X73" i="470"/>
  <c r="U133" i="470"/>
  <c r="N49" i="470"/>
  <c r="L46" i="470"/>
  <c r="J112" i="194"/>
  <c r="U60" i="470"/>
  <c r="K115" i="470"/>
  <c r="K86" i="470"/>
  <c r="V44" i="470"/>
  <c r="J14" i="470"/>
  <c r="S100" i="470"/>
  <c r="N70" i="470"/>
  <c r="O56" i="470"/>
  <c r="R78" i="279"/>
  <c r="L72" i="470"/>
  <c r="V40" i="194"/>
  <c r="X5" i="470"/>
  <c r="M136" i="470"/>
  <c r="S51" i="470"/>
  <c r="K105" i="194"/>
  <c r="T60" i="281"/>
  <c r="K77" i="470"/>
  <c r="R69" i="470"/>
  <c r="V77" i="284"/>
  <c r="L141" i="470"/>
  <c r="R91" i="282"/>
  <c r="V50" i="194"/>
  <c r="M6" i="470"/>
  <c r="N32" i="470"/>
  <c r="X42" i="278"/>
  <c r="L77" i="278"/>
  <c r="P65" i="470"/>
  <c r="O73" i="470"/>
  <c r="L73" i="470"/>
  <c r="V85" i="280"/>
  <c r="K127" i="470"/>
  <c r="V92" i="280"/>
  <c r="L89" i="282"/>
  <c r="X87" i="280"/>
  <c r="W77" i="284"/>
  <c r="U59" i="194"/>
  <c r="T78" i="470"/>
  <c r="O78" i="275"/>
  <c r="S28" i="470"/>
  <c r="U54" i="284"/>
  <c r="S139" i="194"/>
  <c r="T46" i="470"/>
  <c r="V31" i="470"/>
  <c r="P136" i="194"/>
  <c r="P5" i="470"/>
  <c r="M77" i="470"/>
  <c r="W10" i="470"/>
  <c r="J104" i="194"/>
  <c r="S49" i="470"/>
  <c r="P135" i="470"/>
  <c r="M64" i="470"/>
  <c r="T72" i="470"/>
  <c r="N68" i="470"/>
  <c r="N111" i="470"/>
  <c r="M99" i="194"/>
  <c r="K76" i="470"/>
  <c r="O38" i="470"/>
  <c r="U43" i="281"/>
  <c r="W74" i="470"/>
  <c r="K45" i="470"/>
  <c r="L21" i="470"/>
  <c r="M4" i="194"/>
  <c r="N71" i="470"/>
  <c r="R87" i="275"/>
  <c r="T56" i="275"/>
  <c r="V70" i="470"/>
  <c r="U79" i="280"/>
  <c r="M43" i="470"/>
  <c r="S129" i="194"/>
  <c r="T98" i="281"/>
  <c r="N83" i="278"/>
  <c r="X90" i="194"/>
  <c r="M19" i="470"/>
  <c r="K82" i="284"/>
  <c r="U88" i="275"/>
  <c r="L79" i="282"/>
  <c r="T84" i="280"/>
  <c r="O85" i="280"/>
  <c r="T98" i="470"/>
  <c r="K90" i="275"/>
  <c r="M53" i="470"/>
  <c r="M20" i="470"/>
  <c r="P128" i="194"/>
  <c r="V128" i="470"/>
  <c r="O92" i="280"/>
  <c r="M111" i="470"/>
  <c r="K95" i="194"/>
  <c r="V85" i="281"/>
  <c r="L106" i="470"/>
  <c r="R11" i="470"/>
  <c r="L83" i="282"/>
  <c r="S65" i="470"/>
  <c r="S89" i="283"/>
  <c r="V105" i="470"/>
  <c r="K106" i="470"/>
  <c r="O63" i="194"/>
  <c r="P79" i="281"/>
  <c r="U15" i="470"/>
  <c r="K52" i="281"/>
  <c r="P83" i="284"/>
  <c r="K10" i="470"/>
  <c r="L5" i="470"/>
  <c r="J73" i="194"/>
  <c r="S105" i="470"/>
  <c r="U77" i="284"/>
  <c r="S127" i="470"/>
  <c r="T115" i="470"/>
  <c r="K78" i="194"/>
  <c r="T81" i="284"/>
  <c r="O89" i="278"/>
  <c r="N109" i="470"/>
  <c r="V102" i="470"/>
  <c r="N116" i="282"/>
  <c r="W115" i="470"/>
  <c r="M125" i="284"/>
  <c r="M26" i="470"/>
  <c r="N92" i="194"/>
  <c r="X118" i="470"/>
  <c r="V82" i="275"/>
  <c r="P93" i="283"/>
  <c r="L87" i="282"/>
  <c r="S128" i="470"/>
  <c r="T48" i="470"/>
  <c r="U109" i="470"/>
  <c r="X4" i="470"/>
  <c r="X134" i="194"/>
  <c r="K121" i="284"/>
  <c r="T76" i="275"/>
  <c r="R99" i="470"/>
  <c r="S98" i="194"/>
  <c r="S27" i="470"/>
  <c r="T95" i="470"/>
  <c r="O95" i="470"/>
  <c r="K77" i="280"/>
  <c r="J20" i="470"/>
  <c r="V81" i="280"/>
  <c r="L118" i="470"/>
  <c r="K89" i="280"/>
  <c r="P139" i="194"/>
  <c r="R78" i="470"/>
  <c r="R101" i="280"/>
  <c r="U40" i="194"/>
  <c r="X55" i="279"/>
  <c r="W137" i="279"/>
  <c r="U76" i="283"/>
  <c r="O88" i="275"/>
  <c r="K132" i="194"/>
  <c r="O4" i="194"/>
  <c r="L94" i="278"/>
  <c r="M92" i="279"/>
  <c r="S97" i="278"/>
  <c r="U62" i="194"/>
  <c r="T68" i="283"/>
  <c r="X81" i="282"/>
  <c r="O99" i="470"/>
  <c r="X64" i="194"/>
  <c r="U82" i="278"/>
  <c r="M60" i="194"/>
  <c r="W102" i="470"/>
  <c r="M5" i="470"/>
  <c r="O61" i="470"/>
  <c r="S31" i="470"/>
  <c r="U26" i="470"/>
  <c r="K7" i="470"/>
  <c r="U49" i="470"/>
  <c r="U53" i="470"/>
  <c r="L69" i="470"/>
  <c r="N42" i="470"/>
  <c r="U140" i="470"/>
  <c r="J28" i="470"/>
  <c r="O88" i="278"/>
  <c r="P27" i="470"/>
  <c r="S141" i="470"/>
  <c r="L135" i="470"/>
  <c r="M30" i="470"/>
  <c r="W75" i="470"/>
  <c r="T53" i="470"/>
  <c r="L79" i="279"/>
  <c r="O24" i="194"/>
  <c r="M13" i="194"/>
  <c r="S83" i="282"/>
  <c r="M49" i="283"/>
  <c r="O111" i="283"/>
  <c r="V90" i="275"/>
  <c r="J7" i="470"/>
  <c r="S78" i="280"/>
  <c r="J126" i="194"/>
  <c r="M74" i="194"/>
  <c r="N121" i="470"/>
  <c r="P103" i="283"/>
  <c r="X44" i="470"/>
  <c r="J117" i="470"/>
  <c r="O33" i="194"/>
  <c r="X106" i="470"/>
  <c r="T27" i="470"/>
  <c r="V135" i="284"/>
  <c r="T104" i="470"/>
  <c r="N78" i="281"/>
  <c r="V84" i="281"/>
  <c r="K25" i="470"/>
  <c r="X128" i="470"/>
  <c r="M125" i="470"/>
  <c r="S101" i="281"/>
  <c r="V90" i="470"/>
  <c r="K57" i="470"/>
  <c r="X93" i="284"/>
  <c r="M93" i="280"/>
  <c r="S97" i="470"/>
  <c r="K56" i="470"/>
  <c r="M129" i="284"/>
  <c r="W8" i="470"/>
  <c r="R128" i="470"/>
  <c r="U19" i="470"/>
  <c r="R17" i="470"/>
  <c r="W33" i="470"/>
  <c r="O97" i="281"/>
  <c r="S110" i="470"/>
  <c r="S83" i="283"/>
  <c r="K111" i="470"/>
  <c r="M88" i="470"/>
  <c r="M51" i="470"/>
  <c r="N76" i="282"/>
  <c r="K78" i="281"/>
  <c r="T100" i="470"/>
  <c r="M38" i="470"/>
  <c r="U100" i="470"/>
  <c r="X57" i="281"/>
  <c r="M95" i="280"/>
  <c r="K48" i="470"/>
  <c r="X36" i="470"/>
  <c r="T129" i="470"/>
  <c r="L119" i="194"/>
  <c r="W46" i="284"/>
  <c r="T136" i="470"/>
  <c r="N73" i="470"/>
  <c r="J24" i="470"/>
  <c r="J93" i="280"/>
  <c r="X93" i="281"/>
  <c r="P83" i="194"/>
  <c r="V87" i="281"/>
  <c r="O4" i="470"/>
  <c r="U99" i="470"/>
  <c r="N137" i="283"/>
  <c r="V97" i="470"/>
  <c r="K84" i="284"/>
  <c r="O78" i="279"/>
  <c r="V71" i="194"/>
  <c r="T67" i="470"/>
  <c r="S68" i="470"/>
  <c r="U111" i="470"/>
  <c r="R86" i="194"/>
  <c r="W99" i="194"/>
  <c r="U104" i="470"/>
  <c r="V82" i="278"/>
  <c r="S135" i="281"/>
  <c r="R90" i="275"/>
  <c r="N110" i="470"/>
  <c r="S57" i="194"/>
  <c r="W76" i="280"/>
  <c r="S96" i="278"/>
  <c r="L68" i="275"/>
  <c r="K84" i="283"/>
  <c r="K78" i="278"/>
  <c r="J130" i="470"/>
  <c r="S76" i="284"/>
  <c r="V85" i="194"/>
  <c r="R94" i="470"/>
  <c r="J96" i="278"/>
  <c r="S131" i="282"/>
  <c r="L116" i="282"/>
  <c r="L81" i="280"/>
  <c r="X122" i="284"/>
  <c r="K25" i="282"/>
  <c r="V7" i="194"/>
  <c r="S122" i="470"/>
  <c r="P83" i="281"/>
  <c r="T95" i="283"/>
  <c r="R105" i="278"/>
  <c r="N82" i="283"/>
  <c r="K83" i="275"/>
  <c r="U102" i="194"/>
  <c r="J92" i="284"/>
  <c r="P111" i="194"/>
  <c r="O135" i="275"/>
  <c r="O133" i="282"/>
  <c r="M69" i="470"/>
  <c r="P64" i="470"/>
  <c r="L44" i="470"/>
  <c r="S59" i="470"/>
  <c r="X24" i="470"/>
  <c r="U10" i="470"/>
  <c r="J42" i="470"/>
  <c r="P100" i="470"/>
  <c r="S56" i="470"/>
  <c r="P91" i="470"/>
  <c r="O128" i="470"/>
  <c r="M137" i="194"/>
  <c r="V37" i="470"/>
  <c r="R136" i="470"/>
  <c r="P85" i="470"/>
  <c r="P130" i="470"/>
  <c r="V111" i="470"/>
  <c r="L58" i="470"/>
  <c r="N93" i="470"/>
  <c r="J110" i="470"/>
  <c r="R89" i="279"/>
  <c r="K12" i="470"/>
  <c r="J116" i="470"/>
  <c r="X79" i="281"/>
  <c r="W135" i="194"/>
  <c r="S84" i="282"/>
  <c r="S8" i="470"/>
  <c r="K127" i="194"/>
  <c r="U121" i="470"/>
  <c r="V84" i="284"/>
  <c r="O98" i="281"/>
  <c r="R76" i="470"/>
  <c r="M92" i="470"/>
  <c r="L43" i="194"/>
  <c r="P91" i="194"/>
  <c r="U75" i="283"/>
  <c r="N112" i="470"/>
  <c r="L18" i="470"/>
  <c r="P132" i="470"/>
  <c r="T92" i="470"/>
  <c r="U99" i="282"/>
  <c r="T5" i="470"/>
  <c r="X115" i="470"/>
  <c r="V21" i="470"/>
  <c r="L75" i="470"/>
  <c r="U90" i="194"/>
  <c r="M95" i="278"/>
  <c r="V14" i="470"/>
  <c r="N56" i="281"/>
  <c r="T138" i="470"/>
  <c r="U68" i="470"/>
  <c r="R57" i="281"/>
  <c r="W47" i="194"/>
  <c r="X79" i="280"/>
  <c r="M112" i="470"/>
  <c r="P103" i="470"/>
  <c r="V96" i="280"/>
  <c r="W118" i="470"/>
  <c r="S43" i="470"/>
  <c r="R68" i="470"/>
  <c r="N124" i="194"/>
  <c r="R89" i="280"/>
  <c r="T89" i="281"/>
  <c r="N5" i="194"/>
  <c r="K56" i="194"/>
  <c r="J111" i="470"/>
  <c r="P81" i="278"/>
  <c r="X14" i="470"/>
  <c r="N69" i="470"/>
  <c r="J97" i="280"/>
  <c r="O18" i="470"/>
  <c r="N98" i="470"/>
  <c r="R89" i="278"/>
  <c r="V83" i="280"/>
  <c r="N83" i="275"/>
  <c r="X5" i="194"/>
  <c r="R135" i="194"/>
  <c r="M66" i="194"/>
  <c r="M78" i="470"/>
  <c r="P56" i="281"/>
  <c r="L79" i="284"/>
  <c r="L84" i="283"/>
  <c r="S99" i="470"/>
  <c r="O67" i="470"/>
  <c r="J123" i="194"/>
  <c r="N104" i="470"/>
  <c r="T80" i="470"/>
  <c r="P138" i="194"/>
  <c r="R37" i="194"/>
  <c r="T56" i="470"/>
  <c r="P94" i="470"/>
  <c r="R102" i="470"/>
  <c r="X104" i="470"/>
  <c r="V12" i="470"/>
  <c r="O53" i="470"/>
  <c r="M27" i="470"/>
  <c r="U50" i="194"/>
  <c r="P133" i="194"/>
  <c r="M61" i="194"/>
  <c r="L15" i="194"/>
  <c r="K88" i="283"/>
  <c r="R3" i="284"/>
  <c r="K78" i="283"/>
  <c r="X93" i="275"/>
  <c r="O119" i="194"/>
  <c r="N105" i="194"/>
  <c r="K113" i="470"/>
  <c r="K137" i="470"/>
  <c r="J68" i="470"/>
  <c r="R82" i="284"/>
  <c r="L78" i="280"/>
  <c r="V81" i="283"/>
  <c r="U83" i="281"/>
  <c r="S83" i="281"/>
  <c r="J123" i="284"/>
  <c r="L93" i="278"/>
  <c r="P8" i="470"/>
  <c r="R92" i="275"/>
  <c r="O82" i="275"/>
  <c r="N109" i="284"/>
  <c r="V84" i="282"/>
  <c r="O80" i="281"/>
  <c r="L86" i="470"/>
  <c r="M40" i="194"/>
  <c r="K121" i="194"/>
  <c r="J77" i="281"/>
  <c r="N128" i="470"/>
  <c r="J95" i="283"/>
  <c r="M41" i="470"/>
  <c r="U55" i="278"/>
  <c r="S74" i="470"/>
  <c r="S133" i="194"/>
  <c r="N44" i="470"/>
  <c r="J118" i="470"/>
  <c r="P78" i="275"/>
  <c r="U29" i="470"/>
  <c r="L96" i="280"/>
  <c r="T59" i="470"/>
  <c r="P69" i="470"/>
  <c r="M60" i="284"/>
  <c r="R43" i="470"/>
  <c r="S32" i="470"/>
  <c r="V28" i="470"/>
  <c r="T111" i="470"/>
  <c r="L80" i="470"/>
  <c r="K93" i="282"/>
  <c r="U37" i="194"/>
  <c r="M81" i="278"/>
  <c r="S90" i="275"/>
  <c r="M84" i="282"/>
  <c r="U97" i="280"/>
  <c r="P22" i="194"/>
  <c r="M91" i="194"/>
  <c r="T127" i="284"/>
  <c r="L22" i="194"/>
  <c r="V95" i="283"/>
  <c r="W49" i="194"/>
  <c r="T22" i="282"/>
  <c r="N92" i="279"/>
  <c r="N97" i="278"/>
  <c r="N93" i="275"/>
  <c r="T14" i="470"/>
  <c r="K96" i="279"/>
  <c r="V80" i="280"/>
  <c r="V93" i="282"/>
  <c r="P97" i="282"/>
  <c r="T74" i="470"/>
  <c r="X95" i="470"/>
  <c r="T127" i="470"/>
  <c r="O30" i="194"/>
  <c r="L78" i="194"/>
  <c r="U86" i="279"/>
  <c r="W88" i="279"/>
  <c r="V92" i="275"/>
  <c r="J99" i="284"/>
  <c r="U116" i="194"/>
  <c r="S29" i="194"/>
  <c r="T84" i="282"/>
  <c r="X86" i="280"/>
  <c r="M95" i="470"/>
  <c r="O97" i="280"/>
  <c r="U88" i="280"/>
  <c r="X92" i="194"/>
  <c r="N127" i="470"/>
  <c r="O76" i="275"/>
  <c r="N15" i="283"/>
  <c r="O83" i="284"/>
  <c r="U85" i="283"/>
  <c r="W85" i="275"/>
  <c r="T93" i="284"/>
  <c r="X77" i="282"/>
  <c r="K44" i="283"/>
  <c r="N94" i="284"/>
  <c r="J111" i="281"/>
  <c r="T51" i="283"/>
  <c r="T69" i="194"/>
  <c r="K68" i="470"/>
  <c r="L82" i="194"/>
  <c r="V89" i="278"/>
  <c r="S94" i="281"/>
  <c r="T70" i="470"/>
  <c r="O11" i="282"/>
  <c r="N3" i="285"/>
  <c r="U82" i="282"/>
  <c r="T87" i="279"/>
  <c r="O23" i="194"/>
  <c r="V52" i="470"/>
  <c r="K33" i="194"/>
  <c r="V94" i="275"/>
  <c r="K37" i="194"/>
  <c r="R87" i="194"/>
  <c r="O121" i="279"/>
  <c r="L49" i="282"/>
  <c r="O76" i="279"/>
  <c r="M32" i="280"/>
  <c r="T91" i="275"/>
  <c r="T49" i="470"/>
  <c r="V93" i="279"/>
  <c r="M50" i="194"/>
  <c r="J134" i="194"/>
  <c r="L92" i="278"/>
  <c r="N84" i="284"/>
  <c r="O5" i="284"/>
  <c r="P49" i="194"/>
  <c r="V82" i="284"/>
  <c r="U33" i="470"/>
  <c r="X85" i="470"/>
  <c r="T20" i="470"/>
  <c r="U42" i="194"/>
  <c r="N78" i="275"/>
  <c r="S78" i="279"/>
  <c r="X89" i="275"/>
  <c r="X138" i="194"/>
  <c r="P92" i="194"/>
  <c r="K76" i="283"/>
  <c r="P55" i="284"/>
  <c r="M14" i="283"/>
  <c r="P93" i="194"/>
  <c r="T53" i="194"/>
  <c r="M41" i="280"/>
  <c r="T43" i="194"/>
  <c r="P86" i="280"/>
  <c r="X137" i="194"/>
  <c r="W97" i="283"/>
  <c r="M56" i="281"/>
  <c r="J86" i="279"/>
  <c r="S44" i="283"/>
  <c r="J87" i="281"/>
  <c r="S104" i="194"/>
  <c r="U82" i="284"/>
  <c r="N86" i="283"/>
  <c r="J40" i="284"/>
  <c r="S88" i="280"/>
  <c r="K102" i="284"/>
  <c r="U127" i="283"/>
  <c r="O79" i="275"/>
  <c r="K99" i="470"/>
  <c r="V55" i="470"/>
  <c r="R30" i="470"/>
  <c r="V83" i="283"/>
  <c r="V95" i="470"/>
  <c r="J78" i="275"/>
  <c r="X72" i="470"/>
  <c r="R5" i="194"/>
  <c r="T26" i="470"/>
  <c r="N129" i="470"/>
  <c r="O91" i="470"/>
  <c r="T35" i="470"/>
  <c r="W108" i="282"/>
  <c r="U24" i="194"/>
  <c r="M137" i="470"/>
  <c r="K17" i="470"/>
  <c r="J18" i="194"/>
  <c r="M98" i="470"/>
  <c r="S35" i="470"/>
  <c r="M36" i="194"/>
  <c r="X82" i="284"/>
  <c r="S101" i="284"/>
  <c r="N76" i="283"/>
  <c r="L92" i="284"/>
  <c r="T113" i="284"/>
  <c r="S91" i="284"/>
  <c r="L81" i="275"/>
  <c r="W131" i="194"/>
  <c r="V88" i="282"/>
  <c r="K95" i="279"/>
  <c r="S123" i="194"/>
  <c r="J68" i="282"/>
  <c r="X43" i="470"/>
  <c r="P55" i="280"/>
  <c r="S91" i="275"/>
  <c r="M113" i="283"/>
  <c r="X85" i="283"/>
  <c r="W43" i="194"/>
  <c r="J116" i="194"/>
  <c r="P33" i="194"/>
  <c r="T25" i="470"/>
  <c r="M91" i="284"/>
  <c r="R70" i="194"/>
  <c r="N138" i="283"/>
  <c r="S86" i="280"/>
  <c r="R126" i="470"/>
  <c r="W118" i="194"/>
  <c r="T54" i="468"/>
  <c r="N37" i="470"/>
  <c r="V35" i="194"/>
  <c r="V65" i="470"/>
  <c r="L54" i="282"/>
  <c r="R97" i="283"/>
  <c r="T107" i="275"/>
  <c r="L111" i="194"/>
  <c r="U85" i="282"/>
  <c r="W86" i="275"/>
  <c r="P49" i="470"/>
  <c r="M71" i="284"/>
  <c r="X117" i="284"/>
  <c r="M107" i="194"/>
  <c r="O86" i="280"/>
  <c r="J55" i="280"/>
  <c r="V88" i="194"/>
  <c r="U39" i="283"/>
  <c r="T88" i="281"/>
  <c r="V83" i="278"/>
  <c r="S55" i="470"/>
  <c r="M62" i="470"/>
  <c r="W52" i="194"/>
  <c r="L96" i="283"/>
  <c r="U79" i="279"/>
  <c r="U100" i="194"/>
  <c r="P96" i="283"/>
  <c r="J78" i="283"/>
  <c r="O81" i="282"/>
  <c r="V4" i="194"/>
  <c r="S35" i="284"/>
  <c r="V78" i="194"/>
  <c r="R96" i="284"/>
  <c r="S67" i="194"/>
  <c r="S72" i="194"/>
  <c r="P8" i="283"/>
  <c r="S108" i="194"/>
  <c r="M124" i="194"/>
  <c r="W135" i="283"/>
  <c r="S56" i="194"/>
  <c r="W119" i="279"/>
  <c r="K35" i="470"/>
  <c r="X79" i="279"/>
  <c r="S24" i="194"/>
  <c r="P125" i="194"/>
  <c r="O99" i="194"/>
  <c r="R88" i="281"/>
  <c r="L90" i="283"/>
  <c r="V36" i="194"/>
  <c r="X90" i="282"/>
  <c r="M94" i="275"/>
  <c r="J79" i="280"/>
  <c r="N87" i="279"/>
  <c r="K91" i="275"/>
  <c r="M77" i="284"/>
  <c r="V99" i="194"/>
  <c r="T83" i="283"/>
  <c r="X56" i="194"/>
  <c r="O93" i="278"/>
  <c r="U131" i="470"/>
  <c r="T87" i="194"/>
  <c r="M12" i="284"/>
  <c r="J57" i="194"/>
  <c r="U95" i="283"/>
  <c r="W89" i="279"/>
  <c r="T40" i="194"/>
  <c r="S62" i="194"/>
  <c r="W104" i="194"/>
  <c r="W127" i="194"/>
  <c r="O126" i="194"/>
  <c r="N26" i="282"/>
  <c r="K136" i="278"/>
  <c r="K50" i="470"/>
  <c r="J92" i="281"/>
  <c r="T120" i="194"/>
  <c r="U45" i="283"/>
  <c r="J91" i="279"/>
  <c r="L63" i="284"/>
  <c r="N77" i="283"/>
  <c r="U128" i="280"/>
  <c r="U110" i="194"/>
  <c r="L121" i="470"/>
  <c r="J115" i="470"/>
  <c r="V9" i="470"/>
  <c r="M85" i="470"/>
  <c r="S9" i="470"/>
  <c r="O94" i="282"/>
  <c r="O90" i="281"/>
  <c r="T101" i="470"/>
  <c r="S80" i="282"/>
  <c r="W130" i="470"/>
  <c r="R95" i="275"/>
  <c r="L90" i="281"/>
  <c r="R133" i="470"/>
  <c r="R25" i="279"/>
  <c r="K9" i="470"/>
  <c r="J46" i="470"/>
  <c r="O89" i="284"/>
  <c r="X102" i="470"/>
  <c r="J137" i="194"/>
  <c r="S86" i="282"/>
  <c r="M93" i="194"/>
  <c r="M129" i="194"/>
  <c r="J89" i="281"/>
  <c r="S89" i="282"/>
  <c r="P67" i="194"/>
  <c r="R96" i="283"/>
  <c r="R114" i="470"/>
  <c r="K113" i="194"/>
  <c r="S113" i="470"/>
  <c r="V97" i="280"/>
  <c r="S57" i="281"/>
  <c r="T62" i="194"/>
  <c r="M83" i="284"/>
  <c r="V88" i="275"/>
  <c r="K135" i="194"/>
  <c r="K110" i="194"/>
  <c r="X57" i="284"/>
  <c r="R80" i="280"/>
  <c r="N7" i="194"/>
  <c r="L86" i="284"/>
  <c r="O113" i="194"/>
  <c r="T26" i="282"/>
  <c r="V104" i="194"/>
  <c r="P92" i="278"/>
  <c r="J58" i="194"/>
  <c r="X83" i="282"/>
  <c r="T102" i="194"/>
  <c r="T122" i="284"/>
  <c r="L79" i="470"/>
  <c r="O70" i="279"/>
  <c r="L53" i="470"/>
  <c r="U94" i="281"/>
  <c r="J89" i="280"/>
  <c r="V74" i="281"/>
  <c r="M72" i="283"/>
  <c r="X77" i="284"/>
  <c r="R92" i="284"/>
  <c r="T83" i="280"/>
  <c r="V33" i="284"/>
  <c r="J86" i="278"/>
  <c r="N9" i="194"/>
  <c r="X78" i="278"/>
  <c r="W60" i="194"/>
  <c r="S40" i="470"/>
  <c r="M138" i="283"/>
  <c r="O77" i="194"/>
  <c r="R10" i="284"/>
  <c r="W69" i="470"/>
  <c r="M65" i="194"/>
  <c r="M94" i="283"/>
  <c r="L120" i="470"/>
  <c r="R122" i="470"/>
  <c r="J84" i="194"/>
  <c r="U83" i="279"/>
  <c r="N76" i="278"/>
  <c r="R122" i="283"/>
  <c r="S61" i="194"/>
  <c r="M134" i="194"/>
  <c r="U14" i="470"/>
  <c r="S55" i="275"/>
  <c r="J133" i="194"/>
  <c r="S116" i="194"/>
  <c r="N47" i="194"/>
  <c r="O87" i="278"/>
  <c r="V89" i="470"/>
  <c r="V86" i="284"/>
  <c r="U83" i="280"/>
  <c r="X120" i="284"/>
  <c r="O136" i="470"/>
  <c r="X95" i="194"/>
  <c r="K78" i="282"/>
  <c r="J104" i="470"/>
  <c r="T89" i="279"/>
  <c r="K87" i="284"/>
  <c r="S96" i="279"/>
  <c r="N54" i="284"/>
  <c r="R40" i="194"/>
  <c r="L95" i="281"/>
  <c r="P131" i="194"/>
  <c r="S79" i="279"/>
  <c r="W75" i="281"/>
  <c r="X92" i="283"/>
  <c r="N84" i="280"/>
  <c r="V56" i="275"/>
  <c r="M80" i="282"/>
  <c r="V89" i="280"/>
  <c r="R92" i="283"/>
  <c r="K67" i="284"/>
  <c r="U77" i="281"/>
  <c r="O94" i="283"/>
  <c r="W73" i="194"/>
  <c r="T6" i="284"/>
  <c r="K92" i="279"/>
  <c r="V97" i="275"/>
  <c r="L5" i="281"/>
  <c r="N95" i="194"/>
  <c r="L129" i="194"/>
  <c r="S77" i="280"/>
  <c r="L118" i="194"/>
  <c r="L99" i="194"/>
  <c r="V81" i="194"/>
  <c r="N11" i="282"/>
  <c r="M62" i="194"/>
  <c r="M81" i="275"/>
  <c r="K37" i="278"/>
  <c r="M87" i="284"/>
  <c r="O82" i="283"/>
  <c r="W80" i="282"/>
  <c r="U120" i="470"/>
  <c r="W128" i="470"/>
  <c r="W64" i="470"/>
  <c r="O84" i="283"/>
  <c r="M42" i="470"/>
  <c r="T21" i="470"/>
  <c r="W90" i="283"/>
  <c r="L36" i="282"/>
  <c r="X11" i="194"/>
  <c r="N120" i="470"/>
  <c r="J112" i="283"/>
  <c r="M13" i="468"/>
  <c r="M73" i="470"/>
  <c r="K131" i="470"/>
  <c r="M87" i="283"/>
  <c r="W96" i="282"/>
  <c r="U73" i="470"/>
  <c r="V90" i="284"/>
  <c r="P72" i="470"/>
  <c r="V76" i="470"/>
  <c r="L16" i="194"/>
  <c r="X126" i="284"/>
  <c r="P81" i="280"/>
  <c r="S3" i="284"/>
  <c r="S137" i="470"/>
  <c r="P79" i="279"/>
  <c r="R141" i="470"/>
  <c r="L96" i="282"/>
  <c r="V15" i="470"/>
  <c r="K23" i="194"/>
  <c r="S86" i="194"/>
  <c r="X139" i="194"/>
  <c r="T109" i="278"/>
  <c r="V80" i="275"/>
  <c r="M110" i="281"/>
  <c r="V77" i="470"/>
  <c r="X14" i="194"/>
  <c r="L93" i="194"/>
  <c r="P47" i="470"/>
  <c r="N12" i="470"/>
  <c r="V53" i="194"/>
  <c r="R103" i="283"/>
  <c r="J82" i="278"/>
  <c r="R81" i="278"/>
  <c r="O87" i="194"/>
  <c r="T94" i="284"/>
  <c r="S135" i="194"/>
  <c r="X19" i="194"/>
  <c r="M86" i="275"/>
  <c r="L26" i="194"/>
  <c r="M25" i="194"/>
  <c r="K84" i="278"/>
  <c r="J91" i="280"/>
  <c r="R56" i="283"/>
  <c r="K45" i="194"/>
  <c r="J91" i="281"/>
  <c r="P91" i="284"/>
  <c r="S98" i="470"/>
  <c r="J111" i="284"/>
  <c r="O63" i="281"/>
  <c r="R11" i="194"/>
  <c r="T63" i="194"/>
  <c r="R86" i="279"/>
  <c r="S89" i="470"/>
  <c r="V14" i="194"/>
  <c r="L30" i="278"/>
  <c r="N20" i="194"/>
  <c r="O123" i="470"/>
  <c r="S91" i="470"/>
  <c r="P128" i="470"/>
  <c r="W101" i="470"/>
  <c r="S97" i="284"/>
  <c r="N78" i="279"/>
  <c r="N77" i="284"/>
  <c r="O80" i="194"/>
  <c r="X94" i="278"/>
  <c r="L104" i="194"/>
  <c r="K34" i="284"/>
  <c r="U103" i="470"/>
  <c r="X91" i="278"/>
  <c r="V37" i="194"/>
  <c r="S40" i="194"/>
  <c r="M29" i="283"/>
  <c r="O78" i="280"/>
  <c r="P114" i="470"/>
  <c r="R137" i="194"/>
  <c r="U67" i="283"/>
  <c r="X84" i="281"/>
  <c r="U112" i="470"/>
  <c r="N56" i="275"/>
  <c r="K77" i="279"/>
  <c r="K88" i="470"/>
  <c r="K114" i="194"/>
  <c r="X87" i="281"/>
  <c r="N78" i="282"/>
  <c r="X82" i="279"/>
  <c r="R94" i="281"/>
  <c r="P137" i="284"/>
  <c r="S17" i="194"/>
  <c r="P120" i="284"/>
  <c r="T88" i="278"/>
  <c r="X118" i="281"/>
  <c r="W100" i="194"/>
  <c r="K117" i="283"/>
  <c r="V23" i="194"/>
  <c r="T13" i="194"/>
  <c r="V109" i="194"/>
  <c r="K76" i="279"/>
  <c r="L96" i="275"/>
  <c r="V49" i="194"/>
  <c r="M116" i="194"/>
  <c r="W132" i="283"/>
  <c r="O134" i="194"/>
  <c r="T49" i="194"/>
  <c r="W73" i="283"/>
  <c r="O128" i="194"/>
  <c r="T55" i="280"/>
  <c r="N93" i="279"/>
  <c r="N110" i="284"/>
  <c r="S114" i="470"/>
  <c r="V92" i="278"/>
  <c r="V62" i="284"/>
  <c r="O96" i="275"/>
  <c r="U63" i="279"/>
  <c r="V24" i="194"/>
  <c r="K79" i="194"/>
  <c r="K80" i="278"/>
  <c r="N93" i="284"/>
  <c r="S64" i="470"/>
  <c r="O14" i="470"/>
  <c r="K71" i="470"/>
  <c r="X49" i="470"/>
  <c r="L91" i="279"/>
  <c r="X83" i="278"/>
  <c r="J100" i="470"/>
  <c r="P116" i="284"/>
  <c r="J105" i="194"/>
  <c r="X25" i="470"/>
  <c r="M72" i="470"/>
  <c r="X87" i="470"/>
  <c r="S102" i="470"/>
  <c r="T85" i="470"/>
  <c r="W114" i="470"/>
  <c r="P87" i="282"/>
  <c r="S118" i="194"/>
  <c r="K109" i="470"/>
  <c r="R129" i="194"/>
  <c r="V83" i="470"/>
  <c r="L89" i="280"/>
  <c r="S38" i="194"/>
  <c r="W101" i="194"/>
  <c r="R92" i="281"/>
  <c r="N35" i="470"/>
  <c r="J93" i="281"/>
  <c r="T88" i="279"/>
  <c r="W36" i="283"/>
  <c r="T76" i="279"/>
  <c r="K25" i="194"/>
  <c r="P115" i="470"/>
  <c r="T5" i="194"/>
  <c r="N97" i="283"/>
  <c r="N87" i="278"/>
  <c r="S93" i="283"/>
  <c r="O67" i="194"/>
  <c r="V118" i="284"/>
  <c r="L89" i="275"/>
  <c r="V62" i="470"/>
  <c r="R8" i="194"/>
  <c r="J86" i="283"/>
  <c r="M86" i="280"/>
  <c r="K92" i="280"/>
  <c r="P92" i="283"/>
  <c r="R65" i="284"/>
  <c r="T86" i="275"/>
  <c r="X74" i="280"/>
  <c r="N78" i="284"/>
  <c r="S89" i="279"/>
  <c r="O79" i="283"/>
  <c r="R81" i="280"/>
  <c r="X9" i="284"/>
  <c r="S84" i="279"/>
  <c r="N62" i="281"/>
  <c r="O35" i="194"/>
  <c r="X88" i="281"/>
  <c r="V6" i="194"/>
  <c r="M132" i="470"/>
  <c r="K86" i="281"/>
  <c r="W89" i="280"/>
  <c r="X99" i="194"/>
  <c r="M84" i="278"/>
  <c r="R21" i="470"/>
  <c r="T79" i="283"/>
  <c r="V45" i="194"/>
  <c r="S106" i="280"/>
  <c r="W86" i="283"/>
  <c r="W30" i="470"/>
  <c r="X89" i="284"/>
  <c r="M61" i="470"/>
  <c r="T85" i="284"/>
  <c r="S136" i="194"/>
  <c r="W93" i="278"/>
  <c r="S32" i="194"/>
  <c r="O88" i="280"/>
  <c r="P91" i="281"/>
  <c r="S89" i="275"/>
  <c r="U36" i="280"/>
  <c r="V35" i="470"/>
  <c r="R91" i="281"/>
  <c r="J54" i="468"/>
  <c r="N91" i="282"/>
  <c r="O89" i="283"/>
  <c r="P83" i="279"/>
  <c r="P77" i="280"/>
  <c r="V106" i="281"/>
  <c r="L36" i="194"/>
  <c r="S16" i="194"/>
  <c r="W59" i="284"/>
  <c r="L66" i="194"/>
  <c r="L28" i="470"/>
  <c r="T86" i="284"/>
  <c r="S92" i="283"/>
  <c r="T33" i="194"/>
  <c r="L127" i="194"/>
  <c r="J107" i="470"/>
  <c r="J90" i="279"/>
  <c r="X115" i="283"/>
  <c r="V81" i="282"/>
  <c r="R84" i="278"/>
  <c r="J40" i="283"/>
  <c r="M47" i="194"/>
  <c r="U87" i="275"/>
  <c r="M41" i="283"/>
  <c r="T55" i="468"/>
  <c r="M88" i="194"/>
  <c r="X95" i="284"/>
  <c r="V3" i="283"/>
  <c r="J24" i="284"/>
  <c r="V86" i="282"/>
  <c r="U98" i="283"/>
  <c r="N29" i="281"/>
  <c r="O55" i="194"/>
  <c r="O10" i="281"/>
  <c r="N95" i="278"/>
  <c r="M76" i="284"/>
  <c r="R127" i="283"/>
  <c r="T90" i="194"/>
  <c r="O95" i="281"/>
  <c r="N132" i="280"/>
  <c r="J13" i="283"/>
  <c r="U133" i="283"/>
  <c r="X78" i="194"/>
  <c r="S85" i="278"/>
  <c r="M78" i="282"/>
  <c r="N123" i="282"/>
  <c r="S118" i="281"/>
  <c r="R34" i="470"/>
  <c r="J102" i="470"/>
  <c r="P92" i="470"/>
  <c r="U101" i="470"/>
  <c r="T104" i="194"/>
  <c r="W51" i="470"/>
  <c r="U136" i="470"/>
  <c r="T92" i="280"/>
  <c r="W18" i="470"/>
  <c r="S109" i="194"/>
  <c r="T94" i="275"/>
  <c r="P7" i="470"/>
  <c r="P101" i="470"/>
  <c r="M31" i="470"/>
  <c r="U87" i="282"/>
  <c r="V79" i="284"/>
  <c r="P62" i="470"/>
  <c r="X56" i="279"/>
  <c r="V15" i="283"/>
  <c r="V84" i="275"/>
  <c r="L24" i="194"/>
  <c r="V29" i="470"/>
  <c r="K76" i="282"/>
  <c r="U94" i="194"/>
  <c r="L90" i="470"/>
  <c r="V78" i="281"/>
  <c r="W96" i="281"/>
  <c r="N87" i="194"/>
  <c r="U11" i="470"/>
  <c r="R88" i="282"/>
  <c r="W125" i="275"/>
  <c r="O101" i="284"/>
  <c r="J90" i="194"/>
  <c r="P121" i="194"/>
  <c r="T17" i="470"/>
  <c r="P51" i="194"/>
  <c r="L75" i="284"/>
  <c r="X80" i="281"/>
  <c r="P17" i="194"/>
  <c r="L88" i="284"/>
  <c r="J120" i="194"/>
  <c r="N89" i="280"/>
  <c r="R85" i="282"/>
  <c r="V89" i="284"/>
  <c r="S74" i="194"/>
  <c r="T90" i="280"/>
  <c r="K63" i="194"/>
  <c r="T78" i="282"/>
  <c r="X6" i="194"/>
  <c r="O56" i="281"/>
  <c r="N126" i="194"/>
  <c r="W126" i="194"/>
  <c r="P38" i="194"/>
  <c r="J79" i="283"/>
  <c r="L110" i="470"/>
  <c r="W82" i="282"/>
  <c r="V103" i="470"/>
  <c r="M88" i="279"/>
  <c r="X135" i="284"/>
  <c r="T82" i="275"/>
  <c r="T66" i="194"/>
  <c r="L122" i="284"/>
  <c r="U85" i="275"/>
  <c r="R78" i="281"/>
  <c r="U136" i="281"/>
  <c r="L84" i="278"/>
  <c r="N80" i="283"/>
  <c r="N91" i="470"/>
  <c r="O96" i="283"/>
  <c r="S37" i="194"/>
  <c r="N136" i="280"/>
  <c r="V33" i="194"/>
  <c r="U80" i="283"/>
  <c r="W77" i="278"/>
  <c r="W132" i="284"/>
  <c r="X32" i="283"/>
  <c r="M34" i="194"/>
  <c r="O17" i="470"/>
  <c r="T118" i="470"/>
  <c r="U50" i="284"/>
  <c r="P127" i="194"/>
  <c r="J79" i="279"/>
  <c r="M68" i="470"/>
  <c r="S132" i="470"/>
  <c r="V92" i="283"/>
  <c r="R93" i="282"/>
  <c r="K85" i="275"/>
  <c r="V92" i="194"/>
  <c r="X112" i="470"/>
  <c r="K89" i="284"/>
  <c r="T79" i="275"/>
  <c r="T58" i="275"/>
  <c r="S19" i="194"/>
  <c r="U79" i="275"/>
  <c r="W18" i="194"/>
  <c r="N28" i="284"/>
  <c r="W77" i="281"/>
  <c r="N55" i="279"/>
  <c r="J79" i="278"/>
  <c r="R80" i="194"/>
  <c r="O117" i="194"/>
  <c r="O52" i="281"/>
  <c r="N95" i="282"/>
  <c r="O109" i="468"/>
  <c r="W4" i="194"/>
  <c r="N42" i="283"/>
  <c r="R132" i="194"/>
  <c r="O94" i="281"/>
  <c r="W32" i="284"/>
  <c r="R98" i="470"/>
  <c r="J87" i="194"/>
  <c r="K70" i="281"/>
  <c r="N84" i="278"/>
  <c r="S28" i="281"/>
  <c r="U61" i="194"/>
  <c r="N54" i="280"/>
  <c r="W13" i="283"/>
  <c r="L88" i="278"/>
  <c r="V77" i="281"/>
  <c r="R93" i="281"/>
  <c r="V56" i="194"/>
  <c r="T79" i="278"/>
  <c r="T79" i="194"/>
  <c r="R84" i="279"/>
  <c r="L72" i="283"/>
  <c r="T52" i="194"/>
  <c r="U77" i="279"/>
  <c r="W61" i="470"/>
  <c r="N130" i="470"/>
  <c r="K8" i="470"/>
  <c r="J131" i="470"/>
  <c r="N113" i="470"/>
  <c r="W94" i="194"/>
  <c r="O54" i="468"/>
  <c r="O90" i="470"/>
  <c r="L49" i="470"/>
  <c r="U34" i="194"/>
  <c r="X105" i="470"/>
  <c r="R54" i="470"/>
  <c r="R87" i="284"/>
  <c r="M9" i="282"/>
  <c r="M100" i="194"/>
  <c r="X126" i="470"/>
  <c r="S103" i="470"/>
  <c r="S90" i="279"/>
  <c r="T72" i="281"/>
  <c r="T68" i="470"/>
  <c r="P77" i="284"/>
  <c r="L137" i="470"/>
  <c r="N96" i="282"/>
  <c r="P101" i="284"/>
  <c r="P79" i="280"/>
  <c r="P101" i="194"/>
  <c r="N23" i="194"/>
  <c r="V117" i="194"/>
  <c r="M51" i="194"/>
  <c r="N83" i="280"/>
  <c r="T67" i="282"/>
  <c r="M77" i="281"/>
  <c r="X97" i="282"/>
  <c r="N99" i="194"/>
  <c r="T38" i="470"/>
  <c r="V86" i="194"/>
  <c r="W55" i="194"/>
  <c r="U92" i="279"/>
  <c r="S26" i="470"/>
  <c r="L85" i="281"/>
  <c r="P58" i="194"/>
  <c r="T129" i="283"/>
  <c r="S86" i="279"/>
  <c r="P21" i="470"/>
  <c r="U77" i="280"/>
  <c r="K88" i="280"/>
  <c r="M138" i="279"/>
  <c r="J28" i="194"/>
  <c r="J136" i="470"/>
  <c r="T89" i="194"/>
  <c r="X88" i="279"/>
  <c r="M68" i="194"/>
  <c r="R73" i="279"/>
  <c r="T55" i="279"/>
  <c r="S59" i="194"/>
  <c r="M40" i="284"/>
  <c r="X67" i="470"/>
  <c r="R117" i="470"/>
  <c r="X26" i="194"/>
  <c r="T42" i="284"/>
  <c r="M86" i="194"/>
  <c r="S125" i="284"/>
  <c r="U81" i="278"/>
  <c r="X48" i="468"/>
  <c r="P4" i="194"/>
  <c r="U96" i="280"/>
  <c r="P85" i="279"/>
  <c r="P89" i="282"/>
  <c r="T88" i="283"/>
  <c r="J81" i="281"/>
  <c r="R109" i="194"/>
  <c r="W77" i="280"/>
  <c r="T78" i="283"/>
  <c r="N89" i="275"/>
  <c r="R79" i="282"/>
  <c r="W125" i="281"/>
  <c r="J110" i="194"/>
  <c r="W23" i="470"/>
  <c r="S52" i="281"/>
  <c r="V90" i="283"/>
  <c r="P77" i="279"/>
  <c r="K138" i="470"/>
  <c r="R82" i="280"/>
  <c r="V97" i="283"/>
  <c r="N81" i="194"/>
  <c r="O95" i="284"/>
  <c r="W134" i="470"/>
  <c r="V87" i="280"/>
  <c r="V96" i="284"/>
  <c r="M117" i="470"/>
  <c r="T92" i="275"/>
  <c r="L37" i="283"/>
  <c r="T79" i="279"/>
  <c r="U90" i="278"/>
  <c r="U132" i="194"/>
  <c r="V126" i="194"/>
  <c r="N18" i="194"/>
  <c r="W89" i="278"/>
  <c r="K55" i="194"/>
  <c r="O77" i="280"/>
  <c r="K140" i="284"/>
  <c r="J136" i="194"/>
  <c r="T82" i="284"/>
  <c r="V118" i="279"/>
  <c r="R76" i="283"/>
  <c r="W89" i="283"/>
  <c r="J99" i="283"/>
  <c r="O29" i="283"/>
  <c r="X25" i="283"/>
  <c r="V56" i="284"/>
  <c r="P46" i="194"/>
  <c r="S87" i="283"/>
  <c r="L52" i="281"/>
  <c r="L80" i="281"/>
  <c r="K109" i="284"/>
  <c r="S82" i="194"/>
  <c r="T14" i="282"/>
  <c r="L113" i="194"/>
  <c r="J66" i="283"/>
  <c r="X63" i="470"/>
  <c r="V32" i="470"/>
  <c r="V126" i="470"/>
  <c r="K21" i="470"/>
  <c r="R93" i="275"/>
  <c r="R62" i="194"/>
  <c r="S70" i="470"/>
  <c r="S44" i="470"/>
  <c r="R74" i="470"/>
  <c r="X93" i="282"/>
  <c r="R64" i="470"/>
  <c r="R15" i="470"/>
  <c r="P127" i="470"/>
  <c r="U94" i="282"/>
  <c r="U111" i="194"/>
  <c r="V87" i="470"/>
  <c r="X83" i="470"/>
  <c r="K83" i="470"/>
  <c r="S85" i="283"/>
  <c r="M83" i="275"/>
  <c r="L83" i="283"/>
  <c r="M88" i="278"/>
  <c r="U54" i="468"/>
  <c r="O120" i="194"/>
  <c r="L77" i="275"/>
  <c r="P91" i="278"/>
  <c r="R89" i="282"/>
  <c r="L23" i="194"/>
  <c r="L17" i="194"/>
  <c r="P97" i="279"/>
  <c r="O96" i="278"/>
  <c r="O54" i="194"/>
  <c r="S53" i="194"/>
  <c r="X70" i="284"/>
  <c r="S17" i="284"/>
  <c r="J55" i="468"/>
  <c r="M91" i="283"/>
  <c r="V125" i="470"/>
  <c r="M89" i="284"/>
  <c r="T78" i="194"/>
  <c r="M84" i="279"/>
  <c r="N34" i="194"/>
  <c r="K32" i="470"/>
  <c r="M140" i="470"/>
  <c r="V81" i="284"/>
  <c r="N79" i="282"/>
  <c r="U98" i="194"/>
  <c r="K14" i="470"/>
  <c r="M90" i="283"/>
  <c r="X81" i="278"/>
  <c r="O86" i="281"/>
  <c r="K93" i="278"/>
  <c r="W24" i="284"/>
  <c r="P83" i="278"/>
  <c r="X95" i="282"/>
  <c r="K82" i="279"/>
  <c r="O81" i="470"/>
  <c r="U5" i="470"/>
  <c r="P93" i="275"/>
  <c r="K121" i="280"/>
  <c r="W21" i="470"/>
  <c r="U46" i="194"/>
  <c r="U18" i="194"/>
  <c r="R79" i="283"/>
  <c r="P110" i="194"/>
  <c r="R52" i="194"/>
  <c r="W98" i="283"/>
  <c r="L29" i="470"/>
  <c r="U84" i="282"/>
  <c r="N82" i="281"/>
  <c r="T19" i="194"/>
  <c r="M78" i="280"/>
  <c r="S31" i="282"/>
  <c r="K116" i="194"/>
  <c r="R16" i="281"/>
  <c r="P76" i="279"/>
  <c r="U43" i="283"/>
  <c r="L112" i="470"/>
  <c r="K82" i="470"/>
  <c r="P95" i="283"/>
  <c r="L60" i="283"/>
  <c r="J138" i="194"/>
  <c r="R110" i="194"/>
  <c r="P86" i="275"/>
  <c r="P63" i="194"/>
  <c r="W90" i="278"/>
  <c r="X97" i="280"/>
  <c r="X97" i="283"/>
  <c r="W79" i="279"/>
  <c r="K81" i="194"/>
  <c r="K77" i="194"/>
  <c r="K91" i="283"/>
  <c r="W106" i="284"/>
  <c r="V86" i="280"/>
  <c r="X13" i="284"/>
  <c r="K77" i="281"/>
  <c r="W89" i="194"/>
  <c r="L93" i="280"/>
  <c r="U76" i="278"/>
  <c r="X10" i="280"/>
  <c r="O114" i="283"/>
  <c r="X18" i="194"/>
  <c r="L102" i="284"/>
  <c r="M105" i="279"/>
  <c r="U86" i="281"/>
  <c r="M39" i="284"/>
  <c r="W25" i="280"/>
  <c r="M79" i="282"/>
  <c r="X41" i="281"/>
  <c r="L87" i="284"/>
  <c r="O84" i="279"/>
  <c r="X85" i="280"/>
  <c r="N85" i="275"/>
  <c r="P62" i="194"/>
  <c r="U37" i="283"/>
  <c r="W50" i="283"/>
  <c r="J41" i="282"/>
  <c r="M65" i="283"/>
  <c r="M89" i="280"/>
  <c r="K96" i="281"/>
  <c r="O88" i="281"/>
  <c r="R134" i="194"/>
  <c r="K87" i="280"/>
  <c r="L126" i="279"/>
  <c r="M9" i="283"/>
  <c r="W76" i="194"/>
  <c r="O77" i="279"/>
  <c r="N88" i="283"/>
  <c r="S34" i="470"/>
  <c r="X83" i="283"/>
  <c r="S17" i="470"/>
  <c r="J12" i="470"/>
  <c r="X24" i="284"/>
  <c r="N80" i="278"/>
  <c r="K47" i="194"/>
  <c r="J82" i="283"/>
  <c r="P71" i="470"/>
  <c r="X85" i="275"/>
  <c r="T58" i="470"/>
  <c r="N36" i="282"/>
  <c r="W5" i="194"/>
  <c r="L85" i="283"/>
  <c r="W90" i="280"/>
  <c r="W71" i="194"/>
  <c r="V29" i="194"/>
  <c r="R31" i="470"/>
  <c r="J16" i="282"/>
  <c r="T82" i="283"/>
  <c r="U85" i="280"/>
  <c r="L93" i="470"/>
  <c r="J82" i="281"/>
  <c r="W93" i="283"/>
  <c r="R36" i="283"/>
  <c r="L94" i="284"/>
  <c r="J81" i="279"/>
  <c r="T52" i="281"/>
  <c r="V63" i="284"/>
  <c r="X124" i="284"/>
  <c r="N87" i="280"/>
  <c r="K84" i="275"/>
  <c r="T8" i="282"/>
  <c r="W98" i="281"/>
  <c r="U90" i="280"/>
  <c r="T132" i="194"/>
  <c r="W62" i="470"/>
  <c r="S96" i="280"/>
  <c r="O114" i="194"/>
  <c r="W80" i="278"/>
  <c r="J60" i="194"/>
  <c r="S72" i="470"/>
  <c r="J57" i="281"/>
  <c r="R95" i="284"/>
  <c r="V13" i="281"/>
  <c r="T95" i="282"/>
  <c r="U123" i="470"/>
  <c r="W84" i="275"/>
  <c r="T77" i="280"/>
  <c r="X86" i="284"/>
  <c r="J104" i="284"/>
  <c r="U72" i="470"/>
  <c r="V131" i="194"/>
  <c r="S88" i="281"/>
  <c r="X59" i="283"/>
  <c r="U126" i="470"/>
  <c r="N14" i="470"/>
  <c r="R80" i="281"/>
  <c r="N31" i="194"/>
  <c r="W50" i="470"/>
  <c r="N114" i="284"/>
  <c r="X55" i="278"/>
  <c r="L128" i="283"/>
  <c r="T80" i="284"/>
  <c r="V94" i="279"/>
  <c r="P84" i="281"/>
  <c r="M96" i="280"/>
  <c r="R93" i="284"/>
  <c r="O80" i="284"/>
  <c r="N87" i="284"/>
  <c r="R78" i="282"/>
  <c r="K91" i="279"/>
  <c r="N10" i="470"/>
  <c r="O92" i="284"/>
  <c r="X8" i="194"/>
  <c r="R102" i="194"/>
  <c r="M10" i="194"/>
  <c r="R73" i="470"/>
  <c r="S96" i="282"/>
  <c r="X80" i="470"/>
  <c r="N122" i="282"/>
  <c r="S93" i="275"/>
  <c r="W27" i="194"/>
  <c r="L21" i="194"/>
  <c r="N83" i="281"/>
  <c r="J22" i="194"/>
  <c r="U101" i="194"/>
  <c r="L120" i="194"/>
  <c r="L65" i="470"/>
  <c r="M82" i="281"/>
  <c r="M95" i="282"/>
  <c r="M96" i="279"/>
  <c r="T87" i="283"/>
  <c r="W91" i="283"/>
  <c r="X33" i="194"/>
  <c r="N3" i="278"/>
  <c r="T118" i="283"/>
  <c r="W19" i="194"/>
  <c r="N62" i="194"/>
  <c r="J88" i="281"/>
  <c r="N126" i="283"/>
  <c r="P94" i="283"/>
  <c r="R91" i="470"/>
  <c r="X61" i="279"/>
  <c r="K57" i="283"/>
  <c r="L82" i="278"/>
  <c r="R108" i="284"/>
  <c r="V132" i="470"/>
  <c r="L12" i="284"/>
  <c r="V95" i="278"/>
  <c r="L138" i="470"/>
  <c r="U96" i="282"/>
  <c r="O120" i="470"/>
  <c r="K69" i="470"/>
  <c r="U57" i="281"/>
  <c r="O92" i="194"/>
  <c r="W87" i="194"/>
  <c r="U95" i="278"/>
  <c r="P89" i="281"/>
  <c r="S58" i="470"/>
  <c r="T86" i="282"/>
  <c r="N82" i="284"/>
  <c r="M70" i="470"/>
  <c r="M141" i="470"/>
  <c r="P13" i="470"/>
  <c r="U61" i="470"/>
  <c r="M44" i="470"/>
  <c r="X65" i="194"/>
  <c r="O106" i="470"/>
  <c r="V61" i="470"/>
  <c r="K55" i="470"/>
  <c r="N125" i="284"/>
  <c r="U48" i="194"/>
  <c r="T96" i="278"/>
  <c r="T96" i="282"/>
  <c r="K42" i="284"/>
  <c r="P96" i="194"/>
  <c r="O81" i="280"/>
  <c r="S43" i="194"/>
  <c r="V10" i="194"/>
  <c r="O20" i="194"/>
  <c r="X87" i="282"/>
  <c r="M76" i="281"/>
  <c r="O86" i="282"/>
  <c r="L127" i="279"/>
  <c r="W94" i="283"/>
  <c r="T99" i="281"/>
  <c r="L29" i="194"/>
  <c r="K38" i="282"/>
  <c r="K15" i="470"/>
  <c r="W73" i="470"/>
  <c r="X74" i="194"/>
  <c r="S45" i="284"/>
  <c r="M84" i="470"/>
  <c r="N131" i="284"/>
  <c r="R12" i="194"/>
  <c r="J46" i="194"/>
  <c r="R47" i="194"/>
  <c r="U53" i="194"/>
  <c r="O7" i="470"/>
  <c r="T108" i="470"/>
  <c r="U95" i="275"/>
  <c r="S76" i="280"/>
  <c r="U78" i="283"/>
  <c r="W87" i="279"/>
  <c r="K92" i="282"/>
  <c r="V91" i="275"/>
  <c r="P114" i="283"/>
  <c r="K136" i="470"/>
  <c r="V135" i="470"/>
  <c r="O21" i="194"/>
  <c r="W47" i="470"/>
  <c r="W88" i="281"/>
  <c r="O95" i="275"/>
  <c r="M89" i="275"/>
  <c r="W100" i="470"/>
  <c r="M58" i="283"/>
  <c r="M96" i="282"/>
  <c r="R104" i="194"/>
  <c r="K26" i="470"/>
  <c r="O88" i="279"/>
  <c r="W45" i="284"/>
  <c r="X84" i="279"/>
  <c r="S121" i="280"/>
  <c r="M95" i="284"/>
  <c r="L88" i="275"/>
  <c r="M112" i="194"/>
  <c r="V87" i="284"/>
  <c r="M87" i="280"/>
  <c r="O37" i="470"/>
  <c r="N125" i="470"/>
  <c r="R140" i="470"/>
  <c r="K51" i="194"/>
  <c r="V84" i="280"/>
  <c r="O80" i="278"/>
  <c r="T91" i="283"/>
  <c r="U18" i="470"/>
  <c r="S124" i="194"/>
  <c r="P90" i="284"/>
  <c r="O92" i="278"/>
  <c r="X46" i="194"/>
  <c r="X129" i="194"/>
  <c r="K82" i="275"/>
  <c r="S95" i="194"/>
  <c r="N96" i="280"/>
  <c r="P58" i="470"/>
  <c r="V108" i="470"/>
  <c r="T78" i="281"/>
  <c r="V54" i="194"/>
  <c r="X126" i="283"/>
  <c r="K97" i="281"/>
  <c r="W95" i="281"/>
  <c r="X92" i="280"/>
  <c r="P76" i="278"/>
  <c r="P56" i="284"/>
  <c r="V90" i="280"/>
  <c r="M36" i="284"/>
  <c r="J85" i="279"/>
  <c r="N83" i="279"/>
  <c r="R7" i="194"/>
  <c r="X141" i="470"/>
  <c r="U134" i="282"/>
  <c r="W14" i="194"/>
  <c r="K127" i="284"/>
  <c r="L84" i="194"/>
  <c r="W85" i="284"/>
  <c r="P26" i="468"/>
  <c r="O110" i="284"/>
  <c r="W90" i="284"/>
  <c r="L86" i="275"/>
  <c r="V128" i="281"/>
  <c r="L22" i="281"/>
  <c r="V85" i="282"/>
  <c r="O106" i="194"/>
  <c r="P97" i="280"/>
  <c r="P53" i="284"/>
  <c r="R87" i="278"/>
  <c r="N107" i="283"/>
  <c r="V42" i="284"/>
  <c r="T60" i="470"/>
  <c r="V79" i="470"/>
  <c r="R81" i="284"/>
  <c r="S126" i="194"/>
  <c r="R80" i="275"/>
  <c r="R17" i="194"/>
  <c r="W93" i="280"/>
  <c r="K48" i="194"/>
  <c r="T81" i="282"/>
  <c r="R93" i="280"/>
  <c r="V133" i="275"/>
  <c r="R94" i="280"/>
  <c r="N38" i="470"/>
  <c r="J117" i="194"/>
  <c r="U21" i="470"/>
  <c r="P77" i="194"/>
  <c r="K77" i="282"/>
  <c r="W97" i="280"/>
  <c r="R131" i="284"/>
  <c r="X76" i="278"/>
  <c r="V83" i="275"/>
  <c r="K83" i="283"/>
  <c r="V75" i="284"/>
  <c r="U55" i="194"/>
  <c r="L77" i="281"/>
  <c r="U54" i="283"/>
  <c r="L75" i="194"/>
  <c r="V85" i="284"/>
  <c r="O90" i="283"/>
  <c r="S68" i="194"/>
  <c r="W81" i="283"/>
  <c r="J83" i="284"/>
  <c r="P108" i="284"/>
  <c r="R83" i="282"/>
  <c r="O38" i="284"/>
  <c r="L98" i="194"/>
  <c r="M86" i="284"/>
  <c r="P86" i="281"/>
  <c r="J87" i="279"/>
  <c r="O39" i="194"/>
  <c r="U134" i="194"/>
  <c r="J81" i="194"/>
  <c r="W54" i="281"/>
  <c r="P96" i="279"/>
  <c r="J17" i="194"/>
  <c r="O89" i="275"/>
  <c r="U78" i="280"/>
  <c r="J85" i="194"/>
  <c r="S95" i="280"/>
  <c r="O55" i="281"/>
  <c r="N87" i="470"/>
  <c r="O132" i="194"/>
  <c r="L77" i="283"/>
  <c r="U81" i="279"/>
  <c r="L91" i="278"/>
  <c r="U79" i="194"/>
  <c r="R86" i="278"/>
  <c r="U87" i="278"/>
  <c r="J106" i="282"/>
  <c r="K52" i="280"/>
  <c r="X28" i="281"/>
  <c r="U124" i="284"/>
  <c r="R112" i="278"/>
  <c r="M93" i="279"/>
  <c r="M37" i="194"/>
  <c r="T91" i="278"/>
  <c r="J115" i="194"/>
  <c r="R93" i="283"/>
  <c r="N83" i="283"/>
  <c r="U87" i="280"/>
  <c r="L4" i="194"/>
  <c r="V60" i="278"/>
  <c r="N81" i="278"/>
  <c r="P85" i="275"/>
  <c r="P21" i="280"/>
  <c r="K30" i="194"/>
  <c r="R86" i="284"/>
  <c r="L111" i="278"/>
  <c r="R84" i="284"/>
  <c r="J90" i="282"/>
  <c r="U80" i="275"/>
  <c r="U139" i="281"/>
  <c r="L85" i="280"/>
  <c r="U95" i="281"/>
  <c r="R81" i="282"/>
  <c r="R33" i="194"/>
  <c r="O107" i="281"/>
  <c r="V68" i="194"/>
  <c r="T80" i="282"/>
  <c r="V11" i="194"/>
  <c r="N96" i="279"/>
  <c r="T4" i="194"/>
  <c r="M96" i="283"/>
  <c r="U97" i="278"/>
  <c r="U45" i="194"/>
  <c r="N137" i="284"/>
  <c r="W123" i="278"/>
  <c r="M132" i="284"/>
  <c r="N35" i="278"/>
  <c r="J132" i="281"/>
  <c r="P93" i="278"/>
  <c r="U35" i="194"/>
  <c r="M96" i="284"/>
  <c r="S102" i="282"/>
  <c r="X44" i="194"/>
  <c r="J10" i="275"/>
  <c r="L50" i="284"/>
  <c r="U78" i="284"/>
  <c r="O97" i="284"/>
  <c r="W115" i="275"/>
  <c r="M120" i="280"/>
  <c r="R4" i="283"/>
  <c r="U93" i="282"/>
  <c r="W125" i="284"/>
  <c r="L83" i="275"/>
  <c r="R55" i="468"/>
  <c r="M82" i="280"/>
  <c r="O96" i="284"/>
  <c r="R82" i="194"/>
  <c r="J80" i="283"/>
  <c r="V5" i="283"/>
  <c r="P83" i="280"/>
  <c r="S59" i="282"/>
  <c r="K84" i="282"/>
  <c r="K129" i="284"/>
  <c r="O11" i="279"/>
  <c r="M97" i="279"/>
  <c r="O47" i="194"/>
  <c r="N24" i="470"/>
  <c r="P74" i="283"/>
  <c r="U74" i="470"/>
  <c r="N75" i="470"/>
  <c r="W125" i="194"/>
  <c r="K71" i="194"/>
  <c r="M64" i="194"/>
  <c r="K81" i="275"/>
  <c r="J123" i="470"/>
  <c r="X82" i="278"/>
  <c r="M53" i="280"/>
  <c r="P78" i="470"/>
  <c r="U69" i="470"/>
  <c r="O90" i="282"/>
  <c r="X7" i="194"/>
  <c r="N80" i="279"/>
  <c r="M93" i="275"/>
  <c r="M77" i="275"/>
  <c r="M97" i="194"/>
  <c r="P98" i="283"/>
  <c r="L93" i="275"/>
  <c r="M92" i="281"/>
  <c r="M81" i="279"/>
  <c r="X83" i="284"/>
  <c r="P53" i="194"/>
  <c r="O56" i="194"/>
  <c r="W29" i="194"/>
  <c r="T127" i="283"/>
  <c r="S97" i="280"/>
  <c r="M87" i="279"/>
  <c r="X78" i="283"/>
  <c r="V82" i="283"/>
  <c r="W29" i="282"/>
  <c r="T76" i="282"/>
  <c r="J79" i="281"/>
  <c r="M96" i="194"/>
  <c r="S52" i="284"/>
  <c r="P86" i="283"/>
  <c r="K136" i="284"/>
  <c r="O38" i="194"/>
  <c r="T123" i="194"/>
  <c r="K96" i="280"/>
  <c r="S35" i="282"/>
  <c r="M26" i="281"/>
  <c r="R102" i="284"/>
  <c r="R5" i="280"/>
  <c r="W122" i="194"/>
  <c r="V118" i="281"/>
  <c r="K78" i="284"/>
  <c r="N79" i="279"/>
  <c r="X112" i="194"/>
  <c r="U120" i="194"/>
  <c r="M91" i="280"/>
  <c r="J68" i="194"/>
  <c r="O91" i="282"/>
  <c r="S101" i="194"/>
  <c r="M46" i="194"/>
  <c r="T45" i="278"/>
  <c r="T89" i="282"/>
  <c r="L82" i="279"/>
  <c r="U86" i="282"/>
  <c r="W97" i="275"/>
  <c r="L79" i="283"/>
  <c r="K86" i="275"/>
  <c r="T140" i="282"/>
  <c r="T9" i="194"/>
  <c r="N64" i="194"/>
  <c r="M35" i="194"/>
  <c r="O84" i="275"/>
  <c r="M45" i="194"/>
  <c r="K20" i="284"/>
  <c r="K4" i="194"/>
  <c r="L67" i="284"/>
  <c r="P78" i="282"/>
  <c r="U114" i="281"/>
  <c r="V8" i="194"/>
  <c r="R77" i="282"/>
  <c r="K79" i="282"/>
  <c r="V130" i="284"/>
  <c r="V80" i="194"/>
  <c r="P8" i="194"/>
  <c r="P7" i="284"/>
  <c r="P45" i="194"/>
  <c r="L90" i="194"/>
  <c r="M29" i="194"/>
  <c r="T133" i="284"/>
  <c r="K46" i="194"/>
  <c r="X91" i="281"/>
  <c r="U97" i="275"/>
  <c r="X70" i="282"/>
  <c r="X23" i="284"/>
  <c r="P5" i="194"/>
  <c r="K135" i="283"/>
  <c r="O93" i="280"/>
  <c r="U88" i="284"/>
  <c r="K98" i="280"/>
  <c r="P97" i="468"/>
  <c r="K87" i="281"/>
  <c r="S90" i="283"/>
  <c r="L29" i="284"/>
  <c r="T94" i="281"/>
  <c r="S95" i="278"/>
  <c r="M28" i="194"/>
  <c r="U51" i="282"/>
  <c r="P32" i="194"/>
  <c r="L110" i="283"/>
  <c r="T8" i="281"/>
  <c r="P20" i="284"/>
  <c r="J51" i="468"/>
  <c r="R5" i="470"/>
  <c r="N117" i="470"/>
  <c r="X97" i="281"/>
  <c r="O75" i="194"/>
  <c r="V119" i="194"/>
  <c r="O84" i="282"/>
  <c r="L123" i="470"/>
  <c r="P90" i="280"/>
  <c r="X96" i="281"/>
  <c r="O63" i="284"/>
  <c r="S10" i="194"/>
  <c r="U44" i="194"/>
  <c r="R93" i="278"/>
  <c r="S89" i="278"/>
  <c r="O85" i="278"/>
  <c r="O109" i="194"/>
  <c r="W92" i="283"/>
  <c r="N92" i="280"/>
  <c r="K69" i="284"/>
  <c r="R46" i="194"/>
  <c r="V96" i="281"/>
  <c r="R10" i="194"/>
  <c r="W6" i="194"/>
  <c r="S75" i="194"/>
  <c r="V75" i="280"/>
  <c r="P16" i="284"/>
  <c r="J119" i="194"/>
  <c r="T119" i="194"/>
  <c r="P96" i="281"/>
  <c r="V128" i="282"/>
  <c r="W120" i="283"/>
  <c r="J65" i="284"/>
  <c r="U81" i="282"/>
  <c r="S120" i="284"/>
  <c r="L50" i="194"/>
  <c r="X127" i="282"/>
  <c r="O95" i="282"/>
  <c r="L42" i="194"/>
  <c r="U80" i="281"/>
  <c r="P101" i="282"/>
  <c r="K80" i="281"/>
  <c r="J84" i="278"/>
  <c r="N128" i="283"/>
  <c r="M96" i="275"/>
  <c r="M30" i="194"/>
  <c r="M94" i="280"/>
  <c r="P92" i="284"/>
  <c r="J87" i="275"/>
  <c r="W6" i="283"/>
  <c r="R134" i="283"/>
  <c r="M94" i="279"/>
  <c r="X97" i="275"/>
  <c r="L85" i="282"/>
  <c r="R87" i="282"/>
  <c r="N84" i="470"/>
  <c r="K10" i="284"/>
  <c r="M94" i="282"/>
  <c r="V81" i="279"/>
  <c r="T97" i="282"/>
  <c r="N75" i="194"/>
  <c r="S85" i="279"/>
  <c r="O78" i="283"/>
  <c r="O37" i="284"/>
  <c r="T92" i="279"/>
  <c r="P55" i="275"/>
  <c r="S82" i="281"/>
  <c r="K7" i="278"/>
  <c r="U116" i="284"/>
  <c r="V22" i="283"/>
  <c r="T48" i="194"/>
  <c r="W120" i="282"/>
  <c r="K90" i="281"/>
  <c r="M85" i="280"/>
  <c r="N137" i="282"/>
  <c r="R53" i="279"/>
  <c r="T63" i="470"/>
  <c r="J5" i="194"/>
  <c r="K97" i="282"/>
  <c r="L81" i="278"/>
  <c r="V84" i="278"/>
  <c r="T90" i="281"/>
  <c r="L88" i="280"/>
  <c r="O48" i="194"/>
  <c r="X80" i="284"/>
  <c r="P94" i="275"/>
  <c r="T48" i="282"/>
  <c r="K39" i="194"/>
  <c r="M29" i="284"/>
  <c r="K25" i="283"/>
  <c r="T20" i="284"/>
  <c r="X4" i="284"/>
  <c r="T23" i="194"/>
  <c r="K120" i="194"/>
  <c r="X76" i="280"/>
  <c r="O69" i="284"/>
  <c r="J56" i="279"/>
  <c r="R123" i="279"/>
  <c r="P88" i="283"/>
  <c r="J87" i="282"/>
  <c r="S134" i="283"/>
  <c r="O6" i="194"/>
  <c r="S97" i="282"/>
  <c r="U103" i="281"/>
  <c r="S22" i="282"/>
  <c r="N66" i="194"/>
  <c r="J107" i="281"/>
  <c r="V64" i="283"/>
  <c r="X128" i="194"/>
  <c r="X89" i="279"/>
  <c r="N50" i="278"/>
  <c r="S9" i="194"/>
  <c r="L79" i="194"/>
  <c r="M91" i="275"/>
  <c r="S67" i="284"/>
  <c r="U56" i="282"/>
  <c r="X22" i="278"/>
  <c r="S43" i="284"/>
  <c r="R126" i="283"/>
  <c r="K23" i="283"/>
  <c r="J140" i="282"/>
  <c r="L125" i="194"/>
  <c r="M76" i="278"/>
  <c r="M26" i="194"/>
  <c r="J26" i="194"/>
  <c r="W55" i="280"/>
  <c r="R92" i="278"/>
  <c r="J50" i="282"/>
  <c r="N6" i="283"/>
  <c r="V99" i="470"/>
  <c r="J75" i="470"/>
  <c r="L140" i="470"/>
  <c r="K61" i="470"/>
  <c r="W109" i="284"/>
  <c r="U12" i="194"/>
  <c r="P11" i="470"/>
  <c r="X66" i="194"/>
  <c r="M69" i="194"/>
  <c r="U17" i="278"/>
  <c r="N55" i="278"/>
  <c r="K95" i="283"/>
  <c r="R86" i="275"/>
  <c r="T108" i="284"/>
  <c r="L122" i="194"/>
  <c r="L77" i="282"/>
  <c r="W70" i="194"/>
  <c r="O28" i="194"/>
  <c r="J78" i="281"/>
  <c r="X10" i="194"/>
  <c r="J55" i="278"/>
  <c r="S80" i="468"/>
  <c r="S65" i="194"/>
  <c r="P57" i="281"/>
  <c r="J33" i="283"/>
  <c r="P93" i="279"/>
  <c r="V98" i="194"/>
  <c r="L97" i="278"/>
  <c r="O133" i="284"/>
  <c r="X32" i="194"/>
  <c r="N6" i="470"/>
  <c r="V45" i="283"/>
  <c r="K88" i="194"/>
  <c r="R124" i="283"/>
  <c r="J80" i="282"/>
  <c r="J9" i="194"/>
  <c r="O125" i="470"/>
  <c r="K76" i="194"/>
  <c r="P18" i="283"/>
  <c r="J115" i="283"/>
  <c r="O62" i="280"/>
  <c r="N100" i="284"/>
  <c r="V77" i="278"/>
  <c r="T135" i="283"/>
  <c r="N10" i="284"/>
  <c r="N97" i="470"/>
  <c r="O82" i="278"/>
  <c r="V69" i="194"/>
  <c r="S64" i="194"/>
  <c r="J96" i="283"/>
  <c r="X65" i="284"/>
  <c r="T81" i="279"/>
  <c r="S133" i="282"/>
  <c r="T91" i="282"/>
  <c r="S98" i="281"/>
  <c r="X13" i="194"/>
  <c r="T76" i="283"/>
  <c r="N72" i="194"/>
  <c r="V110" i="283"/>
  <c r="W97" i="194"/>
  <c r="U92" i="282"/>
  <c r="X84" i="275"/>
  <c r="L81" i="281"/>
  <c r="V136" i="194"/>
  <c r="R33" i="280"/>
  <c r="W87" i="281"/>
  <c r="T89" i="470"/>
  <c r="L5" i="194"/>
  <c r="U34" i="283"/>
  <c r="M12" i="279"/>
  <c r="O110" i="194"/>
  <c r="R77" i="278"/>
  <c r="K57" i="284"/>
  <c r="S90" i="280"/>
  <c r="J69" i="284"/>
  <c r="U137" i="470"/>
  <c r="K56" i="278"/>
  <c r="U11" i="279"/>
  <c r="N82" i="275"/>
  <c r="V20" i="194"/>
  <c r="K80" i="279"/>
  <c r="X85" i="194"/>
  <c r="L107" i="278"/>
  <c r="N28" i="194"/>
  <c r="K100" i="283"/>
  <c r="L138" i="283"/>
  <c r="K85" i="279"/>
  <c r="N77" i="279"/>
  <c r="V96" i="279"/>
  <c r="V90" i="278"/>
  <c r="U100" i="283"/>
  <c r="W55" i="468"/>
  <c r="U91" i="280"/>
  <c r="N82" i="278"/>
  <c r="R24" i="284"/>
  <c r="L71" i="282"/>
  <c r="L92" i="194"/>
  <c r="U57" i="284"/>
  <c r="R96" i="279"/>
  <c r="T118" i="281"/>
  <c r="O121" i="194"/>
  <c r="M41" i="284"/>
  <c r="M70" i="280"/>
  <c r="X109" i="284"/>
  <c r="J92" i="278"/>
  <c r="W70" i="282"/>
  <c r="N112" i="194"/>
  <c r="O36" i="194"/>
  <c r="J95" i="284"/>
  <c r="L74" i="194"/>
  <c r="P82" i="278"/>
  <c r="V76" i="275"/>
  <c r="P100" i="281"/>
  <c r="V96" i="282"/>
  <c r="U139" i="283"/>
  <c r="R55" i="275"/>
  <c r="M116" i="284"/>
  <c r="P79" i="283"/>
  <c r="S121" i="283"/>
  <c r="S42" i="278"/>
  <c r="V81" i="275"/>
  <c r="U115" i="194"/>
  <c r="P55" i="283"/>
  <c r="K100" i="194"/>
  <c r="R114" i="282"/>
  <c r="P66" i="284"/>
  <c r="J117" i="281"/>
  <c r="N58" i="194"/>
  <c r="J79" i="282"/>
  <c r="V71" i="470"/>
  <c r="S106" i="194"/>
  <c r="N73" i="194"/>
  <c r="T32" i="194"/>
  <c r="U89" i="280"/>
  <c r="X28" i="470"/>
  <c r="K89" i="278"/>
  <c r="N94" i="283"/>
  <c r="K112" i="470"/>
  <c r="S93" i="282"/>
  <c r="K18" i="284"/>
  <c r="U134" i="284"/>
  <c r="S108" i="283"/>
  <c r="V93" i="284"/>
  <c r="O15" i="194"/>
  <c r="O127" i="470"/>
  <c r="V84" i="194"/>
  <c r="X120" i="194"/>
  <c r="N71" i="279"/>
  <c r="U56" i="279"/>
  <c r="N55" i="194"/>
  <c r="O90" i="278"/>
  <c r="R91" i="194"/>
  <c r="M83" i="280"/>
  <c r="P82" i="470"/>
  <c r="X103" i="194"/>
  <c r="V129" i="468"/>
  <c r="J78" i="278"/>
  <c r="P77" i="282"/>
  <c r="L11" i="194"/>
  <c r="M103" i="284"/>
  <c r="M78" i="278"/>
  <c r="O84" i="284"/>
  <c r="S18" i="282"/>
  <c r="L27" i="278"/>
  <c r="L92" i="275"/>
  <c r="U46" i="284"/>
  <c r="V114" i="194"/>
  <c r="P136" i="280"/>
  <c r="P90" i="279"/>
  <c r="X81" i="194"/>
  <c r="L88" i="282"/>
  <c r="N97" i="194"/>
  <c r="X82" i="275"/>
  <c r="M84" i="275"/>
  <c r="R45" i="283"/>
  <c r="N57" i="281"/>
  <c r="X92" i="275"/>
  <c r="R43" i="194"/>
  <c r="R79" i="275"/>
  <c r="T86" i="278"/>
  <c r="S84" i="281"/>
  <c r="J48" i="194"/>
  <c r="T82" i="282"/>
  <c r="P96" i="275"/>
  <c r="P84" i="283"/>
  <c r="O61" i="280"/>
  <c r="U80" i="279"/>
  <c r="S78" i="282"/>
  <c r="T110" i="284"/>
  <c r="M128" i="275"/>
  <c r="U90" i="275"/>
  <c r="T33" i="282"/>
  <c r="U95" i="280"/>
  <c r="L47" i="194"/>
  <c r="J94" i="283"/>
  <c r="W18" i="275"/>
  <c r="M77" i="194"/>
  <c r="L77" i="194"/>
  <c r="N121" i="281"/>
  <c r="P133" i="283"/>
  <c r="V134" i="194"/>
  <c r="J82" i="280"/>
  <c r="N3" i="282"/>
  <c r="S82" i="279"/>
  <c r="W138" i="284"/>
  <c r="S82" i="284"/>
  <c r="O13" i="194"/>
  <c r="L54" i="284"/>
  <c r="V133" i="281"/>
  <c r="K41" i="283"/>
  <c r="W130" i="194"/>
  <c r="P85" i="194"/>
  <c r="P80" i="278"/>
  <c r="R17" i="283"/>
  <c r="L67" i="194"/>
  <c r="J26" i="470"/>
  <c r="R49" i="284"/>
  <c r="K56" i="275"/>
  <c r="J24" i="194"/>
  <c r="R122" i="194"/>
  <c r="W54" i="194"/>
  <c r="V55" i="280"/>
  <c r="L99" i="280"/>
  <c r="W63" i="283"/>
  <c r="X78" i="275"/>
  <c r="K116" i="284"/>
  <c r="U88" i="278"/>
  <c r="R120" i="282"/>
  <c r="O53" i="194"/>
  <c r="R60" i="281"/>
  <c r="W72" i="282"/>
  <c r="L55" i="280"/>
  <c r="X90" i="279"/>
  <c r="U86" i="284"/>
  <c r="R90" i="284"/>
  <c r="T97" i="275"/>
  <c r="V77" i="283"/>
  <c r="M81" i="283"/>
  <c r="J5" i="470"/>
  <c r="J113" i="194"/>
  <c r="W25" i="194"/>
  <c r="K57" i="194"/>
  <c r="T10" i="470"/>
  <c r="M97" i="280"/>
  <c r="W53" i="194"/>
  <c r="W88" i="278"/>
  <c r="S84" i="470"/>
  <c r="W78" i="283"/>
  <c r="N86" i="275"/>
  <c r="M131" i="280"/>
  <c r="N84" i="282"/>
  <c r="P72" i="194"/>
  <c r="X86" i="470"/>
  <c r="R77" i="194"/>
  <c r="K93" i="194"/>
  <c r="M77" i="280"/>
  <c r="J29" i="283"/>
  <c r="L78" i="281"/>
  <c r="R18" i="194"/>
  <c r="S90" i="284"/>
  <c r="X82" i="194"/>
  <c r="M33" i="283"/>
  <c r="T126" i="470"/>
  <c r="R115" i="194"/>
  <c r="L21" i="284"/>
  <c r="R41" i="282"/>
  <c r="W85" i="283"/>
  <c r="R79" i="284"/>
  <c r="X130" i="280"/>
  <c r="T55" i="194"/>
  <c r="J90" i="283"/>
  <c r="L78" i="278"/>
  <c r="S56" i="282"/>
  <c r="K42" i="194"/>
  <c r="L25" i="194"/>
  <c r="M92" i="278"/>
  <c r="L117" i="194"/>
  <c r="V97" i="278"/>
  <c r="U89" i="278"/>
  <c r="R29" i="194"/>
  <c r="L91" i="194"/>
  <c r="M18" i="194"/>
  <c r="K66" i="470"/>
  <c r="T136" i="194"/>
  <c r="L82" i="282"/>
  <c r="O93" i="282"/>
  <c r="R99" i="284"/>
  <c r="R70" i="283"/>
  <c r="S91" i="194"/>
  <c r="J97" i="278"/>
  <c r="T97" i="278"/>
  <c r="P82" i="275"/>
  <c r="T79" i="282"/>
  <c r="O21" i="282"/>
  <c r="T78" i="284"/>
  <c r="W124" i="284"/>
  <c r="U84" i="283"/>
  <c r="W86" i="279"/>
  <c r="V66" i="283"/>
  <c r="L92" i="281"/>
  <c r="U8" i="194"/>
  <c r="W21" i="194"/>
  <c r="U32" i="194"/>
  <c r="P105" i="194"/>
  <c r="T92" i="282"/>
  <c r="K77" i="278"/>
  <c r="L80" i="284"/>
  <c r="R52" i="281"/>
  <c r="J67" i="194"/>
  <c r="L108" i="284"/>
  <c r="P73" i="283"/>
  <c r="L12" i="194"/>
  <c r="T64" i="194"/>
  <c r="J86" i="194"/>
  <c r="R83" i="283"/>
  <c r="U45" i="284"/>
  <c r="T88" i="284"/>
  <c r="J75" i="282"/>
  <c r="P58" i="280"/>
  <c r="R33" i="284"/>
  <c r="L75" i="283"/>
  <c r="K32" i="280"/>
  <c r="S76" i="278"/>
  <c r="M94" i="470"/>
  <c r="W85" i="281"/>
  <c r="J10" i="194"/>
  <c r="J101" i="194"/>
  <c r="X96" i="282"/>
  <c r="V111" i="281"/>
  <c r="V41" i="281"/>
  <c r="J41" i="284"/>
  <c r="L50" i="279"/>
  <c r="R45" i="194"/>
  <c r="X110" i="281"/>
  <c r="J100" i="279"/>
  <c r="V92" i="282"/>
  <c r="V79" i="278"/>
  <c r="U38" i="194"/>
  <c r="W34" i="194"/>
  <c r="K70" i="194"/>
  <c r="U80" i="284"/>
  <c r="X77" i="194"/>
  <c r="N24" i="282"/>
  <c r="J32" i="194"/>
  <c r="O3" i="284"/>
  <c r="N34" i="283"/>
  <c r="R97" i="278"/>
  <c r="O93" i="283"/>
  <c r="J114" i="194"/>
  <c r="U83" i="284"/>
  <c r="X127" i="281"/>
  <c r="X75" i="278"/>
  <c r="L124" i="283"/>
  <c r="N111" i="284"/>
  <c r="M113" i="194"/>
  <c r="O58" i="284"/>
  <c r="M88" i="275"/>
  <c r="R36" i="194"/>
  <c r="N84" i="279"/>
  <c r="M7" i="284"/>
  <c r="P7" i="194"/>
  <c r="O32" i="284"/>
  <c r="M21" i="194"/>
  <c r="U49" i="283"/>
  <c r="U46" i="283"/>
  <c r="T42" i="470"/>
  <c r="J87" i="283"/>
  <c r="O97" i="194"/>
  <c r="J45" i="194"/>
  <c r="R101" i="470"/>
  <c r="U22" i="470"/>
  <c r="L83" i="280"/>
  <c r="O96" i="194"/>
  <c r="W87" i="282"/>
  <c r="W13" i="194"/>
  <c r="O85" i="275"/>
  <c r="M78" i="283"/>
  <c r="T88" i="280"/>
  <c r="P85" i="281"/>
  <c r="R133" i="194"/>
  <c r="O80" i="470"/>
  <c r="J29" i="284"/>
  <c r="S95" i="281"/>
  <c r="R16" i="194"/>
  <c r="O46" i="281"/>
  <c r="O85" i="281"/>
  <c r="T84" i="283"/>
  <c r="W96" i="278"/>
  <c r="N15" i="194"/>
  <c r="N90" i="281"/>
  <c r="V102" i="194"/>
  <c r="K86" i="282"/>
  <c r="P74" i="280"/>
  <c r="J9" i="470"/>
  <c r="K82" i="282"/>
  <c r="R6" i="194"/>
  <c r="X67" i="281"/>
  <c r="N56" i="280"/>
  <c r="O79" i="279"/>
  <c r="R72" i="283"/>
  <c r="P139" i="282"/>
  <c r="L77" i="279"/>
  <c r="T106" i="275"/>
  <c r="O42" i="275"/>
  <c r="V92" i="281"/>
  <c r="P19" i="194"/>
  <c r="N27" i="194"/>
  <c r="N85" i="283"/>
  <c r="X64" i="283"/>
  <c r="P55" i="279"/>
  <c r="M80" i="283"/>
  <c r="L83" i="279"/>
  <c r="R99" i="194"/>
  <c r="W83" i="283"/>
  <c r="T35" i="194"/>
  <c r="L127" i="282"/>
  <c r="R78" i="280"/>
  <c r="N79" i="194"/>
  <c r="R43" i="283"/>
  <c r="W83" i="284"/>
  <c r="U39" i="281"/>
  <c r="K36" i="194"/>
  <c r="K95" i="282"/>
  <c r="W105" i="283"/>
  <c r="X106" i="194"/>
  <c r="O139" i="284"/>
  <c r="N135" i="283"/>
  <c r="J31" i="280"/>
  <c r="K38" i="283"/>
  <c r="X135" i="282"/>
  <c r="M83" i="283"/>
  <c r="O137" i="468"/>
  <c r="P79" i="278"/>
  <c r="O100" i="194"/>
  <c r="W79" i="194"/>
  <c r="S79" i="194"/>
  <c r="W87" i="283"/>
  <c r="X95" i="283"/>
  <c r="K137" i="284"/>
  <c r="R106" i="281"/>
  <c r="K95" i="284"/>
  <c r="J86" i="282"/>
  <c r="S117" i="194"/>
  <c r="V9" i="194"/>
  <c r="T121" i="283"/>
  <c r="O140" i="281"/>
  <c r="W83" i="470"/>
  <c r="V15" i="284"/>
  <c r="R49" i="281"/>
  <c r="W36" i="280"/>
  <c r="V83" i="194"/>
  <c r="M95" i="281"/>
  <c r="R103" i="194"/>
  <c r="O132" i="284"/>
  <c r="M128" i="283"/>
  <c r="M82" i="194"/>
  <c r="T95" i="278"/>
  <c r="T91" i="284"/>
  <c r="S90" i="194"/>
  <c r="K56" i="284"/>
  <c r="W81" i="280"/>
  <c r="K79" i="283"/>
  <c r="O103" i="282"/>
  <c r="R108" i="194"/>
  <c r="T92" i="284"/>
  <c r="X135" i="194"/>
  <c r="R90" i="194"/>
  <c r="S138" i="194"/>
  <c r="U95" i="279"/>
  <c r="S94" i="283"/>
  <c r="O49" i="194"/>
  <c r="V91" i="282"/>
  <c r="R135" i="283"/>
  <c r="L79" i="275"/>
  <c r="U87" i="279"/>
  <c r="J69" i="194"/>
  <c r="P130" i="280"/>
  <c r="P36" i="284"/>
  <c r="R11" i="282"/>
  <c r="K109" i="283"/>
  <c r="X75" i="282"/>
  <c r="S115" i="284"/>
  <c r="K49" i="194"/>
  <c r="V105" i="281"/>
  <c r="R82" i="470"/>
  <c r="U89" i="279"/>
  <c r="K92" i="284"/>
  <c r="N52" i="283"/>
  <c r="J74" i="194"/>
  <c r="P134" i="283"/>
  <c r="K91" i="194"/>
  <c r="P87" i="278"/>
  <c r="K77" i="284"/>
  <c r="U25" i="470"/>
  <c r="J99" i="194"/>
  <c r="J90" i="280"/>
  <c r="M75" i="470"/>
  <c r="N27" i="470"/>
  <c r="O49" i="284"/>
  <c r="R90" i="281"/>
  <c r="V47" i="194"/>
  <c r="T77" i="278"/>
  <c r="R69" i="194"/>
  <c r="L81" i="282"/>
  <c r="X114" i="283"/>
  <c r="L96" i="194"/>
  <c r="S37" i="281"/>
  <c r="S84" i="278"/>
  <c r="V89" i="283"/>
  <c r="O37" i="282"/>
  <c r="M123" i="194"/>
  <c r="L136" i="283"/>
  <c r="K94" i="470"/>
  <c r="W85" i="194"/>
  <c r="P39" i="194"/>
  <c r="L110" i="194"/>
  <c r="U89" i="275"/>
  <c r="K48" i="284"/>
  <c r="J7" i="279"/>
  <c r="J78" i="282"/>
  <c r="S88" i="279"/>
  <c r="S137" i="194"/>
  <c r="W91" i="275"/>
  <c r="N86" i="281"/>
  <c r="P85" i="282"/>
  <c r="N53" i="194"/>
  <c r="V107" i="284"/>
  <c r="S138" i="470"/>
  <c r="X121" i="282"/>
  <c r="R48" i="194"/>
  <c r="L67" i="283"/>
  <c r="N103" i="278"/>
  <c r="X81" i="280"/>
  <c r="L89" i="194"/>
  <c r="W35" i="282"/>
  <c r="W78" i="281"/>
  <c r="P94" i="284"/>
  <c r="W97" i="281"/>
  <c r="L81" i="284"/>
  <c r="X81" i="284"/>
  <c r="T122" i="282"/>
  <c r="N123" i="283"/>
  <c r="V69" i="282"/>
  <c r="M91" i="281"/>
  <c r="K85" i="194"/>
  <c r="K65" i="282"/>
  <c r="W83" i="278"/>
  <c r="T137" i="194"/>
  <c r="P61" i="194"/>
  <c r="T42" i="282"/>
  <c r="O97" i="275"/>
  <c r="T30" i="279"/>
  <c r="K120" i="284"/>
  <c r="W89" i="281"/>
  <c r="V129" i="194"/>
  <c r="X50" i="283"/>
  <c r="N140" i="283"/>
  <c r="S129" i="284"/>
  <c r="U25" i="194"/>
  <c r="N123" i="284"/>
  <c r="V115" i="470"/>
  <c r="M76" i="275"/>
  <c r="T106" i="284"/>
  <c r="K118" i="194"/>
  <c r="M139" i="283"/>
  <c r="W84" i="279"/>
  <c r="W70" i="283"/>
  <c r="R76" i="279"/>
  <c r="X93" i="283"/>
  <c r="P66" i="281"/>
  <c r="P98" i="194"/>
  <c r="T87" i="275"/>
  <c r="J93" i="194"/>
  <c r="R105" i="194"/>
  <c r="K83" i="279"/>
  <c r="W68" i="284"/>
  <c r="K31" i="282"/>
  <c r="X92" i="279"/>
  <c r="R87" i="279"/>
  <c r="U79" i="281"/>
  <c r="M84" i="281"/>
  <c r="M37" i="280"/>
  <c r="M109" i="281"/>
  <c r="K79" i="284"/>
  <c r="P69" i="284"/>
  <c r="X82" i="280"/>
  <c r="T89" i="280"/>
  <c r="L91" i="280"/>
  <c r="U64" i="468"/>
  <c r="X38" i="194"/>
  <c r="L62" i="194"/>
  <c r="U80" i="278"/>
  <c r="O77" i="282"/>
  <c r="R14" i="281"/>
  <c r="P89" i="279"/>
  <c r="P98" i="284"/>
  <c r="O96" i="282"/>
  <c r="X69" i="284"/>
  <c r="T80" i="279"/>
  <c r="J65" i="283"/>
  <c r="T35" i="282"/>
  <c r="S15" i="470"/>
  <c r="S134" i="282"/>
  <c r="S41" i="282"/>
  <c r="V56" i="281"/>
  <c r="P42" i="284"/>
  <c r="J18" i="284"/>
  <c r="S136" i="468"/>
  <c r="K50" i="283"/>
  <c r="N17" i="194"/>
  <c r="S132" i="283"/>
  <c r="X96" i="194"/>
  <c r="V80" i="279"/>
  <c r="T62" i="283"/>
  <c r="N121" i="283"/>
  <c r="U9" i="194"/>
  <c r="T133" i="279"/>
  <c r="V23" i="280"/>
  <c r="L112" i="194"/>
  <c r="J88" i="470"/>
  <c r="U51" i="470"/>
  <c r="L113" i="470"/>
  <c r="M15" i="194"/>
  <c r="W20" i="470"/>
  <c r="W137" i="282"/>
  <c r="K108" i="470"/>
  <c r="K88" i="279"/>
  <c r="V79" i="194"/>
  <c r="J70" i="194"/>
  <c r="R61" i="284"/>
  <c r="L33" i="194"/>
  <c r="U112" i="194"/>
  <c r="J76" i="284"/>
  <c r="K46" i="470"/>
  <c r="X58" i="194"/>
  <c r="R15" i="194"/>
  <c r="R79" i="278"/>
  <c r="V93" i="281"/>
  <c r="V131" i="282"/>
  <c r="V83" i="284"/>
  <c r="P132" i="194"/>
  <c r="T8" i="194"/>
  <c r="S91" i="283"/>
  <c r="V73" i="194"/>
  <c r="U98" i="281"/>
  <c r="P80" i="280"/>
  <c r="K64" i="283"/>
  <c r="U90" i="282"/>
  <c r="X107" i="194"/>
  <c r="W76" i="282"/>
  <c r="W83" i="194"/>
  <c r="M94" i="194"/>
  <c r="U82" i="281"/>
  <c r="L94" i="275"/>
  <c r="W67" i="194"/>
  <c r="S91" i="280"/>
  <c r="O44" i="194"/>
  <c r="M88" i="283"/>
  <c r="P115" i="194"/>
  <c r="V55" i="194"/>
  <c r="K64" i="194"/>
  <c r="X126" i="194"/>
  <c r="U139" i="284"/>
  <c r="R114" i="194"/>
  <c r="J55" i="275"/>
  <c r="V122" i="194"/>
  <c r="J89" i="278"/>
  <c r="U20" i="194"/>
  <c r="M101" i="284"/>
  <c r="W86" i="280"/>
  <c r="K55" i="468"/>
  <c r="W51" i="284"/>
  <c r="L95" i="194"/>
  <c r="T46" i="194"/>
  <c r="T92" i="281"/>
  <c r="N85" i="282"/>
  <c r="J129" i="282"/>
  <c r="O18" i="194"/>
  <c r="V67" i="194"/>
  <c r="L86" i="283"/>
  <c r="L80" i="278"/>
  <c r="W127" i="283"/>
  <c r="O99" i="279"/>
  <c r="K124" i="194"/>
  <c r="S95" i="284"/>
  <c r="W91" i="282"/>
  <c r="T120" i="284"/>
  <c r="L77" i="284"/>
  <c r="P113" i="194"/>
  <c r="X132" i="194"/>
  <c r="K16" i="283"/>
  <c r="K134" i="194"/>
  <c r="N85" i="280"/>
  <c r="X32" i="284"/>
  <c r="L51" i="194"/>
  <c r="M80" i="284"/>
  <c r="J19" i="194"/>
  <c r="N96" i="194"/>
  <c r="T124" i="194"/>
  <c r="W78" i="194"/>
  <c r="X91" i="282"/>
  <c r="K83" i="280"/>
  <c r="P64" i="194"/>
  <c r="L78" i="279"/>
  <c r="M79" i="283"/>
  <c r="O74" i="470"/>
  <c r="L84" i="280"/>
  <c r="K79" i="281"/>
  <c r="P4" i="284"/>
  <c r="U76" i="275"/>
  <c r="S22" i="279"/>
  <c r="O90" i="275"/>
  <c r="W114" i="194"/>
  <c r="P65" i="194"/>
  <c r="P88" i="284"/>
  <c r="O49" i="282"/>
  <c r="T75" i="283"/>
  <c r="W65" i="194"/>
  <c r="M43" i="282"/>
  <c r="S112" i="275"/>
  <c r="J4" i="194"/>
  <c r="K93" i="275"/>
  <c r="J33" i="194"/>
  <c r="T81" i="278"/>
  <c r="V17" i="194"/>
  <c r="M69" i="279"/>
  <c r="J125" i="279"/>
  <c r="O84" i="194"/>
  <c r="T14" i="194"/>
  <c r="S27" i="194"/>
  <c r="N122" i="194"/>
  <c r="N84" i="275"/>
  <c r="W115" i="194"/>
  <c r="M123" i="283"/>
  <c r="O22" i="284"/>
  <c r="K12" i="194"/>
  <c r="T11" i="194"/>
  <c r="K140" i="283"/>
  <c r="K77" i="283"/>
  <c r="K103" i="194"/>
  <c r="W98" i="284"/>
  <c r="N85" i="284"/>
  <c r="K108" i="194"/>
  <c r="S135" i="283"/>
  <c r="X75" i="194"/>
  <c r="V78" i="283"/>
  <c r="P85" i="284"/>
  <c r="X16" i="194"/>
  <c r="W95" i="470"/>
  <c r="O87" i="283"/>
  <c r="S83" i="275"/>
  <c r="N86" i="278"/>
  <c r="P86" i="278"/>
  <c r="P112" i="470"/>
  <c r="P82" i="194"/>
  <c r="N86" i="280"/>
  <c r="O76" i="278"/>
  <c r="R87" i="470"/>
  <c r="W132" i="470"/>
  <c r="R31" i="194"/>
  <c r="X4" i="194"/>
  <c r="X84" i="282"/>
  <c r="P11" i="194"/>
  <c r="T94" i="280"/>
  <c r="K89" i="281"/>
  <c r="X71" i="284"/>
  <c r="V77" i="280"/>
  <c r="U78" i="470"/>
  <c r="U30" i="284"/>
  <c r="O60" i="284"/>
  <c r="V29" i="282"/>
  <c r="N76" i="275"/>
  <c r="R140" i="282"/>
  <c r="X71" i="283"/>
  <c r="J39" i="194"/>
  <c r="S85" i="280"/>
  <c r="V5" i="194"/>
  <c r="R97" i="281"/>
  <c r="V133" i="194"/>
  <c r="L95" i="275"/>
  <c r="L49" i="194"/>
  <c r="U118" i="194"/>
  <c r="X104" i="194"/>
  <c r="O79" i="281"/>
  <c r="K94" i="280"/>
  <c r="U92" i="283"/>
  <c r="P136" i="283"/>
  <c r="K100" i="284"/>
  <c r="O45" i="194"/>
  <c r="J106" i="194"/>
  <c r="V9" i="284"/>
  <c r="W94" i="284"/>
  <c r="R61" i="194"/>
  <c r="R67" i="278"/>
  <c r="L65" i="284"/>
  <c r="L36" i="284"/>
  <c r="O78" i="194"/>
  <c r="R90" i="283"/>
  <c r="S38" i="283"/>
  <c r="U92" i="278"/>
  <c r="L82" i="284"/>
  <c r="V42" i="282"/>
  <c r="X133" i="194"/>
  <c r="M135" i="282"/>
  <c r="L60" i="194"/>
  <c r="N21" i="194"/>
  <c r="V116" i="194"/>
  <c r="R92" i="282"/>
  <c r="R117" i="284"/>
  <c r="K66" i="284"/>
  <c r="M50" i="470"/>
  <c r="U89" i="284"/>
  <c r="R84" i="194"/>
  <c r="M3" i="282"/>
  <c r="P93" i="281"/>
  <c r="V41" i="194"/>
  <c r="T100" i="194"/>
  <c r="R95" i="282"/>
  <c r="V95" i="279"/>
  <c r="S96" i="281"/>
  <c r="K131" i="282"/>
  <c r="W78" i="280"/>
  <c r="J91" i="283"/>
  <c r="M122" i="194"/>
  <c r="T131" i="282"/>
  <c r="J79" i="194"/>
  <c r="X139" i="284"/>
  <c r="U110" i="284"/>
  <c r="P95" i="281"/>
  <c r="M19" i="194"/>
  <c r="W80" i="283"/>
  <c r="W95" i="280"/>
  <c r="R101" i="194"/>
  <c r="P132" i="281"/>
  <c r="M33" i="194"/>
  <c r="R61" i="279"/>
  <c r="R113" i="284"/>
  <c r="N94" i="281"/>
  <c r="N84" i="283"/>
  <c r="K65" i="194"/>
  <c r="K90" i="282"/>
  <c r="S118" i="282"/>
  <c r="U56" i="278"/>
  <c r="U91" i="275"/>
  <c r="U55" i="275"/>
  <c r="S130" i="194"/>
  <c r="T49" i="284"/>
  <c r="V105" i="279"/>
  <c r="S119" i="283"/>
  <c r="N132" i="275"/>
  <c r="M79" i="275"/>
  <c r="J66" i="282"/>
  <c r="W110" i="284"/>
  <c r="X104" i="281"/>
  <c r="J90" i="275"/>
  <c r="V71" i="283"/>
  <c r="R19" i="194"/>
  <c r="L101" i="284"/>
  <c r="W45" i="194"/>
  <c r="K125" i="194"/>
  <c r="R22" i="284"/>
  <c r="U103" i="280"/>
  <c r="W137" i="283"/>
  <c r="N133" i="194"/>
  <c r="V72" i="283"/>
  <c r="J83" i="280"/>
  <c r="L90" i="280"/>
  <c r="U131" i="284"/>
  <c r="X29" i="280"/>
  <c r="T65" i="194"/>
  <c r="T83" i="279"/>
  <c r="R61" i="282"/>
  <c r="P121" i="284"/>
  <c r="P89" i="470"/>
  <c r="T97" i="281"/>
  <c r="N97" i="284"/>
  <c r="O76" i="282"/>
  <c r="O54" i="284"/>
  <c r="W90" i="282"/>
  <c r="U31" i="284"/>
  <c r="T96" i="284"/>
  <c r="P95" i="280"/>
  <c r="V124" i="470"/>
  <c r="N8" i="470"/>
  <c r="J52" i="194"/>
  <c r="T83" i="282"/>
  <c r="X69" i="194"/>
  <c r="T70" i="194"/>
  <c r="J50" i="194"/>
  <c r="L80" i="279"/>
  <c r="X119" i="283"/>
  <c r="X65" i="470"/>
  <c r="T90" i="284"/>
  <c r="P105" i="284"/>
  <c r="P117" i="194"/>
  <c r="L44" i="194"/>
  <c r="U86" i="275"/>
  <c r="T85" i="280"/>
  <c r="V44" i="279"/>
  <c r="S25" i="282"/>
  <c r="P13" i="194"/>
  <c r="V132" i="281"/>
  <c r="M38" i="194"/>
  <c r="M85" i="278"/>
  <c r="U96" i="278"/>
  <c r="O66" i="282"/>
  <c r="N127" i="194"/>
  <c r="K69" i="194"/>
  <c r="U56" i="281"/>
  <c r="R55" i="278"/>
  <c r="U31" i="194"/>
  <c r="O70" i="194"/>
  <c r="X93" i="280"/>
  <c r="R82" i="275"/>
  <c r="V76" i="279"/>
  <c r="M111" i="284"/>
  <c r="M70" i="194"/>
  <c r="U74" i="279"/>
  <c r="S39" i="194"/>
  <c r="M105" i="282"/>
  <c r="U100" i="278"/>
  <c r="L61" i="281"/>
  <c r="U111" i="280"/>
  <c r="N130" i="284"/>
  <c r="X110" i="194"/>
  <c r="W94" i="278"/>
  <c r="K34" i="283"/>
  <c r="L38" i="283"/>
  <c r="T82" i="281"/>
  <c r="M77" i="278"/>
  <c r="V79" i="280"/>
  <c r="T4" i="284"/>
  <c r="K45" i="280"/>
  <c r="M24" i="284"/>
  <c r="N112" i="283"/>
  <c r="V30" i="194"/>
  <c r="O40" i="194"/>
  <c r="P100" i="284"/>
  <c r="X30" i="284"/>
  <c r="W4" i="281"/>
  <c r="N49" i="281"/>
  <c r="W115" i="280"/>
  <c r="R96" i="275"/>
  <c r="X45" i="278"/>
  <c r="L55" i="275"/>
  <c r="T14" i="283"/>
  <c r="X75" i="284"/>
  <c r="X94" i="283"/>
  <c r="J4" i="284"/>
  <c r="W56" i="280"/>
  <c r="S115" i="194"/>
  <c r="J94" i="281"/>
  <c r="R56" i="284"/>
  <c r="U35" i="279"/>
  <c r="X49" i="282"/>
  <c r="S83" i="280"/>
  <c r="S74" i="284"/>
  <c r="O17" i="281"/>
  <c r="K109" i="194"/>
  <c r="T70" i="282"/>
  <c r="P42" i="279"/>
  <c r="O83" i="280"/>
  <c r="J22" i="283"/>
  <c r="V86" i="283"/>
  <c r="W119" i="284"/>
  <c r="J121" i="194"/>
  <c r="P80" i="275"/>
  <c r="L94" i="281"/>
  <c r="M86" i="279"/>
  <c r="V78" i="275"/>
  <c r="J102" i="283"/>
  <c r="X67" i="194"/>
  <c r="K120" i="275"/>
  <c r="T124" i="281"/>
  <c r="J100" i="282"/>
  <c r="S30" i="278"/>
  <c r="K112" i="280"/>
  <c r="V96" i="283"/>
  <c r="R122" i="282"/>
  <c r="M127" i="281"/>
  <c r="R133" i="281"/>
  <c r="X111" i="279"/>
  <c r="W88" i="282"/>
  <c r="M86" i="283"/>
  <c r="U21" i="275"/>
  <c r="M97" i="282"/>
  <c r="W82" i="279"/>
  <c r="K45" i="282"/>
  <c r="X70" i="280"/>
  <c r="J96" i="279"/>
  <c r="M102" i="284"/>
  <c r="N106" i="282"/>
  <c r="L51" i="284"/>
  <c r="V49" i="283"/>
  <c r="L130" i="194"/>
  <c r="W50" i="468"/>
  <c r="O66" i="283"/>
  <c r="J111" i="194"/>
  <c r="T125" i="470"/>
  <c r="U106" i="194"/>
  <c r="M122" i="470"/>
  <c r="W15" i="283"/>
  <c r="M52" i="281"/>
  <c r="R93" i="194"/>
  <c r="S83" i="284"/>
  <c r="T54" i="283"/>
  <c r="K92" i="283"/>
  <c r="V91" i="281"/>
  <c r="M119" i="283"/>
  <c r="P43" i="284"/>
  <c r="U89" i="281"/>
  <c r="P25" i="284"/>
  <c r="O127" i="281"/>
  <c r="J86" i="284"/>
  <c r="N129" i="283"/>
  <c r="U55" i="279"/>
  <c r="P78" i="281"/>
  <c r="N43" i="194"/>
  <c r="U81" i="284"/>
  <c r="P119" i="194"/>
  <c r="P92" i="281"/>
  <c r="K134" i="284"/>
  <c r="K7" i="194"/>
  <c r="S43" i="281"/>
  <c r="U55" i="280"/>
  <c r="O89" i="281"/>
  <c r="O76" i="284"/>
  <c r="O86" i="283"/>
  <c r="T98" i="275"/>
  <c r="O77" i="281"/>
  <c r="L76" i="279"/>
  <c r="P107" i="194"/>
  <c r="O68" i="283"/>
  <c r="K80" i="194"/>
  <c r="T90" i="275"/>
  <c r="O103" i="194"/>
  <c r="S80" i="281"/>
  <c r="U24" i="283"/>
  <c r="V19" i="283"/>
  <c r="X28" i="194"/>
  <c r="P109" i="279"/>
  <c r="O130" i="194"/>
  <c r="K31" i="284"/>
  <c r="K38" i="281"/>
  <c r="S96" i="284"/>
  <c r="U92" i="275"/>
  <c r="O74" i="194"/>
  <c r="O131" i="194"/>
  <c r="V52" i="284"/>
  <c r="R58" i="280"/>
  <c r="L21" i="281"/>
  <c r="P84" i="194"/>
  <c r="S73" i="194"/>
  <c r="T28" i="194"/>
  <c r="S80" i="275"/>
  <c r="N104" i="194"/>
  <c r="M39" i="194"/>
  <c r="J93" i="279"/>
  <c r="L137" i="194"/>
  <c r="T39" i="275"/>
  <c r="K110" i="282"/>
  <c r="W129" i="278"/>
  <c r="V59" i="284"/>
  <c r="L87" i="194"/>
  <c r="J51" i="281"/>
  <c r="R90" i="278"/>
  <c r="O84" i="278"/>
  <c r="K78" i="275"/>
  <c r="R52" i="284"/>
  <c r="O132" i="282"/>
  <c r="P88" i="282"/>
  <c r="X123" i="194"/>
  <c r="L85" i="194"/>
  <c r="S84" i="194"/>
  <c r="N46" i="281"/>
  <c r="U81" i="194"/>
  <c r="W68" i="194"/>
  <c r="L93" i="279"/>
  <c r="T109" i="280"/>
  <c r="K106" i="194"/>
  <c r="P48" i="194"/>
  <c r="R3" i="285"/>
  <c r="U99" i="284"/>
  <c r="W92" i="279"/>
  <c r="U90" i="281"/>
  <c r="W93" i="194"/>
  <c r="R37" i="283"/>
  <c r="U109" i="194"/>
  <c r="K56" i="281"/>
  <c r="X40" i="282"/>
  <c r="L136" i="284"/>
  <c r="S26" i="284"/>
  <c r="O57" i="283"/>
  <c r="K133" i="283"/>
  <c r="V96" i="194"/>
  <c r="S94" i="278"/>
  <c r="T4" i="281"/>
  <c r="N91" i="283"/>
  <c r="X25" i="284"/>
  <c r="W70" i="284"/>
  <c r="N22" i="284"/>
  <c r="V21" i="280"/>
  <c r="X107" i="281"/>
  <c r="M67" i="194"/>
  <c r="R88" i="283"/>
  <c r="R117" i="194"/>
  <c r="V79" i="282"/>
  <c r="M12" i="194"/>
  <c r="K56" i="280"/>
  <c r="O16" i="284"/>
  <c r="O97" i="282"/>
  <c r="U12" i="283"/>
  <c r="U43" i="280"/>
  <c r="R85" i="281"/>
  <c r="T23" i="282"/>
  <c r="K107" i="194"/>
  <c r="O78" i="284"/>
  <c r="W53" i="280"/>
  <c r="K29" i="280"/>
  <c r="U96" i="194"/>
  <c r="K74" i="194"/>
  <c r="O87" i="284"/>
  <c r="T90" i="279"/>
  <c r="W69" i="194"/>
  <c r="S99" i="194"/>
  <c r="P83" i="283"/>
  <c r="W85" i="280"/>
  <c r="W94" i="281"/>
  <c r="W117" i="284"/>
  <c r="L25" i="278"/>
  <c r="M18" i="282"/>
  <c r="J84" i="281"/>
  <c r="O38" i="283"/>
  <c r="V88" i="283"/>
  <c r="K46" i="282"/>
  <c r="T85" i="279"/>
  <c r="V28" i="284"/>
  <c r="J89" i="279"/>
  <c r="M87" i="275"/>
  <c r="U81" i="283"/>
  <c r="L64" i="194"/>
  <c r="J41" i="283"/>
  <c r="K8" i="194"/>
  <c r="K98" i="281"/>
  <c r="T12" i="280"/>
  <c r="M68" i="283"/>
  <c r="P26" i="194"/>
  <c r="L111" i="284"/>
  <c r="S76" i="275"/>
  <c r="T113" i="282"/>
  <c r="R94" i="283"/>
  <c r="L109" i="194"/>
  <c r="P94" i="282"/>
  <c r="R124" i="194"/>
  <c r="R32" i="278"/>
  <c r="R90" i="282"/>
  <c r="X99" i="284"/>
  <c r="W134" i="194"/>
  <c r="L9" i="194"/>
  <c r="W3" i="285"/>
  <c r="N111" i="281"/>
  <c r="U92" i="280"/>
  <c r="V83" i="279"/>
  <c r="W89" i="282"/>
  <c r="X76" i="275"/>
  <c r="S39" i="283"/>
  <c r="U100" i="284"/>
  <c r="X118" i="283"/>
  <c r="L94" i="194"/>
  <c r="R112" i="194"/>
  <c r="P27" i="194"/>
  <c r="M94" i="284"/>
  <c r="P66" i="283"/>
  <c r="M109" i="468"/>
  <c r="W60" i="275"/>
  <c r="M116" i="468"/>
  <c r="V7" i="468"/>
  <c r="O74" i="280"/>
  <c r="V74" i="194"/>
  <c r="L76" i="280"/>
  <c r="L49" i="284"/>
  <c r="X85" i="278"/>
  <c r="R84" i="280"/>
  <c r="X132" i="284"/>
  <c r="W85" i="279"/>
  <c r="K36" i="282"/>
  <c r="U83" i="468"/>
  <c r="O55" i="284"/>
  <c r="J135" i="284"/>
  <c r="T42" i="194"/>
  <c r="L56" i="280"/>
  <c r="S81" i="283"/>
  <c r="R69" i="282"/>
  <c r="O130" i="280"/>
  <c r="R97" i="284"/>
  <c r="X33" i="284"/>
  <c r="O120" i="284"/>
  <c r="J30" i="280"/>
  <c r="V95" i="194"/>
  <c r="K97" i="275"/>
  <c r="S87" i="282"/>
  <c r="V21" i="281"/>
  <c r="O92" i="283"/>
  <c r="R42" i="468"/>
  <c r="L116" i="284"/>
  <c r="M76" i="280"/>
  <c r="V53" i="282"/>
  <c r="V135" i="283"/>
  <c r="X57" i="283"/>
  <c r="K106" i="284"/>
  <c r="R84" i="282"/>
  <c r="N123" i="278"/>
  <c r="R35" i="284"/>
  <c r="S87" i="284"/>
  <c r="L26" i="284"/>
  <c r="O44" i="279"/>
  <c r="W33" i="281"/>
  <c r="U65" i="284"/>
  <c r="N135" i="194"/>
  <c r="O39" i="283"/>
  <c r="R81" i="283"/>
  <c r="N5" i="279"/>
  <c r="J126" i="283"/>
  <c r="P126" i="194"/>
  <c r="R106" i="194"/>
  <c r="X72" i="283"/>
  <c r="J39" i="284"/>
  <c r="O80" i="275"/>
  <c r="M101" i="279"/>
  <c r="W140" i="278"/>
  <c r="U85" i="470"/>
  <c r="V64" i="470"/>
  <c r="W92" i="194"/>
  <c r="R98" i="194"/>
  <c r="S140" i="281"/>
  <c r="N38" i="194"/>
  <c r="L84" i="279"/>
  <c r="L24" i="284"/>
  <c r="X77" i="281"/>
  <c r="U83" i="275"/>
  <c r="L91" i="281"/>
  <c r="K82" i="194"/>
  <c r="J96" i="194"/>
  <c r="X59" i="279"/>
  <c r="L69" i="194"/>
  <c r="K53" i="280"/>
  <c r="J23" i="284"/>
  <c r="U125" i="194"/>
  <c r="J95" i="281"/>
  <c r="N89" i="194"/>
  <c r="W33" i="194"/>
  <c r="N8" i="194"/>
  <c r="U77" i="278"/>
  <c r="W115" i="283"/>
  <c r="R26" i="280"/>
  <c r="J127" i="468"/>
  <c r="U28" i="283"/>
  <c r="S139" i="280"/>
  <c r="V19" i="284"/>
  <c r="P23" i="194"/>
  <c r="K98" i="283"/>
  <c r="X93" i="279"/>
  <c r="R89" i="284"/>
  <c r="T96" i="194"/>
  <c r="O27" i="194"/>
  <c r="J93" i="282"/>
  <c r="W138" i="194"/>
  <c r="N125" i="194"/>
  <c r="T97" i="280"/>
  <c r="K99" i="194"/>
  <c r="S86" i="281"/>
  <c r="L40" i="283"/>
  <c r="U134" i="275"/>
  <c r="J117" i="284"/>
  <c r="L86" i="279"/>
  <c r="N98" i="281"/>
  <c r="W39" i="194"/>
  <c r="T92" i="283"/>
  <c r="R10" i="282"/>
  <c r="V76" i="468"/>
  <c r="V8" i="468"/>
  <c r="V23" i="284"/>
  <c r="R14" i="194"/>
  <c r="V88" i="279"/>
  <c r="W69" i="279"/>
  <c r="V22" i="282"/>
  <c r="X80" i="282"/>
  <c r="M79" i="470"/>
  <c r="J93" i="283"/>
  <c r="K101" i="194"/>
  <c r="M97" i="275"/>
  <c r="X62" i="194"/>
  <c r="O87" i="282"/>
  <c r="L73" i="284"/>
  <c r="J118" i="281"/>
  <c r="K86" i="280"/>
  <c r="O34" i="470"/>
  <c r="O120" i="282"/>
  <c r="L76" i="278"/>
  <c r="S13" i="194"/>
  <c r="X78" i="282"/>
  <c r="S132" i="284"/>
  <c r="K129" i="279"/>
  <c r="R109" i="280"/>
  <c r="K97" i="194"/>
  <c r="P90" i="468"/>
  <c r="P60" i="284"/>
  <c r="X56" i="281"/>
  <c r="K94" i="283"/>
  <c r="S68" i="282"/>
  <c r="O62" i="282"/>
  <c r="P127" i="284"/>
  <c r="P90" i="194"/>
  <c r="L74" i="279"/>
  <c r="U87" i="281"/>
  <c r="P86" i="282"/>
  <c r="W63" i="194"/>
  <c r="T81" i="194"/>
  <c r="W94" i="282"/>
  <c r="P52" i="282"/>
  <c r="V131" i="280"/>
  <c r="K130" i="194"/>
  <c r="K31" i="281"/>
  <c r="U138" i="468"/>
  <c r="P3" i="282"/>
  <c r="J124" i="284"/>
  <c r="N25" i="284"/>
  <c r="O137" i="194"/>
  <c r="U72" i="194"/>
  <c r="N33" i="194"/>
  <c r="K130" i="278"/>
  <c r="N60" i="283"/>
  <c r="T35" i="284"/>
  <c r="M117" i="281"/>
  <c r="K109" i="279"/>
  <c r="J131" i="468"/>
  <c r="X50" i="278"/>
  <c r="L61" i="284"/>
  <c r="W68" i="283"/>
  <c r="J95" i="278"/>
  <c r="X88" i="283"/>
  <c r="X87" i="278"/>
  <c r="T107" i="283"/>
  <c r="K27" i="280"/>
  <c r="J66" i="194"/>
  <c r="X66" i="282"/>
  <c r="L66" i="284"/>
  <c r="V128" i="284"/>
  <c r="T111" i="284"/>
  <c r="V59" i="280"/>
  <c r="M92" i="275"/>
  <c r="P125" i="280"/>
  <c r="T78" i="279"/>
  <c r="N21" i="468"/>
  <c r="K40" i="283"/>
  <c r="L117" i="279"/>
  <c r="O29" i="282"/>
  <c r="J91" i="275"/>
  <c r="P53" i="470"/>
  <c r="J80" i="281"/>
  <c r="S78" i="470"/>
  <c r="L68" i="194"/>
  <c r="P52" i="284"/>
  <c r="U29" i="194"/>
  <c r="R80" i="283"/>
  <c r="W54" i="468"/>
  <c r="K35" i="284"/>
  <c r="M132" i="194"/>
  <c r="V16" i="194"/>
  <c r="O85" i="283"/>
  <c r="O105" i="275"/>
  <c r="N89" i="284"/>
  <c r="X100" i="194"/>
  <c r="V51" i="284"/>
  <c r="O112" i="284"/>
  <c r="P88" i="278"/>
  <c r="L126" i="194"/>
  <c r="M11" i="283"/>
  <c r="R89" i="283"/>
  <c r="P104" i="194"/>
  <c r="M132" i="282"/>
  <c r="P107" i="284"/>
  <c r="W10" i="194"/>
  <c r="W91" i="194"/>
  <c r="X48" i="283"/>
  <c r="L131" i="194"/>
  <c r="N111" i="194"/>
  <c r="P92" i="280"/>
  <c r="U73" i="284"/>
  <c r="P79" i="284"/>
  <c r="R26" i="284"/>
  <c r="P70" i="283"/>
  <c r="P89" i="280"/>
  <c r="N135" i="280"/>
  <c r="N69" i="284"/>
  <c r="S88" i="278"/>
  <c r="N94" i="282"/>
  <c r="O100" i="283"/>
  <c r="U15" i="284"/>
  <c r="V89" i="275"/>
  <c r="L93" i="282"/>
  <c r="L107" i="194"/>
  <c r="J103" i="280"/>
  <c r="M92" i="282"/>
  <c r="K24" i="194"/>
  <c r="J88" i="194"/>
  <c r="V139" i="284"/>
  <c r="P14" i="194"/>
  <c r="S80" i="278"/>
  <c r="R21" i="194"/>
  <c r="R91" i="279"/>
  <c r="N50" i="284"/>
  <c r="U13" i="280"/>
  <c r="S12" i="194"/>
  <c r="S22" i="194"/>
  <c r="V10" i="275"/>
  <c r="T95" i="194"/>
  <c r="P114" i="282"/>
  <c r="W91" i="278"/>
  <c r="X125" i="284"/>
  <c r="K32" i="194"/>
  <c r="O69" i="283"/>
  <c r="K106" i="283"/>
  <c r="K139" i="194"/>
  <c r="U64" i="194"/>
  <c r="V61" i="279"/>
  <c r="W78" i="278"/>
  <c r="L62" i="278"/>
  <c r="P88" i="275"/>
  <c r="V3" i="284"/>
  <c r="U13" i="284"/>
  <c r="P72" i="275"/>
  <c r="R81" i="281"/>
  <c r="W81" i="194"/>
  <c r="V75" i="283"/>
  <c r="T27" i="194"/>
  <c r="U93" i="283"/>
  <c r="T87" i="280"/>
  <c r="N78" i="194"/>
  <c r="S82" i="275"/>
  <c r="J94" i="284"/>
  <c r="J84" i="283"/>
  <c r="U81" i="275"/>
  <c r="L65" i="280"/>
  <c r="L82" i="281"/>
  <c r="T119" i="282"/>
  <c r="N41" i="280"/>
  <c r="W108" i="284"/>
  <c r="T74" i="279"/>
  <c r="O137" i="284"/>
  <c r="S31" i="284"/>
  <c r="O77" i="284"/>
  <c r="N41" i="284"/>
  <c r="M104" i="194"/>
  <c r="S114" i="194"/>
  <c r="X92" i="284"/>
  <c r="X41" i="278"/>
  <c r="K74" i="283"/>
  <c r="O31" i="194"/>
  <c r="J35" i="281"/>
  <c r="J83" i="194"/>
  <c r="M24" i="275"/>
  <c r="M31" i="194"/>
  <c r="P55" i="468"/>
  <c r="J78" i="284"/>
  <c r="K90" i="280"/>
  <c r="M73" i="194"/>
  <c r="O130" i="283"/>
  <c r="L94" i="280"/>
  <c r="L127" i="280"/>
  <c r="M41" i="194"/>
  <c r="J88" i="283"/>
  <c r="M50" i="280"/>
  <c r="S114" i="284"/>
  <c r="M78" i="281"/>
  <c r="R138" i="194"/>
  <c r="T79" i="280"/>
  <c r="L94" i="282"/>
  <c r="U126" i="282"/>
  <c r="S35" i="194"/>
  <c r="P60" i="194"/>
  <c r="L54" i="468"/>
  <c r="N96" i="283"/>
  <c r="M82" i="284"/>
  <c r="O130" i="284"/>
  <c r="S93" i="280"/>
  <c r="P94" i="278"/>
  <c r="W42" i="284"/>
  <c r="S7" i="279"/>
  <c r="W80" i="275"/>
  <c r="V39" i="283"/>
  <c r="M120" i="282"/>
  <c r="K59" i="284"/>
  <c r="P14" i="283"/>
  <c r="U92" i="284"/>
  <c r="X86" i="281"/>
  <c r="S94" i="280"/>
  <c r="P79" i="282"/>
  <c r="P127" i="282"/>
  <c r="N65" i="194"/>
  <c r="T79" i="284"/>
  <c r="S135" i="280"/>
  <c r="T26" i="284"/>
  <c r="O5" i="194"/>
  <c r="S18" i="284"/>
  <c r="L31" i="194"/>
  <c r="N34" i="284"/>
  <c r="U133" i="281"/>
  <c r="T96" i="279"/>
  <c r="X108" i="194"/>
  <c r="J85" i="281"/>
  <c r="M131" i="284"/>
  <c r="V65" i="283"/>
  <c r="R128" i="194"/>
  <c r="U127" i="281"/>
  <c r="L44" i="280"/>
  <c r="O77" i="278"/>
  <c r="O9" i="194"/>
  <c r="J134" i="278"/>
  <c r="U69" i="194"/>
  <c r="W88" i="275"/>
  <c r="W95" i="278"/>
  <c r="X31" i="282"/>
  <c r="T56" i="280"/>
  <c r="R78" i="283"/>
  <c r="J76" i="194"/>
  <c r="P109" i="468"/>
  <c r="M120" i="284"/>
  <c r="W115" i="284"/>
  <c r="W79" i="284"/>
  <c r="K20" i="281"/>
  <c r="O106" i="282"/>
  <c r="U82" i="280"/>
  <c r="J102" i="284"/>
  <c r="L93" i="284"/>
  <c r="K120" i="283"/>
  <c r="K129" i="283"/>
  <c r="L90" i="278"/>
  <c r="K81" i="283"/>
  <c r="L71" i="284"/>
  <c r="T24" i="468"/>
  <c r="X81" i="283"/>
  <c r="T65" i="279"/>
  <c r="K140" i="278"/>
  <c r="L45" i="194"/>
  <c r="K3" i="281"/>
  <c r="W89" i="275"/>
  <c r="P9" i="283"/>
  <c r="V68" i="283"/>
  <c r="N88" i="279"/>
  <c r="S86" i="283"/>
  <c r="V123" i="284"/>
  <c r="S117" i="284"/>
  <c r="M62" i="279"/>
  <c r="N85" i="278"/>
  <c r="J62" i="282"/>
  <c r="W67" i="282"/>
  <c r="V101" i="283"/>
  <c r="N124" i="282"/>
  <c r="W81" i="275"/>
  <c r="M85" i="283"/>
  <c r="X81" i="279"/>
  <c r="U91" i="282"/>
  <c r="W35" i="194"/>
  <c r="R29" i="284"/>
  <c r="L115" i="194"/>
  <c r="O36" i="281"/>
  <c r="W129" i="279"/>
  <c r="W77" i="279"/>
  <c r="L133" i="275"/>
  <c r="M76" i="194"/>
  <c r="V56" i="278"/>
  <c r="N82" i="282"/>
  <c r="X119" i="194"/>
  <c r="R14" i="282"/>
  <c r="W18" i="282"/>
  <c r="M73" i="279"/>
  <c r="K13" i="194"/>
  <c r="K91" i="280"/>
  <c r="J54" i="279"/>
  <c r="P15" i="194"/>
  <c r="X102" i="283"/>
  <c r="V61" i="284"/>
  <c r="V80" i="282"/>
  <c r="M67" i="279"/>
  <c r="V25" i="284"/>
  <c r="V139" i="282"/>
  <c r="P14" i="278"/>
  <c r="J78" i="280"/>
  <c r="L53" i="283"/>
  <c r="T81" i="280"/>
  <c r="K95" i="470"/>
  <c r="W42" i="283"/>
  <c r="N63" i="282"/>
  <c r="P77" i="283"/>
  <c r="R131" i="194"/>
  <c r="T89" i="278"/>
  <c r="P92" i="279"/>
  <c r="J132" i="194"/>
  <c r="J130" i="283"/>
  <c r="U85" i="278"/>
  <c r="X81" i="281"/>
  <c r="X94" i="281"/>
  <c r="X72" i="275"/>
  <c r="T25" i="194"/>
  <c r="V58" i="283"/>
  <c r="K123" i="194"/>
  <c r="K137" i="280"/>
  <c r="L86" i="281"/>
  <c r="R84" i="281"/>
  <c r="N67" i="283"/>
  <c r="T48" i="283"/>
  <c r="X88" i="194"/>
  <c r="U140" i="468"/>
  <c r="R20" i="284"/>
  <c r="K6" i="275"/>
  <c r="S92" i="284"/>
  <c r="O91" i="281"/>
  <c r="K58" i="194"/>
  <c r="P59" i="283"/>
  <c r="X12" i="283"/>
  <c r="O124" i="281"/>
  <c r="J85" i="275"/>
  <c r="O50" i="194"/>
  <c r="R9" i="284"/>
  <c r="O85" i="284"/>
  <c r="V94" i="284"/>
  <c r="S92" i="282"/>
  <c r="X83" i="194"/>
  <c r="X41" i="194"/>
  <c r="O22" i="194"/>
  <c r="U125" i="284"/>
  <c r="J40" i="282"/>
  <c r="X117" i="275"/>
  <c r="M41" i="275"/>
  <c r="N14" i="283"/>
  <c r="S88" i="282"/>
  <c r="K41" i="194"/>
  <c r="V87" i="278"/>
  <c r="U88" i="279"/>
  <c r="X14" i="283"/>
  <c r="K83" i="194"/>
  <c r="V111" i="284"/>
  <c r="M78" i="194"/>
  <c r="U29" i="282"/>
  <c r="T135" i="194"/>
  <c r="X80" i="278"/>
  <c r="O86" i="275"/>
  <c r="W97" i="278"/>
  <c r="R68" i="194"/>
  <c r="O71" i="284"/>
  <c r="N120" i="284"/>
  <c r="S110" i="283"/>
  <c r="K124" i="283"/>
  <c r="U48" i="280"/>
  <c r="W90" i="194"/>
  <c r="P81" i="281"/>
  <c r="U79" i="284"/>
  <c r="O40" i="283"/>
  <c r="O91" i="279"/>
  <c r="R128" i="283"/>
  <c r="V57" i="281"/>
  <c r="T93" i="282"/>
  <c r="M63" i="283"/>
  <c r="O52" i="194"/>
  <c r="N6" i="282"/>
  <c r="T28" i="281"/>
  <c r="P85" i="283"/>
  <c r="T77" i="283"/>
  <c r="V94" i="281"/>
  <c r="U4" i="284"/>
  <c r="S37" i="284"/>
  <c r="N85" i="279"/>
  <c r="K96" i="284"/>
  <c r="U101" i="280"/>
  <c r="X43" i="283"/>
  <c r="J82" i="275"/>
  <c r="N91" i="284"/>
  <c r="K28" i="284"/>
  <c r="L48" i="282"/>
  <c r="S84" i="284"/>
  <c r="K114" i="278"/>
  <c r="J118" i="194"/>
  <c r="L111" i="283"/>
  <c r="U95" i="282"/>
  <c r="U134" i="468"/>
  <c r="X99" i="283"/>
  <c r="O79" i="280"/>
  <c r="V3" i="468"/>
  <c r="O80" i="283"/>
  <c r="S79" i="280"/>
  <c r="X86" i="282"/>
  <c r="U3" i="283"/>
  <c r="X87" i="279"/>
  <c r="K121" i="282"/>
  <c r="U130" i="278"/>
  <c r="U35" i="284"/>
  <c r="L132" i="283"/>
  <c r="V60" i="282"/>
  <c r="M84" i="284"/>
  <c r="W39" i="282"/>
  <c r="N116" i="283"/>
  <c r="L110" i="281"/>
  <c r="U19" i="284"/>
  <c r="S60" i="275"/>
  <c r="S94" i="282"/>
  <c r="S23" i="283"/>
  <c r="N90" i="194"/>
  <c r="W102" i="194"/>
  <c r="S119" i="281"/>
  <c r="W133" i="278"/>
  <c r="N110" i="468"/>
  <c r="T89" i="275"/>
  <c r="X79" i="282"/>
  <c r="J77" i="194"/>
  <c r="N88" i="275"/>
  <c r="O106" i="284"/>
  <c r="R86" i="282"/>
  <c r="K76" i="275"/>
  <c r="W83" i="280"/>
  <c r="T116" i="194"/>
  <c r="X86" i="275"/>
  <c r="O127" i="194"/>
  <c r="U96" i="284"/>
  <c r="J85" i="282"/>
  <c r="M27" i="468"/>
  <c r="O4" i="283"/>
  <c r="S88" i="275"/>
  <c r="U103" i="283"/>
  <c r="L100" i="194"/>
  <c r="N101" i="284"/>
  <c r="K111" i="194"/>
  <c r="X84" i="194"/>
  <c r="J82" i="194"/>
  <c r="N39" i="194"/>
  <c r="P88" i="281"/>
  <c r="O76" i="194"/>
  <c r="K93" i="280"/>
  <c r="P134" i="275"/>
  <c r="U88" i="283"/>
  <c r="P50" i="194"/>
  <c r="P56" i="278"/>
  <c r="W139" i="284"/>
  <c r="R88" i="279"/>
  <c r="L51" i="282"/>
  <c r="M79" i="284"/>
  <c r="U62" i="283"/>
  <c r="J99" i="278"/>
  <c r="O65" i="194"/>
  <c r="O71" i="194"/>
  <c r="W83" i="275"/>
  <c r="X36" i="279"/>
  <c r="P41" i="278"/>
  <c r="W36" i="281"/>
  <c r="O101" i="194"/>
  <c r="R131" i="283"/>
  <c r="S77" i="278"/>
  <c r="W106" i="194"/>
  <c r="K58" i="282"/>
  <c r="O123" i="194"/>
  <c r="N93" i="280"/>
  <c r="S77" i="282"/>
  <c r="M23" i="194"/>
  <c r="T56" i="284"/>
  <c r="T130" i="282"/>
  <c r="K126" i="194"/>
  <c r="U131" i="283"/>
  <c r="L57" i="281"/>
  <c r="J131" i="194"/>
  <c r="K55" i="278"/>
  <c r="M77" i="279"/>
  <c r="R67" i="284"/>
  <c r="O3" i="285"/>
  <c r="W50" i="194"/>
  <c r="U56" i="284"/>
  <c r="W49" i="284"/>
  <c r="V113" i="283"/>
  <c r="K97" i="283"/>
  <c r="S86" i="284"/>
  <c r="M9" i="194"/>
  <c r="N110" i="282"/>
  <c r="X47" i="194"/>
  <c r="X5" i="283"/>
  <c r="K79" i="278"/>
  <c r="N71" i="284"/>
  <c r="R43" i="284"/>
  <c r="W95" i="275"/>
  <c r="S121" i="194"/>
  <c r="L134" i="194"/>
  <c r="U75" i="194"/>
  <c r="R74" i="282"/>
  <c r="P56" i="279"/>
  <c r="K86" i="278"/>
  <c r="M79" i="279"/>
  <c r="M8" i="194"/>
  <c r="R112" i="282"/>
  <c r="R96" i="278"/>
  <c r="S97" i="283"/>
  <c r="K80" i="284"/>
  <c r="T97" i="279"/>
  <c r="J100" i="280"/>
  <c r="X100" i="284"/>
  <c r="P122" i="284"/>
  <c r="J58" i="280"/>
  <c r="O108" i="284"/>
  <c r="L20" i="284"/>
  <c r="P46" i="284"/>
  <c r="L76" i="282"/>
  <c r="W13" i="284"/>
  <c r="T136" i="284"/>
  <c r="J132" i="284"/>
  <c r="X29" i="194"/>
  <c r="K117" i="275"/>
  <c r="T80" i="275"/>
  <c r="O136" i="283"/>
  <c r="R120" i="279"/>
  <c r="T92" i="278"/>
  <c r="K39" i="275"/>
  <c r="M16" i="284"/>
  <c r="V54" i="282"/>
  <c r="T58" i="282"/>
  <c r="O105" i="282"/>
  <c r="W31" i="194"/>
  <c r="X132" i="280"/>
  <c r="M120" i="281"/>
  <c r="L69" i="282"/>
  <c r="L126" i="282"/>
  <c r="M76" i="282"/>
  <c r="S54" i="284"/>
  <c r="W40" i="194"/>
  <c r="M68" i="282"/>
  <c r="R63" i="194"/>
  <c r="W122" i="275"/>
  <c r="M87" i="281"/>
  <c r="X36" i="282"/>
  <c r="V86" i="275"/>
  <c r="O73" i="194"/>
  <c r="K79" i="275"/>
  <c r="N93" i="278"/>
  <c r="T82" i="280"/>
  <c r="P103" i="194"/>
  <c r="J82" i="284"/>
  <c r="L78" i="283"/>
  <c r="U91" i="194"/>
  <c r="N117" i="281"/>
  <c r="W52" i="470"/>
  <c r="U126" i="279"/>
  <c r="J127" i="284"/>
  <c r="S82" i="282"/>
  <c r="S123" i="282"/>
  <c r="N60" i="194"/>
  <c r="V99" i="284"/>
  <c r="X98" i="282"/>
  <c r="J38" i="283"/>
  <c r="R72" i="280"/>
  <c r="U52" i="278"/>
  <c r="M85" i="284"/>
  <c r="J77" i="282"/>
  <c r="N81" i="283"/>
  <c r="X76" i="283"/>
  <c r="J101" i="284"/>
  <c r="X54" i="194"/>
  <c r="J16" i="194"/>
  <c r="U20" i="279"/>
  <c r="S39" i="284"/>
  <c r="M90" i="194"/>
  <c r="V102" i="283"/>
  <c r="N45" i="283"/>
  <c r="W11" i="283"/>
  <c r="N7" i="282"/>
  <c r="J71" i="194"/>
  <c r="W137" i="194"/>
  <c r="J8" i="194"/>
  <c r="P20" i="194"/>
  <c r="M77" i="283"/>
  <c r="V85" i="275"/>
  <c r="R102" i="278"/>
  <c r="P78" i="194"/>
  <c r="R77" i="281"/>
  <c r="P19" i="282"/>
  <c r="W86" i="278"/>
  <c r="X55" i="194"/>
  <c r="K11" i="283"/>
  <c r="R48" i="282"/>
  <c r="O90" i="284"/>
  <c r="R81" i="279"/>
  <c r="P25" i="283"/>
  <c r="N6" i="284"/>
  <c r="N107" i="284"/>
  <c r="T24" i="282"/>
  <c r="S56" i="280"/>
  <c r="S94" i="275"/>
  <c r="R97" i="280"/>
  <c r="X84" i="280"/>
  <c r="M111" i="278"/>
  <c r="M25" i="281"/>
  <c r="L118" i="283"/>
  <c r="P63" i="284"/>
  <c r="W55" i="279"/>
  <c r="X38" i="283"/>
  <c r="L56" i="194"/>
  <c r="K89" i="283"/>
  <c r="P55" i="278"/>
  <c r="L32" i="280"/>
  <c r="U76" i="194"/>
  <c r="T96" i="281"/>
  <c r="S65" i="284"/>
  <c r="W61" i="281"/>
  <c r="N128" i="194"/>
  <c r="X29" i="284"/>
  <c r="S34" i="194"/>
  <c r="J128" i="283"/>
  <c r="R134" i="275"/>
  <c r="O112" i="279"/>
  <c r="T40" i="470"/>
  <c r="N90" i="275"/>
  <c r="M68" i="284"/>
  <c r="O42" i="194"/>
  <c r="M118" i="275"/>
  <c r="N100" i="281"/>
  <c r="R123" i="280"/>
  <c r="T115" i="275"/>
  <c r="R17" i="279"/>
  <c r="N55" i="468"/>
  <c r="M54" i="468"/>
  <c r="K62" i="279"/>
  <c r="J34" i="283"/>
  <c r="P133" i="280"/>
  <c r="T14" i="284"/>
  <c r="J83" i="275"/>
  <c r="K91" i="282"/>
  <c r="M67" i="282"/>
  <c r="L33" i="284"/>
  <c r="L108" i="282"/>
  <c r="P41" i="283"/>
  <c r="T64" i="282"/>
  <c r="P54" i="194"/>
  <c r="O108" i="282"/>
  <c r="R110" i="281"/>
  <c r="L5" i="275"/>
  <c r="P114" i="279"/>
  <c r="N105" i="282"/>
  <c r="V132" i="283"/>
  <c r="L54" i="280"/>
  <c r="V113" i="194"/>
  <c r="K75" i="281"/>
  <c r="N111" i="283"/>
  <c r="S138" i="283"/>
  <c r="K66" i="278"/>
  <c r="R96" i="194"/>
  <c r="S107" i="284"/>
  <c r="S49" i="284"/>
  <c r="O65" i="284"/>
  <c r="S103" i="283"/>
  <c r="W51" i="194"/>
  <c r="P124" i="470"/>
  <c r="T30" i="194"/>
  <c r="R23" i="194"/>
  <c r="P86" i="284"/>
  <c r="X5" i="278"/>
  <c r="W77" i="283"/>
  <c r="S68" i="278"/>
  <c r="X96" i="278"/>
  <c r="J15" i="470"/>
  <c r="T105" i="284"/>
  <c r="U75" i="284"/>
  <c r="L55" i="194"/>
  <c r="U13" i="194"/>
  <c r="T21" i="194"/>
  <c r="N45" i="281"/>
  <c r="N89" i="278"/>
  <c r="J55" i="194"/>
  <c r="X7" i="283"/>
  <c r="V98" i="281"/>
  <c r="T132" i="470"/>
  <c r="T34" i="194"/>
  <c r="T37" i="283"/>
  <c r="L119" i="284"/>
  <c r="O49" i="283"/>
  <c r="U81" i="470"/>
  <c r="W84" i="278"/>
  <c r="K15" i="194"/>
  <c r="O91" i="283"/>
  <c r="W75" i="279"/>
  <c r="N124" i="283"/>
  <c r="V64" i="282"/>
  <c r="L131" i="284"/>
  <c r="V17" i="279"/>
  <c r="T101" i="194"/>
  <c r="T95" i="284"/>
  <c r="S110" i="194"/>
  <c r="N111" i="282"/>
  <c r="M43" i="283"/>
  <c r="O94" i="280"/>
  <c r="N70" i="282"/>
  <c r="R95" i="280"/>
  <c r="S104" i="282"/>
  <c r="V127" i="194"/>
  <c r="J77" i="275"/>
  <c r="K50" i="194"/>
  <c r="L42" i="284"/>
  <c r="N13" i="283"/>
  <c r="J16" i="284"/>
  <c r="R86" i="280"/>
  <c r="P6" i="284"/>
  <c r="M32" i="194"/>
  <c r="N50" i="194"/>
  <c r="T133" i="194"/>
  <c r="V107" i="281"/>
  <c r="J85" i="284"/>
  <c r="N89" i="279"/>
  <c r="V29" i="284"/>
  <c r="L83" i="194"/>
  <c r="P62" i="281"/>
  <c r="L135" i="194"/>
  <c r="K72" i="283"/>
  <c r="V72" i="280"/>
  <c r="W28" i="194"/>
  <c r="V109" i="284"/>
  <c r="W57" i="281"/>
  <c r="K96" i="194"/>
  <c r="J25" i="194"/>
  <c r="L83" i="278"/>
  <c r="J109" i="279"/>
  <c r="V80" i="281"/>
  <c r="V112" i="194"/>
  <c r="J67" i="284"/>
  <c r="L82" i="275"/>
  <c r="S33" i="194"/>
  <c r="T79" i="281"/>
  <c r="J56" i="194"/>
  <c r="T134" i="281"/>
  <c r="W8" i="281"/>
  <c r="N67" i="194"/>
  <c r="S6" i="194"/>
  <c r="K85" i="284"/>
  <c r="T129" i="284"/>
  <c r="K85" i="278"/>
  <c r="R97" i="194"/>
  <c r="N56" i="283"/>
  <c r="R126" i="194"/>
  <c r="U41" i="194"/>
  <c r="V141" i="281"/>
  <c r="M31" i="284"/>
  <c r="P67" i="280"/>
  <c r="L20" i="282"/>
  <c r="U101" i="283"/>
  <c r="V23" i="282"/>
  <c r="V91" i="279"/>
  <c r="U113" i="284"/>
  <c r="S22" i="283"/>
  <c r="J59" i="468"/>
  <c r="J7" i="284"/>
  <c r="V27" i="282"/>
  <c r="N136" i="275"/>
  <c r="O42" i="468"/>
  <c r="R89" i="275"/>
  <c r="K33" i="283"/>
  <c r="L101" i="281"/>
  <c r="W111" i="281"/>
  <c r="L56" i="279"/>
  <c r="W69" i="280"/>
  <c r="V94" i="282"/>
  <c r="J62" i="280"/>
  <c r="V75" i="278"/>
  <c r="U42" i="468"/>
  <c r="V20" i="283"/>
  <c r="N119" i="281"/>
  <c r="J106" i="284"/>
  <c r="J49" i="283"/>
  <c r="P79" i="194"/>
  <c r="P30" i="283"/>
  <c r="K16" i="281"/>
  <c r="R40" i="283"/>
  <c r="N120" i="283"/>
  <c r="V12" i="194"/>
  <c r="R56" i="280"/>
  <c r="O138" i="283"/>
  <c r="L7" i="275"/>
  <c r="W6" i="282"/>
  <c r="K94" i="284"/>
  <c r="P94" i="194"/>
  <c r="X94" i="194"/>
  <c r="N51" i="194"/>
  <c r="S61" i="283"/>
  <c r="J35" i="280"/>
  <c r="N19" i="194"/>
  <c r="S5" i="283"/>
  <c r="V77" i="282"/>
  <c r="R41" i="194"/>
  <c r="L101" i="194"/>
  <c r="W83" i="279"/>
  <c r="U21" i="280"/>
  <c r="P89" i="278"/>
  <c r="U68" i="281"/>
  <c r="P74" i="281"/>
  <c r="P80" i="282"/>
  <c r="P36" i="194"/>
  <c r="U17" i="194"/>
  <c r="M139" i="194"/>
  <c r="N35" i="194"/>
  <c r="J111" i="282"/>
  <c r="P24" i="284"/>
  <c r="L59" i="281"/>
  <c r="K43" i="280"/>
  <c r="K94" i="194"/>
  <c r="P79" i="275"/>
  <c r="L18" i="278"/>
  <c r="W97" i="282"/>
  <c r="W30" i="278"/>
  <c r="K15" i="284"/>
  <c r="L125" i="284"/>
  <c r="S48" i="284"/>
  <c r="K128" i="283"/>
  <c r="M39" i="282"/>
  <c r="T90" i="283"/>
  <c r="X55" i="275"/>
  <c r="M136" i="279"/>
  <c r="R51" i="284"/>
  <c r="W23" i="283"/>
  <c r="N52" i="281"/>
  <c r="O58" i="283"/>
  <c r="N23" i="279"/>
  <c r="J115" i="284"/>
  <c r="P66" i="282"/>
  <c r="R101" i="282"/>
  <c r="S52" i="283"/>
  <c r="P103" i="278"/>
  <c r="J69" i="281"/>
  <c r="X83" i="275"/>
  <c r="R82" i="278"/>
  <c r="R77" i="283"/>
  <c r="W35" i="283"/>
  <c r="P56" i="194"/>
  <c r="K36" i="281"/>
  <c r="X75" i="281"/>
  <c r="L42" i="282"/>
  <c r="P119" i="282"/>
  <c r="O94" i="284"/>
  <c r="V117" i="283"/>
  <c r="T9" i="468"/>
  <c r="J27" i="280"/>
  <c r="O54" i="283"/>
  <c r="P37" i="282"/>
  <c r="M95" i="283"/>
  <c r="N129" i="194"/>
  <c r="T45" i="283"/>
  <c r="O57" i="281"/>
  <c r="T71" i="280"/>
  <c r="O54" i="282"/>
  <c r="O40" i="281"/>
  <c r="J120" i="284"/>
  <c r="K97" i="279"/>
  <c r="T9" i="283"/>
  <c r="X89" i="281"/>
  <c r="L27" i="279"/>
  <c r="W107" i="194"/>
  <c r="R114" i="284"/>
  <c r="U130" i="194"/>
  <c r="M53" i="281"/>
  <c r="W12" i="282"/>
  <c r="W109" i="282"/>
  <c r="T54" i="284"/>
  <c r="X9" i="280"/>
  <c r="R64" i="194"/>
  <c r="U51" i="194"/>
  <c r="N138" i="194"/>
  <c r="U97" i="279"/>
  <c r="L98" i="279"/>
  <c r="K94" i="282"/>
  <c r="N48" i="282"/>
  <c r="O89" i="282"/>
  <c r="V137" i="283"/>
  <c r="N43" i="283"/>
  <c r="X27" i="275"/>
  <c r="O73" i="468"/>
  <c r="O25" i="275"/>
  <c r="M109" i="279"/>
  <c r="V110" i="194"/>
  <c r="U78" i="281"/>
  <c r="T94" i="278"/>
  <c r="X21" i="280"/>
  <c r="K60" i="283"/>
  <c r="J18" i="468"/>
  <c r="M119" i="194"/>
  <c r="T121" i="194"/>
  <c r="V37" i="282"/>
  <c r="R26" i="194"/>
  <c r="L17" i="282"/>
  <c r="M55" i="282"/>
  <c r="T128" i="282"/>
  <c r="V122" i="283"/>
  <c r="O15" i="283"/>
  <c r="N18" i="282"/>
  <c r="W117" i="283"/>
  <c r="L49" i="281"/>
  <c r="X130" i="468"/>
  <c r="X56" i="278"/>
  <c r="U17" i="280"/>
  <c r="R42" i="275"/>
  <c r="L56" i="282"/>
  <c r="J57" i="282"/>
  <c r="W65" i="284"/>
  <c r="M55" i="278"/>
  <c r="M55" i="468"/>
  <c r="K3" i="279"/>
  <c r="P108" i="282"/>
  <c r="J98" i="280"/>
  <c r="W56" i="194"/>
  <c r="M108" i="194"/>
  <c r="P88" i="280"/>
  <c r="T87" i="278"/>
  <c r="M131" i="281"/>
  <c r="U110" i="283"/>
  <c r="T76" i="284"/>
  <c r="X112" i="284"/>
  <c r="N8" i="282"/>
  <c r="R82" i="283"/>
  <c r="X21" i="194"/>
  <c r="O3" i="283"/>
  <c r="U52" i="194"/>
  <c r="J68" i="284"/>
  <c r="V126" i="279"/>
  <c r="L121" i="194"/>
  <c r="O94" i="278"/>
  <c r="W92" i="281"/>
  <c r="X53" i="282"/>
  <c r="K92" i="281"/>
  <c r="U122" i="284"/>
  <c r="V127" i="281"/>
  <c r="V30" i="283"/>
  <c r="W113" i="284"/>
  <c r="V98" i="282"/>
  <c r="R100" i="283"/>
  <c r="J31" i="284"/>
  <c r="P52" i="283"/>
  <c r="O125" i="284"/>
  <c r="U135" i="280"/>
  <c r="R78" i="278"/>
  <c r="W136" i="278"/>
  <c r="X76" i="282"/>
  <c r="N134" i="468"/>
  <c r="X33" i="281"/>
  <c r="X15" i="282"/>
  <c r="R14" i="284"/>
  <c r="T20" i="194"/>
  <c r="W116" i="280"/>
  <c r="K53" i="194"/>
  <c r="V77" i="279"/>
  <c r="K60" i="468"/>
  <c r="T134" i="282"/>
  <c r="U78" i="282"/>
  <c r="N76" i="284"/>
  <c r="N125" i="278"/>
  <c r="T55" i="284"/>
  <c r="L139" i="279"/>
  <c r="L62" i="284"/>
  <c r="R83" i="284"/>
  <c r="P69" i="278"/>
  <c r="K44" i="194"/>
  <c r="M33" i="281"/>
  <c r="J92" i="194"/>
  <c r="T7" i="278"/>
  <c r="X101" i="282"/>
  <c r="X40" i="194"/>
  <c r="W75" i="283"/>
  <c r="W74" i="284"/>
  <c r="U81" i="281"/>
  <c r="P87" i="194"/>
  <c r="X26" i="284"/>
  <c r="L75" i="279"/>
  <c r="S51" i="283"/>
  <c r="M109" i="278"/>
  <c r="T94" i="283"/>
  <c r="X41" i="282"/>
  <c r="R95" i="194"/>
  <c r="T62" i="279"/>
  <c r="V54" i="281"/>
  <c r="L46" i="194"/>
  <c r="J84" i="275"/>
  <c r="K22" i="284"/>
  <c r="M83" i="281"/>
  <c r="M89" i="281"/>
  <c r="M37" i="279"/>
  <c r="U78" i="194"/>
  <c r="V12" i="283"/>
  <c r="X87" i="275"/>
  <c r="J114" i="278"/>
  <c r="S111" i="284"/>
  <c r="K25" i="280"/>
  <c r="R96" i="281"/>
  <c r="W93" i="468"/>
  <c r="P75" i="194"/>
  <c r="T5" i="284"/>
  <c r="P96" i="282"/>
  <c r="W137" i="284"/>
  <c r="O41" i="280"/>
  <c r="U75" i="282"/>
  <c r="V126" i="284"/>
  <c r="P37" i="284"/>
  <c r="K71" i="280"/>
  <c r="R133" i="282"/>
  <c r="M63" i="282"/>
  <c r="T43" i="468"/>
  <c r="W72" i="279"/>
  <c r="M114" i="282"/>
  <c r="N72" i="284"/>
  <c r="K132" i="284"/>
  <c r="R107" i="283"/>
  <c r="W74" i="283"/>
  <c r="W132" i="275"/>
  <c r="J106" i="281"/>
  <c r="M115" i="284"/>
  <c r="L40" i="468"/>
  <c r="K112" i="283"/>
  <c r="W110" i="278"/>
  <c r="W113" i="194"/>
  <c r="K12" i="283"/>
  <c r="M112" i="284"/>
  <c r="U84" i="194"/>
  <c r="S96" i="275"/>
  <c r="K102" i="194"/>
  <c r="V10" i="283"/>
  <c r="N79" i="281"/>
  <c r="V55" i="279"/>
  <c r="P140" i="282"/>
  <c r="M127" i="283"/>
  <c r="U93" i="278"/>
  <c r="R54" i="468"/>
  <c r="M72" i="194"/>
  <c r="P85" i="280"/>
  <c r="O82" i="282"/>
  <c r="T41" i="194"/>
  <c r="R129" i="284"/>
  <c r="T68" i="284"/>
  <c r="O72" i="283"/>
  <c r="N4" i="275"/>
  <c r="U123" i="282"/>
  <c r="U5" i="281"/>
  <c r="T108" i="282"/>
  <c r="W97" i="284"/>
  <c r="S77" i="194"/>
  <c r="M14" i="279"/>
  <c r="V39" i="278"/>
  <c r="R19" i="284"/>
  <c r="S44" i="194"/>
  <c r="K40" i="282"/>
  <c r="L100" i="282"/>
  <c r="U93" i="281"/>
  <c r="P104" i="282"/>
  <c r="U61" i="283"/>
  <c r="N100" i="194"/>
  <c r="S120" i="283"/>
  <c r="X79" i="284"/>
  <c r="X48" i="281"/>
  <c r="P4" i="468"/>
  <c r="L72" i="194"/>
  <c r="W75" i="284"/>
  <c r="P123" i="284"/>
  <c r="V99" i="283"/>
  <c r="L88" i="281"/>
  <c r="S81" i="194"/>
  <c r="V93" i="280"/>
  <c r="R11" i="280"/>
  <c r="P137" i="468"/>
  <c r="J49" i="278"/>
  <c r="V90" i="194"/>
  <c r="R46" i="283"/>
  <c r="J76" i="282"/>
  <c r="N86" i="194"/>
  <c r="T87" i="284"/>
  <c r="T60" i="194"/>
  <c r="R83" i="278"/>
  <c r="S80" i="283"/>
  <c r="P38" i="284"/>
  <c r="W104" i="279"/>
  <c r="K68" i="282"/>
  <c r="J133" i="284"/>
  <c r="O137" i="282"/>
  <c r="X76" i="279"/>
  <c r="U56" i="283"/>
  <c r="L58" i="279"/>
  <c r="J9" i="280"/>
  <c r="L121" i="282"/>
  <c r="X45" i="282"/>
  <c r="N34" i="275"/>
  <c r="P43" i="194"/>
  <c r="S132" i="282"/>
  <c r="X51" i="470"/>
  <c r="P91" i="279"/>
  <c r="M78" i="279"/>
  <c r="X18" i="275"/>
  <c r="P28" i="194"/>
  <c r="M92" i="280"/>
  <c r="W88" i="468"/>
  <c r="J76" i="283"/>
  <c r="N57" i="284"/>
  <c r="W122" i="282"/>
  <c r="J53" i="194"/>
  <c r="W91" i="280"/>
  <c r="P117" i="281"/>
  <c r="X132" i="281"/>
  <c r="J103" i="194"/>
  <c r="S124" i="284"/>
  <c r="X82" i="282"/>
  <c r="M97" i="284"/>
  <c r="S81" i="468"/>
  <c r="N28" i="282"/>
  <c r="O51" i="284"/>
  <c r="X38" i="280"/>
  <c r="P3" i="283"/>
  <c r="P117" i="279"/>
  <c r="T130" i="284"/>
  <c r="M59" i="284"/>
  <c r="T67" i="284"/>
  <c r="P28" i="283"/>
  <c r="P116" i="280"/>
  <c r="R63" i="283"/>
  <c r="T123" i="282"/>
  <c r="M102" i="194"/>
  <c r="L79" i="281"/>
  <c r="O100" i="282"/>
  <c r="R70" i="280"/>
  <c r="X129" i="284"/>
  <c r="M72" i="284"/>
  <c r="J98" i="278"/>
  <c r="T73" i="468"/>
  <c r="O100" i="468"/>
  <c r="O57" i="194"/>
  <c r="M108" i="284"/>
  <c r="V104" i="283"/>
  <c r="U113" i="282"/>
  <c r="X6" i="284"/>
  <c r="U16" i="283"/>
  <c r="S85" i="275"/>
  <c r="R20" i="279"/>
  <c r="U84" i="275"/>
  <c r="T8" i="279"/>
  <c r="X54" i="282"/>
  <c r="T103" i="279"/>
  <c r="V104" i="281"/>
  <c r="K107" i="284"/>
  <c r="T35" i="280"/>
  <c r="S126" i="275"/>
  <c r="M42" i="280"/>
  <c r="P136" i="275"/>
  <c r="J64" i="194"/>
  <c r="L114" i="194"/>
  <c r="W82" i="278"/>
  <c r="U87" i="283"/>
  <c r="W45" i="282"/>
  <c r="U129" i="194"/>
  <c r="T103" i="281"/>
  <c r="U50" i="275"/>
  <c r="X77" i="275"/>
  <c r="N102" i="194"/>
  <c r="L32" i="194"/>
  <c r="P81" i="284"/>
  <c r="S128" i="275"/>
  <c r="M94" i="278"/>
  <c r="V91" i="194"/>
  <c r="X65" i="283"/>
  <c r="R34" i="194"/>
  <c r="L105" i="194"/>
  <c r="U99" i="281"/>
  <c r="N122" i="284"/>
  <c r="W111" i="194"/>
  <c r="U140" i="279"/>
  <c r="T15" i="278"/>
  <c r="M46" i="284"/>
  <c r="N121" i="194"/>
  <c r="O87" i="280"/>
  <c r="V81" i="468"/>
  <c r="L38" i="194"/>
  <c r="O39" i="284"/>
  <c r="K53" i="468"/>
  <c r="S54" i="468"/>
  <c r="R14" i="283"/>
  <c r="V81" i="281"/>
  <c r="J7" i="194"/>
  <c r="O68" i="280"/>
  <c r="M6" i="284"/>
  <c r="T128" i="284"/>
  <c r="O19" i="281"/>
  <c r="K34" i="279"/>
  <c r="U83" i="278"/>
  <c r="R112" i="284"/>
  <c r="T56" i="281"/>
  <c r="P66" i="280"/>
  <c r="V80" i="284"/>
  <c r="O50" i="284"/>
  <c r="W81" i="281"/>
  <c r="S79" i="282"/>
  <c r="P11" i="284"/>
  <c r="T126" i="278"/>
  <c r="M83" i="278"/>
  <c r="K37" i="284"/>
  <c r="W84" i="468"/>
  <c r="L78" i="468"/>
  <c r="V130" i="283"/>
  <c r="X63" i="279"/>
  <c r="K81" i="279"/>
  <c r="S58" i="194"/>
  <c r="U121" i="280"/>
  <c r="M117" i="282"/>
  <c r="V42" i="281"/>
  <c r="V121" i="194"/>
  <c r="T26" i="283"/>
  <c r="S27" i="284"/>
  <c r="T36" i="284"/>
  <c r="P21" i="284"/>
  <c r="T57" i="284"/>
  <c r="R97" i="282"/>
  <c r="J33" i="284"/>
  <c r="L102" i="281"/>
  <c r="N103" i="283"/>
  <c r="M96" i="281"/>
  <c r="R69" i="284"/>
  <c r="X5" i="284"/>
  <c r="X95" i="278"/>
  <c r="K55" i="280"/>
  <c r="K28" i="194"/>
  <c r="M105" i="284"/>
  <c r="S92" i="275"/>
  <c r="M105" i="283"/>
  <c r="W106" i="282"/>
  <c r="V68" i="280"/>
  <c r="N49" i="283"/>
  <c r="R80" i="278"/>
  <c r="P118" i="282"/>
  <c r="W62" i="284"/>
  <c r="L58" i="194"/>
  <c r="J67" i="281"/>
  <c r="P9" i="281"/>
  <c r="X139" i="279"/>
  <c r="T68" i="281"/>
  <c r="M20" i="283"/>
  <c r="T114" i="194"/>
  <c r="S103" i="282"/>
  <c r="S19" i="278"/>
  <c r="X117" i="194"/>
  <c r="P28" i="282"/>
  <c r="W121" i="194"/>
  <c r="U131" i="194"/>
  <c r="P25" i="194"/>
  <c r="W78" i="284"/>
  <c r="T36" i="275"/>
  <c r="W131" i="283"/>
  <c r="N106" i="275"/>
  <c r="O41" i="194"/>
  <c r="K104" i="194"/>
  <c r="T29" i="279"/>
  <c r="R34" i="282"/>
  <c r="N104" i="282"/>
  <c r="P66" i="194"/>
  <c r="P15" i="280"/>
  <c r="X123" i="284"/>
  <c r="O105" i="283"/>
  <c r="M89" i="283"/>
  <c r="N77" i="278"/>
  <c r="N55" i="280"/>
  <c r="K99" i="283"/>
  <c r="M124" i="282"/>
  <c r="R15" i="281"/>
  <c r="X48" i="275"/>
  <c r="S131" i="194"/>
  <c r="X25" i="194"/>
  <c r="V51" i="194"/>
  <c r="N11" i="194"/>
  <c r="M83" i="282"/>
  <c r="X88" i="280"/>
  <c r="L135" i="468"/>
  <c r="N98" i="279"/>
  <c r="W118" i="278"/>
  <c r="N42" i="284"/>
  <c r="P67" i="284"/>
  <c r="P40" i="194"/>
  <c r="X74" i="284"/>
  <c r="N64" i="279"/>
  <c r="M48" i="282"/>
  <c r="S130" i="284"/>
  <c r="V78" i="279"/>
  <c r="O77" i="283"/>
  <c r="K56" i="279"/>
  <c r="W36" i="284"/>
  <c r="V82" i="281"/>
  <c r="O105" i="281"/>
  <c r="W120" i="194"/>
  <c r="J86" i="281"/>
  <c r="P55" i="282"/>
  <c r="S7" i="194"/>
  <c r="P11" i="283"/>
  <c r="P110" i="282"/>
  <c r="S130" i="282"/>
  <c r="M107" i="282"/>
  <c r="L55" i="281"/>
  <c r="J118" i="284"/>
  <c r="V63" i="281"/>
  <c r="W40" i="284"/>
  <c r="U24" i="280"/>
  <c r="R139" i="194"/>
  <c r="L6" i="194"/>
  <c r="U72" i="284"/>
  <c r="L55" i="282"/>
  <c r="L129" i="283"/>
  <c r="T107" i="282"/>
  <c r="J108" i="280"/>
  <c r="L6" i="281"/>
  <c r="S100" i="282"/>
  <c r="N48" i="194"/>
  <c r="R114" i="279"/>
  <c r="K101" i="283"/>
  <c r="R109" i="279"/>
  <c r="N115" i="194"/>
  <c r="M44" i="278"/>
  <c r="W22" i="279"/>
  <c r="T86" i="281"/>
  <c r="O85" i="282"/>
  <c r="W128" i="281"/>
  <c r="V9" i="468"/>
  <c r="K63" i="281"/>
  <c r="N97" i="281"/>
  <c r="N40" i="283"/>
  <c r="M89" i="194"/>
  <c r="P22" i="279"/>
  <c r="X95" i="279"/>
  <c r="P33" i="284"/>
  <c r="V74" i="283"/>
  <c r="S69" i="278"/>
  <c r="J62" i="194"/>
  <c r="U61" i="284"/>
  <c r="P136" i="282"/>
  <c r="R79" i="281"/>
  <c r="O79" i="194"/>
  <c r="W75" i="194"/>
  <c r="P106" i="278"/>
  <c r="J13" i="282"/>
  <c r="X125" i="194"/>
  <c r="W5" i="284"/>
  <c r="X52" i="281"/>
  <c r="U18" i="284"/>
  <c r="L123" i="283"/>
  <c r="O53" i="280"/>
  <c r="L59" i="194"/>
  <c r="V39" i="194"/>
  <c r="O90" i="280"/>
  <c r="T138" i="275"/>
  <c r="X105" i="280"/>
  <c r="V8" i="280"/>
  <c r="R103" i="280"/>
  <c r="M98" i="283"/>
  <c r="N103" i="280"/>
  <c r="X37" i="194"/>
  <c r="P120" i="194"/>
  <c r="R56" i="278"/>
  <c r="J69" i="283"/>
  <c r="N27" i="284"/>
  <c r="T5" i="278"/>
  <c r="T29" i="280"/>
  <c r="V118" i="194"/>
  <c r="X83" i="279"/>
  <c r="K14" i="194"/>
  <c r="N48" i="279"/>
  <c r="T32" i="283"/>
  <c r="T49" i="281"/>
  <c r="O95" i="194"/>
  <c r="J54" i="281"/>
  <c r="T85" i="468"/>
  <c r="K94" i="278"/>
  <c r="O125" i="282"/>
  <c r="K119" i="275"/>
  <c r="J112" i="282"/>
  <c r="J87" i="280"/>
  <c r="S72" i="284"/>
  <c r="K130" i="280"/>
  <c r="K26" i="194"/>
  <c r="N93" i="281"/>
  <c r="M43" i="281"/>
  <c r="J5" i="282"/>
  <c r="S15" i="282"/>
  <c r="K53" i="284"/>
  <c r="N18" i="281"/>
  <c r="X89" i="194"/>
  <c r="T124" i="275"/>
  <c r="P24" i="194"/>
  <c r="N95" i="275"/>
  <c r="K51" i="279"/>
  <c r="M121" i="194"/>
  <c r="W25" i="278"/>
  <c r="T42" i="283"/>
  <c r="J15" i="194"/>
  <c r="L12" i="281"/>
  <c r="O84" i="281"/>
  <c r="J76" i="275"/>
  <c r="X85" i="279"/>
  <c r="K88" i="284"/>
  <c r="U104" i="284"/>
  <c r="X13" i="281"/>
  <c r="T61" i="194"/>
  <c r="J54" i="194"/>
  <c r="S49" i="283"/>
  <c r="T23" i="468"/>
  <c r="W50" i="278"/>
  <c r="V15" i="194"/>
  <c r="O46" i="278"/>
  <c r="J59" i="283"/>
  <c r="M55" i="284"/>
  <c r="M49" i="281"/>
  <c r="S57" i="284"/>
  <c r="X89" i="280"/>
  <c r="V91" i="278"/>
  <c r="N16" i="284"/>
  <c r="O88" i="194"/>
  <c r="J107" i="468"/>
  <c r="T86" i="194"/>
  <c r="R114" i="281"/>
  <c r="N80" i="194"/>
  <c r="O107" i="284"/>
  <c r="X51" i="194"/>
  <c r="S78" i="275"/>
  <c r="M45" i="283"/>
  <c r="W42" i="194"/>
  <c r="P128" i="275"/>
  <c r="M76" i="279"/>
  <c r="W129" i="194"/>
  <c r="R20" i="283"/>
  <c r="S111" i="283"/>
  <c r="U123" i="194"/>
  <c r="X134" i="282"/>
  <c r="U136" i="275"/>
  <c r="T32" i="280"/>
  <c r="L80" i="280"/>
  <c r="P19" i="281"/>
  <c r="O90" i="279"/>
  <c r="U21" i="284"/>
  <c r="O19" i="282"/>
  <c r="S34" i="284"/>
  <c r="V137" i="282"/>
  <c r="K74" i="284"/>
  <c r="U85" i="281"/>
  <c r="S82" i="280"/>
  <c r="N41" i="283"/>
  <c r="L27" i="284"/>
  <c r="X128" i="284"/>
  <c r="N98" i="194"/>
  <c r="N29" i="282"/>
  <c r="W76" i="275"/>
  <c r="U60" i="194"/>
  <c r="S85" i="284"/>
  <c r="T49" i="283"/>
  <c r="N72" i="283"/>
  <c r="L115" i="282"/>
  <c r="P79" i="468"/>
  <c r="M56" i="278"/>
  <c r="R95" i="281"/>
  <c r="W35" i="279"/>
  <c r="N70" i="194"/>
  <c r="M107" i="284"/>
  <c r="U25" i="281"/>
  <c r="U105" i="284"/>
  <c r="X19" i="283"/>
  <c r="L117" i="281"/>
  <c r="M93" i="281"/>
  <c r="M108" i="282"/>
  <c r="M85" i="275"/>
  <c r="O115" i="194"/>
  <c r="S20" i="284"/>
  <c r="O114" i="282"/>
  <c r="W11" i="282"/>
  <c r="J89" i="275"/>
  <c r="V130" i="194"/>
  <c r="J76" i="279"/>
  <c r="R113" i="281"/>
  <c r="O16" i="283"/>
  <c r="R84" i="283"/>
  <c r="M32" i="283"/>
  <c r="W113" i="279"/>
  <c r="M104" i="468"/>
  <c r="P84" i="284"/>
  <c r="L4" i="282"/>
  <c r="X127" i="284"/>
  <c r="T23" i="280"/>
  <c r="T83" i="284"/>
  <c r="X124" i="283"/>
  <c r="P127" i="280"/>
  <c r="P50" i="280"/>
  <c r="L134" i="281"/>
  <c r="P114" i="194"/>
  <c r="N35" i="281"/>
  <c r="U9" i="279"/>
  <c r="V73" i="468"/>
  <c r="L67" i="468"/>
  <c r="S97" i="275"/>
  <c r="V132" i="278"/>
  <c r="T38" i="281"/>
  <c r="P71" i="194"/>
  <c r="K66" i="194"/>
  <c r="W127" i="279"/>
  <c r="R114" i="283"/>
  <c r="V116" i="282"/>
  <c r="S131" i="278"/>
  <c r="R44" i="194"/>
  <c r="S84" i="275"/>
  <c r="O88" i="284"/>
  <c r="O104" i="281"/>
  <c r="M31" i="279"/>
  <c r="N108" i="283"/>
  <c r="O102" i="194"/>
  <c r="J92" i="279"/>
  <c r="R22" i="281"/>
  <c r="N40" i="282"/>
  <c r="M35" i="281"/>
  <c r="X86" i="283"/>
  <c r="L80" i="275"/>
  <c r="K92" i="278"/>
  <c r="J97" i="282"/>
  <c r="S88" i="284"/>
  <c r="W78" i="279"/>
  <c r="V87" i="275"/>
  <c r="X98" i="281"/>
  <c r="M85" i="282"/>
  <c r="S130" i="281"/>
  <c r="V48" i="284"/>
  <c r="P77" i="275"/>
  <c r="K128" i="282"/>
  <c r="J72" i="194"/>
  <c r="L85" i="278"/>
  <c r="O46" i="280"/>
  <c r="K26" i="281"/>
  <c r="W103" i="283"/>
  <c r="L106" i="283"/>
  <c r="R50" i="194"/>
  <c r="V115" i="275"/>
  <c r="V18" i="468"/>
  <c r="V27" i="284"/>
  <c r="M22" i="283"/>
  <c r="P137" i="194"/>
  <c r="P87" i="281"/>
  <c r="L20" i="194"/>
  <c r="U126" i="194"/>
  <c r="S36" i="283"/>
  <c r="L66" i="282"/>
  <c r="N75" i="282"/>
  <c r="J108" i="194"/>
  <c r="O108" i="283"/>
  <c r="S120" i="194"/>
  <c r="W52" i="283"/>
  <c r="U130" i="279"/>
  <c r="O91" i="278"/>
  <c r="R38" i="282"/>
  <c r="S62" i="282"/>
  <c r="S15" i="284"/>
  <c r="W86" i="281"/>
  <c r="X131" i="283"/>
  <c r="X42" i="282"/>
  <c r="X119" i="468"/>
  <c r="M51" i="283"/>
  <c r="T40" i="284"/>
  <c r="N135" i="284"/>
  <c r="S66" i="283"/>
  <c r="N138" i="284"/>
  <c r="S135" i="279"/>
  <c r="N28" i="283"/>
  <c r="V18" i="281"/>
  <c r="S72" i="278"/>
  <c r="K58" i="283"/>
  <c r="R111" i="282"/>
  <c r="S32" i="280"/>
  <c r="X67" i="280"/>
  <c r="U4" i="194"/>
  <c r="V63" i="280"/>
  <c r="U96" i="275"/>
  <c r="R125" i="194"/>
  <c r="M66" i="284"/>
  <c r="X71" i="278"/>
  <c r="N136" i="283"/>
  <c r="M124" i="468"/>
  <c r="O55" i="282"/>
  <c r="R130" i="279"/>
  <c r="U108" i="279"/>
  <c r="X88" i="284"/>
  <c r="P81" i="282"/>
  <c r="O98" i="284"/>
  <c r="V58" i="280"/>
  <c r="K132" i="280"/>
  <c r="J135" i="283"/>
  <c r="W66" i="284"/>
  <c r="W68" i="282"/>
  <c r="W69" i="284"/>
  <c r="X135" i="281"/>
  <c r="L66" i="278"/>
  <c r="M104" i="282"/>
  <c r="L82" i="280"/>
  <c r="V135" i="280"/>
  <c r="V67" i="275"/>
  <c r="R92" i="279"/>
  <c r="T85" i="281"/>
  <c r="W117" i="278"/>
  <c r="K33" i="280"/>
  <c r="J79" i="284"/>
  <c r="X52" i="279"/>
  <c r="V76" i="282"/>
  <c r="W92" i="284"/>
  <c r="M53" i="282"/>
  <c r="O11" i="281"/>
  <c r="X107" i="284"/>
  <c r="O126" i="284"/>
  <c r="X7" i="284"/>
  <c r="U110" i="281"/>
  <c r="X6" i="283"/>
  <c r="W107" i="283"/>
  <c r="U37" i="281"/>
  <c r="U121" i="282"/>
  <c r="S16" i="284"/>
  <c r="P102" i="194"/>
  <c r="W103" i="278"/>
  <c r="S48" i="282"/>
  <c r="X64" i="280"/>
  <c r="V62" i="468"/>
  <c r="T93" i="280"/>
  <c r="M28" i="275"/>
  <c r="T101" i="283"/>
  <c r="S127" i="282"/>
  <c r="N137" i="194"/>
  <c r="U76" i="282"/>
  <c r="R74" i="194"/>
  <c r="N135" i="281"/>
  <c r="K63" i="468"/>
  <c r="L76" i="284"/>
  <c r="V44" i="194"/>
  <c r="S129" i="278"/>
  <c r="O77" i="468"/>
  <c r="W38" i="278"/>
  <c r="N54" i="194"/>
  <c r="T36" i="283"/>
  <c r="R102" i="282"/>
  <c r="P33" i="281"/>
  <c r="V26" i="282"/>
  <c r="M92" i="284"/>
  <c r="N11" i="283"/>
  <c r="K30" i="283"/>
  <c r="S8" i="284"/>
  <c r="J27" i="194"/>
  <c r="P20" i="283"/>
  <c r="W67" i="281"/>
  <c r="T81" i="283"/>
  <c r="L122" i="282"/>
  <c r="M88" i="284"/>
  <c r="P91" i="283"/>
  <c r="V30" i="281"/>
  <c r="L137" i="284"/>
  <c r="J92" i="280"/>
  <c r="O136" i="194"/>
  <c r="V95" i="281"/>
  <c r="S100" i="194"/>
  <c r="U88" i="282"/>
  <c r="T22" i="283"/>
  <c r="S80" i="280"/>
  <c r="S94" i="284"/>
  <c r="W14" i="468"/>
  <c r="O105" i="284"/>
  <c r="U21" i="283"/>
  <c r="V83" i="281"/>
  <c r="J83" i="278"/>
  <c r="R73" i="194"/>
  <c r="S91" i="281"/>
  <c r="R76" i="194"/>
  <c r="W7" i="194"/>
  <c r="O8" i="282"/>
  <c r="S79" i="283"/>
  <c r="S82" i="283"/>
  <c r="U119" i="279"/>
  <c r="S128" i="194"/>
  <c r="N99" i="279"/>
  <c r="L65" i="194"/>
  <c r="M135" i="275"/>
  <c r="L15" i="279"/>
  <c r="S55" i="279"/>
  <c r="T38" i="282"/>
  <c r="O36" i="284"/>
  <c r="N97" i="279"/>
  <c r="R66" i="283"/>
  <c r="S92" i="279"/>
  <c r="M130" i="283"/>
  <c r="O82" i="281"/>
  <c r="N86" i="284"/>
  <c r="J30" i="194"/>
  <c r="L27" i="194"/>
  <c r="O22" i="279"/>
  <c r="V87" i="282"/>
  <c r="O131" i="283"/>
  <c r="T52" i="284"/>
  <c r="N26" i="284"/>
  <c r="X96" i="283"/>
  <c r="W25" i="282"/>
  <c r="V128" i="283"/>
  <c r="J112" i="280"/>
  <c r="M55" i="275"/>
  <c r="X75" i="283"/>
  <c r="P68" i="279"/>
  <c r="V32" i="194"/>
  <c r="L58" i="283"/>
  <c r="U75" i="279"/>
  <c r="V64" i="284"/>
  <c r="K32" i="278"/>
  <c r="X92" i="281"/>
  <c r="O26" i="194"/>
  <c r="J84" i="279"/>
  <c r="V106" i="283"/>
  <c r="U4" i="468"/>
  <c r="J11" i="284"/>
  <c r="X27" i="468"/>
  <c r="J90" i="468"/>
  <c r="K70" i="279"/>
  <c r="J64" i="284"/>
  <c r="W88" i="284"/>
  <c r="T125" i="194"/>
  <c r="S78" i="278"/>
  <c r="O132" i="283"/>
  <c r="U122" i="280"/>
  <c r="K78" i="280"/>
  <c r="V70" i="282"/>
  <c r="X122" i="194"/>
  <c r="X90" i="278"/>
  <c r="J89" i="194"/>
  <c r="X140" i="284"/>
  <c r="U28" i="284"/>
  <c r="S11" i="283"/>
  <c r="U68" i="284"/>
  <c r="X134" i="283"/>
  <c r="L81" i="194"/>
  <c r="N117" i="194"/>
  <c r="L78" i="284"/>
  <c r="X16" i="275"/>
  <c r="N90" i="283"/>
  <c r="S55" i="283"/>
  <c r="X103" i="279"/>
  <c r="O18" i="283"/>
  <c r="M55" i="194"/>
  <c r="T115" i="194"/>
  <c r="L95" i="284"/>
  <c r="X137" i="280"/>
  <c r="W99" i="283"/>
  <c r="K32" i="468"/>
  <c r="R28" i="194"/>
  <c r="P56" i="275"/>
  <c r="W8" i="284"/>
  <c r="P87" i="279"/>
  <c r="R140" i="284"/>
  <c r="P65" i="275"/>
  <c r="V93" i="194"/>
  <c r="S108" i="281"/>
  <c r="J80" i="278"/>
  <c r="S106" i="282"/>
  <c r="W22" i="278"/>
  <c r="J9" i="283"/>
  <c r="U9" i="280"/>
  <c r="W129" i="284"/>
  <c r="U105" i="281"/>
  <c r="W4" i="280"/>
  <c r="W21" i="284"/>
  <c r="V3" i="470"/>
  <c r="T95" i="280"/>
  <c r="T29" i="283"/>
  <c r="V97" i="279"/>
  <c r="M20" i="284"/>
  <c r="X124" i="280"/>
  <c r="T80" i="194"/>
  <c r="R111" i="281"/>
  <c r="S50" i="194"/>
  <c r="W27" i="283"/>
  <c r="R44" i="281"/>
  <c r="U38" i="282"/>
  <c r="W55" i="283"/>
  <c r="P64" i="283"/>
  <c r="R97" i="275"/>
  <c r="X140" i="282"/>
  <c r="J25" i="279"/>
  <c r="J43" i="280"/>
  <c r="N56" i="279"/>
  <c r="K99" i="281"/>
  <c r="O20" i="468"/>
  <c r="P49" i="275"/>
  <c r="R125" i="283"/>
  <c r="K11" i="282"/>
  <c r="S78" i="194"/>
  <c r="U80" i="280"/>
  <c r="R32" i="280"/>
  <c r="S132" i="194"/>
  <c r="O59" i="283"/>
  <c r="P73" i="281"/>
  <c r="S56" i="278"/>
  <c r="S88" i="283"/>
  <c r="O54" i="278"/>
  <c r="N48" i="281"/>
  <c r="X97" i="284"/>
  <c r="S97" i="194"/>
  <c r="R57" i="284"/>
  <c r="M104" i="281"/>
  <c r="N68" i="283"/>
  <c r="V60" i="281"/>
  <c r="N21" i="281"/>
  <c r="N63" i="279"/>
  <c r="S119" i="284"/>
  <c r="K25" i="281"/>
  <c r="N83" i="282"/>
  <c r="M120" i="194"/>
  <c r="W51" i="280"/>
  <c r="T99" i="468"/>
  <c r="P117" i="282"/>
  <c r="J23" i="283"/>
  <c r="V50" i="284"/>
  <c r="W136" i="194"/>
  <c r="S103" i="194"/>
  <c r="T74" i="283"/>
  <c r="J97" i="281"/>
  <c r="N134" i="194"/>
  <c r="M85" i="279"/>
  <c r="O31" i="284"/>
  <c r="X87" i="194"/>
  <c r="J51" i="194"/>
  <c r="J65" i="279"/>
  <c r="N123" i="279"/>
  <c r="X79" i="194"/>
  <c r="K111" i="284"/>
  <c r="U77" i="283"/>
  <c r="W64" i="282"/>
  <c r="V14" i="283"/>
  <c r="O62" i="284"/>
  <c r="N107" i="278"/>
  <c r="J102" i="468"/>
  <c r="W92" i="280"/>
  <c r="J96" i="275"/>
  <c r="S4" i="282"/>
  <c r="N88" i="278"/>
  <c r="M58" i="194"/>
  <c r="R105" i="284"/>
  <c r="P81" i="194"/>
  <c r="J126" i="282"/>
  <c r="V37" i="284"/>
  <c r="S36" i="284"/>
  <c r="N70" i="280"/>
  <c r="L74" i="283"/>
  <c r="L136" i="194"/>
  <c r="J24" i="278"/>
  <c r="V25" i="194"/>
  <c r="N81" i="280"/>
  <c r="U47" i="194"/>
  <c r="T80" i="278"/>
  <c r="W50" i="282"/>
  <c r="M40" i="282"/>
  <c r="T135" i="279"/>
  <c r="W24" i="281"/>
  <c r="V136" i="275"/>
  <c r="V100" i="280"/>
  <c r="X38" i="284"/>
  <c r="N19" i="282"/>
  <c r="O72" i="280"/>
  <c r="V87" i="194"/>
  <c r="K81" i="281"/>
  <c r="M118" i="284"/>
  <c r="M118" i="279"/>
  <c r="T131" i="194"/>
  <c r="V72" i="278"/>
  <c r="M12" i="283"/>
  <c r="R108" i="282"/>
  <c r="O34" i="283"/>
  <c r="W49" i="275"/>
  <c r="P120" i="283"/>
  <c r="O134" i="284"/>
  <c r="U108" i="282"/>
  <c r="N93" i="282"/>
  <c r="J3" i="285"/>
  <c r="J125" i="194"/>
  <c r="N45" i="284"/>
  <c r="U137" i="284"/>
  <c r="L131" i="279"/>
  <c r="K60" i="194"/>
  <c r="X98" i="194"/>
  <c r="U112" i="468"/>
  <c r="N75" i="280"/>
  <c r="J49" i="194"/>
  <c r="M80" i="278"/>
  <c r="P34" i="194"/>
  <c r="P95" i="275"/>
  <c r="L128" i="280"/>
  <c r="M28" i="280"/>
  <c r="R75" i="280"/>
  <c r="U63" i="278"/>
  <c r="W110" i="283"/>
  <c r="O36" i="470"/>
  <c r="R94" i="282"/>
  <c r="R134" i="282"/>
  <c r="J94" i="278"/>
  <c r="R44" i="283"/>
  <c r="O88" i="468"/>
  <c r="J74" i="284"/>
  <c r="R136" i="279"/>
  <c r="W131" i="279"/>
  <c r="V93" i="275"/>
  <c r="O128" i="281"/>
  <c r="J89" i="283"/>
  <c r="R55" i="280"/>
  <c r="L86" i="282"/>
  <c r="M130" i="282"/>
  <c r="K97" i="284"/>
  <c r="X127" i="194"/>
  <c r="N35" i="283"/>
  <c r="R99" i="283"/>
  <c r="T105" i="468"/>
  <c r="N25" i="280"/>
  <c r="O81" i="281"/>
  <c r="U56" i="194"/>
  <c r="K37" i="282"/>
  <c r="K115" i="284"/>
  <c r="K73" i="283"/>
  <c r="R125" i="284"/>
  <c r="O62" i="194"/>
  <c r="U74" i="281"/>
  <c r="O133" i="275"/>
  <c r="N12" i="279"/>
  <c r="X124" i="194"/>
  <c r="R25" i="275"/>
  <c r="K38" i="194"/>
  <c r="N137" i="278"/>
  <c r="J123" i="278"/>
  <c r="K70" i="284"/>
  <c r="W76" i="278"/>
  <c r="T110" i="194"/>
  <c r="O132" i="280"/>
  <c r="S118" i="284"/>
  <c r="L84" i="468"/>
  <c r="K117" i="284"/>
  <c r="W46" i="194"/>
  <c r="M98" i="282"/>
  <c r="T51" i="281"/>
  <c r="P104" i="283"/>
  <c r="V91" i="284"/>
  <c r="R96" i="282"/>
  <c r="R6" i="283"/>
  <c r="X101" i="284"/>
  <c r="M73" i="282"/>
  <c r="R111" i="275"/>
  <c r="P65" i="280"/>
  <c r="L119" i="282"/>
  <c r="K68" i="194"/>
  <c r="T51" i="284"/>
  <c r="V21" i="284"/>
  <c r="K55" i="279"/>
  <c r="U33" i="194"/>
  <c r="X87" i="283"/>
  <c r="R106" i="284"/>
  <c r="O10" i="282"/>
  <c r="W10" i="275"/>
  <c r="S134" i="279"/>
  <c r="V125" i="284"/>
  <c r="L129" i="280"/>
  <c r="W38" i="194"/>
  <c r="T66" i="284"/>
  <c r="U87" i="284"/>
  <c r="W33" i="275"/>
  <c r="N14" i="280"/>
  <c r="L113" i="468"/>
  <c r="S21" i="283"/>
  <c r="K61" i="194"/>
  <c r="X104" i="279"/>
  <c r="J134" i="282"/>
  <c r="N17" i="284"/>
  <c r="S14" i="282"/>
  <c r="O122" i="194"/>
  <c r="N81" i="279"/>
  <c r="T38" i="284"/>
  <c r="W103" i="282"/>
  <c r="R129" i="281"/>
  <c r="T73" i="283"/>
  <c r="P118" i="283"/>
  <c r="W109" i="278"/>
  <c r="X52" i="194"/>
  <c r="V114" i="278"/>
  <c r="T71" i="282"/>
  <c r="N64" i="283"/>
  <c r="J48" i="284"/>
  <c r="S104" i="284"/>
  <c r="R102" i="275"/>
  <c r="J13" i="281"/>
  <c r="V119" i="284"/>
  <c r="N45" i="275"/>
  <c r="T119" i="283"/>
  <c r="M66" i="468"/>
  <c r="M88" i="281"/>
  <c r="T41" i="275"/>
  <c r="K93" i="284"/>
  <c r="V120" i="194"/>
  <c r="R73" i="284"/>
  <c r="V112" i="280"/>
  <c r="O9" i="283"/>
  <c r="K28" i="280"/>
  <c r="M25" i="275"/>
  <c r="R15" i="284"/>
  <c r="V100" i="284"/>
  <c r="J42" i="279"/>
  <c r="K68" i="275"/>
  <c r="J31" i="278"/>
  <c r="O48" i="280"/>
  <c r="P17" i="280"/>
  <c r="T93" i="194"/>
  <c r="W28" i="280"/>
  <c r="W12" i="283"/>
  <c r="W57" i="283"/>
  <c r="K136" i="283"/>
  <c r="O56" i="278"/>
  <c r="U126" i="284"/>
  <c r="K37" i="283"/>
  <c r="X108" i="279"/>
  <c r="P29" i="468"/>
  <c r="X120" i="280"/>
  <c r="P80" i="283"/>
  <c r="P97" i="284"/>
  <c r="J59" i="282"/>
  <c r="L100" i="470"/>
  <c r="K80" i="283"/>
  <c r="J66" i="284"/>
  <c r="L49" i="283"/>
  <c r="O73" i="283"/>
  <c r="M17" i="284"/>
  <c r="M90" i="279"/>
  <c r="J94" i="282"/>
  <c r="J77" i="284"/>
  <c r="K119" i="194"/>
  <c r="T66" i="468"/>
  <c r="W87" i="284"/>
  <c r="S73" i="278"/>
  <c r="P131" i="284"/>
  <c r="U140" i="278"/>
  <c r="X118" i="284"/>
  <c r="W25" i="284"/>
  <c r="J88" i="284"/>
  <c r="L16" i="280"/>
  <c r="R124" i="284"/>
  <c r="L11" i="283"/>
  <c r="M77" i="468"/>
  <c r="T75" i="281"/>
  <c r="N31" i="283"/>
  <c r="L116" i="280"/>
  <c r="J10" i="283"/>
  <c r="S109" i="284"/>
  <c r="L57" i="194"/>
  <c r="K22" i="283"/>
  <c r="M73" i="468"/>
  <c r="S130" i="283"/>
  <c r="W138" i="281"/>
  <c r="N30" i="284"/>
  <c r="J107" i="284"/>
  <c r="U22" i="280"/>
  <c r="P35" i="468"/>
  <c r="X84" i="284"/>
  <c r="R64" i="278"/>
  <c r="S95" i="279"/>
  <c r="V18" i="284"/>
  <c r="R33" i="468"/>
  <c r="J134" i="283"/>
  <c r="V26" i="284"/>
  <c r="J28" i="280"/>
  <c r="X40" i="278"/>
  <c r="X51" i="468"/>
  <c r="X57" i="194"/>
  <c r="M59" i="283"/>
  <c r="T80" i="281"/>
  <c r="M90" i="282"/>
  <c r="T4" i="282"/>
  <c r="X111" i="281"/>
  <c r="U139" i="194"/>
  <c r="K133" i="278"/>
  <c r="N114" i="194"/>
  <c r="U36" i="194"/>
  <c r="S117" i="283"/>
  <c r="L134" i="282"/>
  <c r="V124" i="283"/>
  <c r="N57" i="194"/>
  <c r="U112" i="284"/>
  <c r="L138" i="194"/>
  <c r="O94" i="194"/>
  <c r="V37" i="283"/>
  <c r="X131" i="468"/>
  <c r="N128" i="279"/>
  <c r="X134" i="278"/>
  <c r="J119" i="279"/>
  <c r="R89" i="281"/>
  <c r="N118" i="283"/>
  <c r="S17" i="279"/>
  <c r="U12" i="468"/>
  <c r="W3" i="194"/>
  <c r="V11" i="284"/>
  <c r="O123" i="279"/>
  <c r="M29" i="281"/>
  <c r="N130" i="280"/>
  <c r="N129" i="284"/>
  <c r="S101" i="283"/>
  <c r="L14" i="194"/>
  <c r="T16" i="278"/>
  <c r="U8" i="282"/>
  <c r="X49" i="283"/>
  <c r="V34" i="194"/>
  <c r="K104" i="282"/>
  <c r="L93" i="281"/>
  <c r="S16" i="281"/>
  <c r="N63" i="468"/>
  <c r="T96" i="280"/>
  <c r="U64" i="283"/>
  <c r="W69" i="282"/>
  <c r="J52" i="283"/>
  <c r="L8" i="283"/>
  <c r="R72" i="284"/>
  <c r="T31" i="284"/>
  <c r="S3" i="278"/>
  <c r="T56" i="283"/>
  <c r="M102" i="275"/>
  <c r="X98" i="278"/>
  <c r="M90" i="468"/>
  <c r="W42" i="279"/>
  <c r="K115" i="194"/>
  <c r="U40" i="282"/>
  <c r="O16" i="281"/>
  <c r="K31" i="283"/>
  <c r="R44" i="284"/>
  <c r="R139" i="279"/>
  <c r="X29" i="281"/>
  <c r="U133" i="284"/>
  <c r="S39" i="279"/>
  <c r="T56" i="278"/>
  <c r="X127" i="279"/>
  <c r="L64" i="283"/>
  <c r="X104" i="280"/>
  <c r="T104" i="280"/>
  <c r="M70" i="284"/>
  <c r="J128" i="282"/>
  <c r="X53" i="194"/>
  <c r="L110" i="279"/>
  <c r="V108" i="279"/>
  <c r="V37" i="280"/>
  <c r="P42" i="194"/>
  <c r="X54" i="283"/>
  <c r="K132" i="283"/>
  <c r="R29" i="280"/>
  <c r="M95" i="275"/>
  <c r="J114" i="282"/>
  <c r="W21" i="280"/>
  <c r="K105" i="282"/>
  <c r="P131" i="279"/>
  <c r="T18" i="284"/>
  <c r="K29" i="279"/>
  <c r="U69" i="280"/>
  <c r="W99" i="280"/>
  <c r="W133" i="194"/>
  <c r="X140" i="275"/>
  <c r="J58" i="284"/>
  <c r="J56" i="284"/>
  <c r="V100" i="282"/>
  <c r="P58" i="279"/>
  <c r="S7" i="283"/>
  <c r="V138" i="275"/>
  <c r="K56" i="282"/>
  <c r="O104" i="282"/>
  <c r="X24" i="280"/>
  <c r="M114" i="284"/>
  <c r="K98" i="468"/>
  <c r="W105" i="194"/>
  <c r="N92" i="282"/>
  <c r="P30" i="280"/>
  <c r="K52" i="468"/>
  <c r="V123" i="279"/>
  <c r="P36" i="280"/>
  <c r="O9" i="284"/>
  <c r="S18" i="194"/>
  <c r="N71" i="280"/>
  <c r="N51" i="284"/>
  <c r="M85" i="194"/>
  <c r="U104" i="282"/>
  <c r="X20" i="194"/>
  <c r="J34" i="468"/>
  <c r="N72" i="468"/>
  <c r="P106" i="194"/>
  <c r="R19" i="280"/>
  <c r="L70" i="278"/>
  <c r="V111" i="194"/>
  <c r="J45" i="278"/>
  <c r="U89" i="283"/>
  <c r="T50" i="281"/>
  <c r="K38" i="284"/>
  <c r="L139" i="283"/>
  <c r="P36" i="281"/>
  <c r="U44" i="282"/>
  <c r="N84" i="194"/>
  <c r="V18" i="282"/>
  <c r="U37" i="284"/>
  <c r="P97" i="281"/>
  <c r="M104" i="278"/>
  <c r="L120" i="283"/>
  <c r="X81" i="275"/>
  <c r="W53" i="284"/>
  <c r="X14" i="284"/>
  <c r="N83" i="284"/>
  <c r="U63" i="194"/>
  <c r="L135" i="281"/>
  <c r="P102" i="282"/>
  <c r="U63" i="468"/>
  <c r="P90" i="282"/>
  <c r="M22" i="284"/>
  <c r="U88" i="194"/>
  <c r="J35" i="194"/>
  <c r="N14" i="284"/>
  <c r="U125" i="468"/>
  <c r="R124" i="281"/>
  <c r="N105" i="283"/>
  <c r="N61" i="284"/>
  <c r="V30" i="279"/>
  <c r="M138" i="281"/>
  <c r="V59" i="194"/>
  <c r="O104" i="284"/>
  <c r="P100" i="280"/>
  <c r="P134" i="194"/>
  <c r="W11" i="284"/>
  <c r="L85" i="284"/>
  <c r="N125" i="283"/>
  <c r="J10" i="468"/>
  <c r="O128" i="275"/>
  <c r="V89" i="468"/>
  <c r="O41" i="468"/>
  <c r="M39" i="280"/>
  <c r="L112" i="468"/>
  <c r="K4" i="284"/>
  <c r="J94" i="194"/>
  <c r="J135" i="281"/>
  <c r="M36" i="279"/>
  <c r="U54" i="282"/>
  <c r="R15" i="279"/>
  <c r="T116" i="278"/>
  <c r="V28" i="279"/>
  <c r="P11" i="281"/>
  <c r="P95" i="468"/>
  <c r="W84" i="280"/>
  <c r="L16" i="283"/>
  <c r="O29" i="284"/>
  <c r="S140" i="284"/>
  <c r="P51" i="281"/>
  <c r="S99" i="278"/>
  <c r="K90" i="284"/>
  <c r="J53" i="284"/>
  <c r="O63" i="280"/>
  <c r="P112" i="279"/>
  <c r="K132" i="275"/>
  <c r="R67" i="468"/>
  <c r="X59" i="468"/>
  <c r="M131" i="282"/>
  <c r="K58" i="275"/>
  <c r="X46" i="281"/>
  <c r="X65" i="282"/>
  <c r="T27" i="279"/>
  <c r="X4" i="281"/>
  <c r="P99" i="279"/>
  <c r="J51" i="284"/>
  <c r="R39" i="280"/>
  <c r="S124" i="283"/>
  <c r="W60" i="283"/>
  <c r="L133" i="194"/>
  <c r="X60" i="284"/>
  <c r="L118" i="275"/>
  <c r="N117" i="279"/>
  <c r="J110" i="281"/>
  <c r="S87" i="194"/>
  <c r="P29" i="282"/>
  <c r="M31" i="282"/>
  <c r="S80" i="284"/>
  <c r="V77" i="194"/>
  <c r="K95" i="280"/>
  <c r="R59" i="194"/>
  <c r="J10" i="281"/>
  <c r="L84" i="281"/>
  <c r="M88" i="280"/>
  <c r="O56" i="283"/>
  <c r="X91" i="275"/>
  <c r="V31" i="194"/>
  <c r="N25" i="282"/>
  <c r="P115" i="283"/>
  <c r="N56" i="278"/>
  <c r="N13" i="284"/>
  <c r="K74" i="280"/>
  <c r="O83" i="278"/>
  <c r="T29" i="194"/>
  <c r="K94" i="275"/>
  <c r="S110" i="280"/>
  <c r="V13" i="194"/>
  <c r="S44" i="284"/>
  <c r="M42" i="194"/>
  <c r="W81" i="282"/>
  <c r="W30" i="194"/>
  <c r="T124" i="284"/>
  <c r="X55" i="468"/>
  <c r="T101" i="280"/>
  <c r="X103" i="275"/>
  <c r="T108" i="281"/>
  <c r="N60" i="284"/>
  <c r="V73" i="279"/>
  <c r="O84" i="280"/>
  <c r="M140" i="283"/>
  <c r="P4" i="278"/>
  <c r="O18" i="282"/>
  <c r="U129" i="281"/>
  <c r="X116" i="278"/>
  <c r="L58" i="282"/>
  <c r="N81" i="275"/>
  <c r="T92" i="194"/>
  <c r="S123" i="468"/>
  <c r="O76" i="468"/>
  <c r="T64" i="284"/>
  <c r="T27" i="284"/>
  <c r="O115" i="282"/>
  <c r="O62" i="281"/>
  <c r="U106" i="282"/>
  <c r="S59" i="283"/>
  <c r="U114" i="280"/>
  <c r="S42" i="194"/>
  <c r="R37" i="280"/>
  <c r="L86" i="280"/>
  <c r="V71" i="468"/>
  <c r="L14" i="468"/>
  <c r="K46" i="283"/>
  <c r="L134" i="283"/>
  <c r="P95" i="282"/>
  <c r="U57" i="282"/>
  <c r="P7" i="279"/>
  <c r="T139" i="278"/>
  <c r="U102" i="280"/>
  <c r="W48" i="194"/>
  <c r="X35" i="468"/>
  <c r="J129" i="194"/>
  <c r="U10" i="280"/>
  <c r="K139" i="284"/>
  <c r="T119" i="275"/>
  <c r="V40" i="275"/>
  <c r="K134" i="278"/>
  <c r="L109" i="283"/>
  <c r="J43" i="284"/>
  <c r="W56" i="275"/>
  <c r="J26" i="468"/>
  <c r="J103" i="278"/>
  <c r="T125" i="281"/>
  <c r="M42" i="283"/>
  <c r="X62" i="283"/>
  <c r="P32" i="284"/>
  <c r="V94" i="283"/>
  <c r="M112" i="283"/>
  <c r="N131" i="283"/>
  <c r="K14" i="283"/>
  <c r="O140" i="282"/>
  <c r="M82" i="468"/>
  <c r="P118" i="194"/>
  <c r="K130" i="282"/>
  <c r="V36" i="278"/>
  <c r="M122" i="283"/>
  <c r="X120" i="283"/>
  <c r="L58" i="284"/>
  <c r="S68" i="280"/>
  <c r="S102" i="468"/>
  <c r="T60" i="282"/>
  <c r="N45" i="279"/>
  <c r="O34" i="281"/>
  <c r="V3" i="286"/>
  <c r="S34" i="279"/>
  <c r="N102" i="284"/>
  <c r="P90" i="283"/>
  <c r="V115" i="468"/>
  <c r="N46" i="275"/>
  <c r="J61" i="284"/>
  <c r="N101" i="194"/>
  <c r="R12" i="468"/>
  <c r="V107" i="280"/>
  <c r="X27" i="283"/>
  <c r="U44" i="284"/>
  <c r="O12" i="468"/>
  <c r="U60" i="468"/>
  <c r="M122" i="278"/>
  <c r="N7" i="468"/>
  <c r="L67" i="282"/>
  <c r="W79" i="280"/>
  <c r="U42" i="279"/>
  <c r="T139" i="194"/>
  <c r="S55" i="281"/>
  <c r="J43" i="282"/>
  <c r="W82" i="468"/>
  <c r="M51" i="284"/>
  <c r="X110" i="278"/>
  <c r="R139" i="275"/>
  <c r="R100" i="282"/>
  <c r="N11" i="284"/>
  <c r="P71" i="284"/>
  <c r="O5" i="282"/>
  <c r="K21" i="281"/>
  <c r="P15" i="283"/>
  <c r="S129" i="282"/>
  <c r="T126" i="283"/>
  <c r="O67" i="283"/>
  <c r="L18" i="279"/>
  <c r="J22" i="281"/>
  <c r="T124" i="282"/>
  <c r="R99" i="282"/>
  <c r="U58" i="468"/>
  <c r="K76" i="278"/>
  <c r="R17" i="280"/>
  <c r="M15" i="468"/>
  <c r="W76" i="279"/>
  <c r="X25" i="282"/>
  <c r="L86" i="194"/>
  <c r="M130" i="279"/>
  <c r="X41" i="279"/>
  <c r="M70" i="279"/>
  <c r="P32" i="281"/>
  <c r="W95" i="194"/>
  <c r="O7" i="279"/>
  <c r="X74" i="278"/>
  <c r="U36" i="282"/>
  <c r="J75" i="281"/>
  <c r="N26" i="281"/>
  <c r="R121" i="194"/>
  <c r="N40" i="280"/>
  <c r="S53" i="281"/>
  <c r="S29" i="284"/>
  <c r="W23" i="278"/>
  <c r="R31" i="283"/>
  <c r="K93" i="281"/>
  <c r="T38" i="280"/>
  <c r="S28" i="194"/>
  <c r="P122" i="281"/>
  <c r="R117" i="279"/>
  <c r="J118" i="278"/>
  <c r="R82" i="279"/>
  <c r="K38" i="280"/>
  <c r="L121" i="284"/>
  <c r="L127" i="284"/>
  <c r="U24" i="278"/>
  <c r="M35" i="280"/>
  <c r="L90" i="279"/>
  <c r="W13" i="279"/>
  <c r="X109" i="286"/>
  <c r="K26" i="278"/>
  <c r="K8" i="278"/>
  <c r="K63" i="280"/>
  <c r="O33" i="282"/>
  <c r="R100" i="194"/>
  <c r="U59" i="280"/>
  <c r="M117" i="194"/>
  <c r="X89" i="278"/>
  <c r="V105" i="280"/>
  <c r="R22" i="194"/>
  <c r="T128" i="280"/>
  <c r="U89" i="194"/>
  <c r="M128" i="281"/>
  <c r="L67" i="279"/>
  <c r="U29" i="283"/>
  <c r="L8" i="284"/>
  <c r="P22" i="282"/>
  <c r="O7" i="284"/>
  <c r="N19" i="284"/>
  <c r="K21" i="194"/>
  <c r="M113" i="278"/>
  <c r="J135" i="282"/>
  <c r="M66" i="283"/>
  <c r="M12" i="282"/>
  <c r="P5" i="279"/>
  <c r="M44" i="194"/>
  <c r="J18" i="280"/>
  <c r="L96" i="278"/>
  <c r="N102" i="281"/>
  <c r="S17" i="281"/>
  <c r="P26" i="278"/>
  <c r="N124" i="284"/>
  <c r="M7" i="282"/>
  <c r="K70" i="283"/>
  <c r="M57" i="284"/>
  <c r="R94" i="279"/>
  <c r="U130" i="275"/>
  <c r="J61" i="281"/>
  <c r="V134" i="468"/>
  <c r="X59" i="286"/>
  <c r="P105" i="468"/>
  <c r="L30" i="275"/>
  <c r="N134" i="281"/>
  <c r="P115" i="279"/>
  <c r="J72" i="282"/>
  <c r="N4" i="281"/>
  <c r="N106" i="278"/>
  <c r="J9" i="284"/>
  <c r="N48" i="275"/>
  <c r="L130" i="284"/>
  <c r="K39" i="283"/>
  <c r="K85" i="281"/>
  <c r="M16" i="281"/>
  <c r="P99" i="194"/>
  <c r="L105" i="468"/>
  <c r="S112" i="284"/>
  <c r="K8" i="279"/>
  <c r="K36" i="278"/>
  <c r="P69" i="275"/>
  <c r="J18" i="278"/>
  <c r="R18" i="280"/>
  <c r="J116" i="280"/>
  <c r="O56" i="282"/>
  <c r="J104" i="283"/>
  <c r="O60" i="275"/>
  <c r="P73" i="280"/>
  <c r="K105" i="284"/>
  <c r="S61" i="278"/>
  <c r="W36" i="275"/>
  <c r="S138" i="279"/>
  <c r="O108" i="468"/>
  <c r="T60" i="280"/>
  <c r="V10" i="278"/>
  <c r="O63" i="468"/>
  <c r="O64" i="279"/>
  <c r="W98" i="275"/>
  <c r="R25" i="280"/>
  <c r="W53" i="282"/>
  <c r="N42" i="468"/>
  <c r="K74" i="279"/>
  <c r="M33" i="280"/>
  <c r="R140" i="281"/>
  <c r="N127" i="283"/>
  <c r="R71" i="194"/>
  <c r="S84" i="283"/>
  <c r="S87" i="280"/>
  <c r="M118" i="194"/>
  <c r="M52" i="283"/>
  <c r="W138" i="282"/>
  <c r="P97" i="275"/>
  <c r="S53" i="283"/>
  <c r="T13" i="275"/>
  <c r="U108" i="281"/>
  <c r="W31" i="282"/>
  <c r="X86" i="194"/>
  <c r="U76" i="279"/>
  <c r="J80" i="194"/>
  <c r="T3" i="285"/>
  <c r="N33" i="284"/>
  <c r="P124" i="194"/>
  <c r="M36" i="281"/>
  <c r="V34" i="284"/>
  <c r="L21" i="279"/>
  <c r="V63" i="194"/>
  <c r="O24" i="282"/>
  <c r="P105" i="283"/>
  <c r="T10" i="283"/>
  <c r="W56" i="278"/>
  <c r="U58" i="194"/>
  <c r="U124" i="194"/>
  <c r="J83" i="282"/>
  <c r="K103" i="281"/>
  <c r="X78" i="280"/>
  <c r="R87" i="281"/>
  <c r="V70" i="283"/>
  <c r="U60" i="284"/>
  <c r="K124" i="282"/>
  <c r="N11" i="279"/>
  <c r="O66" i="279"/>
  <c r="W40" i="280"/>
  <c r="V19" i="194"/>
  <c r="N65" i="278"/>
  <c r="L114" i="282"/>
  <c r="O103" i="284"/>
  <c r="V90" i="281"/>
  <c r="L89" i="278"/>
  <c r="L3" i="285"/>
  <c r="K104" i="279"/>
  <c r="R113" i="283"/>
  <c r="X72" i="278"/>
  <c r="M53" i="284"/>
  <c r="N96" i="275"/>
  <c r="K90" i="279"/>
  <c r="S79" i="281"/>
  <c r="R68" i="275"/>
  <c r="P125" i="283"/>
  <c r="L90" i="284"/>
  <c r="S83" i="194"/>
  <c r="N99" i="283"/>
  <c r="X108" i="278"/>
  <c r="X136" i="281"/>
  <c r="V13" i="275"/>
  <c r="L128" i="282"/>
  <c r="T9" i="284"/>
  <c r="L80" i="282"/>
  <c r="M27" i="194"/>
  <c r="X45" i="280"/>
  <c r="P12" i="280"/>
  <c r="S85" i="282"/>
  <c r="M36" i="282"/>
  <c r="M24" i="279"/>
  <c r="J132" i="278"/>
  <c r="S140" i="278"/>
  <c r="M24" i="194"/>
  <c r="M101" i="282"/>
  <c r="V23" i="283"/>
  <c r="R110" i="283"/>
  <c r="L10" i="283"/>
  <c r="S35" i="283"/>
  <c r="L28" i="194"/>
  <c r="J37" i="282"/>
  <c r="V115" i="280"/>
  <c r="X116" i="194"/>
  <c r="W54" i="280"/>
  <c r="M125" i="194"/>
  <c r="P53" i="283"/>
  <c r="M81" i="194"/>
  <c r="U64" i="275"/>
  <c r="V66" i="275"/>
  <c r="W89" i="468"/>
  <c r="U69" i="275"/>
  <c r="U48" i="281"/>
  <c r="L89" i="284"/>
  <c r="L113" i="283"/>
  <c r="N53" i="284"/>
  <c r="L61" i="278"/>
  <c r="T105" i="279"/>
  <c r="W21" i="283"/>
  <c r="P134" i="278"/>
  <c r="V39" i="282"/>
  <c r="U3" i="285"/>
  <c r="X105" i="284"/>
  <c r="X36" i="283"/>
  <c r="R35" i="283"/>
  <c r="S63" i="194"/>
  <c r="X137" i="468"/>
  <c r="R27" i="194"/>
  <c r="J72" i="275"/>
  <c r="L59" i="282"/>
  <c r="O75" i="283"/>
  <c r="S41" i="280"/>
  <c r="U63" i="281"/>
  <c r="L95" i="278"/>
  <c r="W21" i="279"/>
  <c r="O119" i="283"/>
  <c r="J57" i="284"/>
  <c r="J41" i="280"/>
  <c r="J37" i="194"/>
  <c r="P30" i="284"/>
  <c r="P62" i="275"/>
  <c r="T31" i="282"/>
  <c r="P13" i="284"/>
  <c r="T109" i="194"/>
  <c r="M8" i="278"/>
  <c r="L89" i="281"/>
  <c r="U12" i="282"/>
  <c r="T66" i="283"/>
  <c r="N24" i="275"/>
  <c r="R31" i="468"/>
  <c r="M85" i="281"/>
  <c r="L62" i="279"/>
  <c r="L101" i="280"/>
  <c r="J21" i="194"/>
  <c r="N74" i="275"/>
  <c r="S139" i="284"/>
  <c r="S36" i="194"/>
  <c r="W61" i="282"/>
  <c r="T45" i="284"/>
  <c r="J99" i="281"/>
  <c r="S13" i="280"/>
  <c r="S22" i="278"/>
  <c r="L5" i="280"/>
  <c r="S44" i="279"/>
  <c r="X99" i="275"/>
  <c r="V9" i="275"/>
  <c r="V79" i="279"/>
  <c r="N126" i="275"/>
  <c r="V40" i="280"/>
  <c r="X139" i="283"/>
  <c r="U114" i="468"/>
  <c r="V98" i="275"/>
  <c r="X121" i="284"/>
  <c r="J43" i="275"/>
  <c r="R28" i="283"/>
  <c r="S133" i="284"/>
  <c r="P117" i="284"/>
  <c r="O74" i="279"/>
  <c r="W94" i="275"/>
  <c r="J37" i="283"/>
  <c r="M112" i="282"/>
  <c r="O38" i="282"/>
  <c r="U58" i="279"/>
  <c r="O124" i="194"/>
  <c r="O112" i="281"/>
  <c r="K3" i="286"/>
  <c r="P69" i="468"/>
  <c r="T23" i="278"/>
  <c r="M125" i="282"/>
  <c r="O28" i="280"/>
  <c r="L132" i="280"/>
  <c r="O21" i="284"/>
  <c r="J130" i="279"/>
  <c r="N58" i="280"/>
  <c r="R37" i="284"/>
  <c r="K134" i="280"/>
  <c r="V71" i="279"/>
  <c r="L44" i="284"/>
  <c r="T140" i="283"/>
  <c r="P32" i="280"/>
  <c r="M84" i="194"/>
  <c r="S16" i="279"/>
  <c r="V115" i="282"/>
  <c r="L83" i="468"/>
  <c r="T14" i="278"/>
  <c r="S124" i="279"/>
  <c r="K84" i="279"/>
  <c r="M135" i="279"/>
  <c r="W23" i="282"/>
  <c r="O109" i="281"/>
  <c r="O49" i="281"/>
  <c r="W41" i="284"/>
  <c r="L103" i="282"/>
  <c r="L97" i="275"/>
  <c r="W8" i="280"/>
  <c r="W92" i="278"/>
  <c r="T75" i="194"/>
  <c r="O140" i="283"/>
  <c r="U94" i="284"/>
  <c r="U51" i="279"/>
  <c r="L22" i="282"/>
  <c r="S125" i="194"/>
  <c r="N136" i="281"/>
  <c r="L89" i="283"/>
  <c r="X63" i="284"/>
  <c r="R22" i="280"/>
  <c r="W3" i="468"/>
  <c r="L63" i="468"/>
  <c r="W19" i="280"/>
  <c r="W132" i="281"/>
  <c r="J114" i="284"/>
  <c r="X112" i="280"/>
  <c r="P33" i="279"/>
  <c r="S40" i="284"/>
  <c r="O11" i="275"/>
  <c r="N58" i="468"/>
  <c r="X22" i="286"/>
  <c r="T69" i="278"/>
  <c r="P68" i="194"/>
  <c r="O61" i="275"/>
  <c r="V68" i="282"/>
  <c r="X73" i="281"/>
  <c r="R72" i="468"/>
  <c r="U52" i="279"/>
  <c r="X41" i="283"/>
  <c r="X16" i="468"/>
  <c r="U23" i="281"/>
  <c r="S69" i="275"/>
  <c r="U111" i="275"/>
  <c r="W26" i="275"/>
  <c r="K102" i="278"/>
  <c r="O124" i="279"/>
  <c r="P107" i="282"/>
  <c r="S17" i="278"/>
  <c r="X46" i="282"/>
  <c r="M134" i="284"/>
  <c r="M42" i="278"/>
  <c r="J46" i="281"/>
  <c r="S29" i="283"/>
  <c r="R74" i="275"/>
  <c r="N17" i="283"/>
  <c r="M136" i="282"/>
  <c r="M27" i="284"/>
  <c r="V100" i="283"/>
  <c r="U37" i="279"/>
  <c r="M97" i="278"/>
  <c r="U30" i="275"/>
  <c r="O45" i="281"/>
  <c r="K87" i="194"/>
  <c r="R107" i="279"/>
  <c r="V38" i="194"/>
  <c r="O4" i="279"/>
  <c r="N108" i="280"/>
  <c r="X94" i="280"/>
  <c r="P87" i="280"/>
  <c r="J122" i="282"/>
  <c r="O139" i="283"/>
  <c r="W43" i="284"/>
  <c r="M82" i="275"/>
  <c r="S86" i="278"/>
  <c r="O61" i="194"/>
  <c r="J37" i="284"/>
  <c r="N12" i="283"/>
  <c r="T102" i="281"/>
  <c r="S59" i="275"/>
  <c r="N21" i="278"/>
  <c r="M70" i="283"/>
  <c r="M71" i="282"/>
  <c r="R55" i="279"/>
  <c r="K94" i="281"/>
  <c r="L37" i="281"/>
  <c r="R114" i="468"/>
  <c r="M45" i="284"/>
  <c r="V5" i="282"/>
  <c r="P11" i="280"/>
  <c r="N82" i="194"/>
  <c r="N75" i="283"/>
  <c r="T101" i="281"/>
  <c r="N21" i="282"/>
  <c r="P73" i="194"/>
  <c r="V94" i="280"/>
  <c r="K68" i="283"/>
  <c r="J109" i="194"/>
  <c r="P109" i="278"/>
  <c r="U106" i="281"/>
  <c r="X133" i="284"/>
  <c r="K23" i="284"/>
  <c r="S139" i="281"/>
  <c r="V25" i="278"/>
  <c r="J53" i="279"/>
  <c r="V15" i="280"/>
  <c r="T26" i="279"/>
  <c r="S124" i="280"/>
  <c r="K134" i="279"/>
  <c r="L120" i="279"/>
  <c r="U109" i="275"/>
  <c r="J49" i="275"/>
  <c r="X4" i="283"/>
  <c r="N80" i="281"/>
  <c r="J52" i="284"/>
  <c r="N118" i="194"/>
  <c r="O127" i="284"/>
  <c r="V111" i="280"/>
  <c r="R67" i="194"/>
  <c r="W103" i="281"/>
  <c r="V74" i="282"/>
  <c r="L112" i="281"/>
  <c r="N81" i="282"/>
  <c r="U79" i="283"/>
  <c r="N108" i="194"/>
  <c r="R15" i="282"/>
  <c r="S104" i="281"/>
  <c r="U122" i="283"/>
  <c r="S42" i="284"/>
  <c r="U3" i="282"/>
  <c r="N123" i="194"/>
  <c r="R79" i="194"/>
  <c r="U7" i="280"/>
  <c r="L129" i="281"/>
  <c r="U66" i="282"/>
  <c r="K65" i="284"/>
  <c r="J69" i="278"/>
  <c r="T4" i="283"/>
  <c r="S110" i="278"/>
  <c r="R77" i="279"/>
  <c r="N15" i="284"/>
  <c r="O115" i="283"/>
  <c r="J63" i="283"/>
  <c r="U140" i="283"/>
  <c r="R131" i="282"/>
  <c r="O74" i="284"/>
  <c r="O48" i="282"/>
  <c r="T128" i="279"/>
  <c r="W139" i="279"/>
  <c r="J5" i="279"/>
  <c r="U85" i="284"/>
  <c r="L44" i="279"/>
  <c r="S48" i="194"/>
  <c r="R47" i="468"/>
  <c r="N61" i="194"/>
  <c r="O6" i="282"/>
  <c r="X108" i="283"/>
  <c r="U116" i="282"/>
  <c r="N34" i="282"/>
  <c r="S111" i="281"/>
  <c r="N66" i="283"/>
  <c r="V118" i="283"/>
  <c r="N79" i="284"/>
  <c r="W21" i="278"/>
  <c r="S63" i="281"/>
  <c r="P29" i="283"/>
  <c r="R46" i="275"/>
  <c r="T16" i="284"/>
  <c r="L73" i="283"/>
  <c r="U140" i="284"/>
  <c r="U10" i="194"/>
  <c r="P114" i="278"/>
  <c r="P54" i="283"/>
  <c r="J137" i="281"/>
  <c r="U136" i="284"/>
  <c r="U39" i="284"/>
  <c r="O54" i="281"/>
  <c r="U128" i="194"/>
  <c r="V26" i="194"/>
  <c r="L16" i="281"/>
  <c r="X14" i="282"/>
  <c r="U121" i="278"/>
  <c r="P125" i="275"/>
  <c r="U98" i="280"/>
  <c r="P78" i="278"/>
  <c r="X137" i="281"/>
  <c r="V46" i="281"/>
  <c r="V55" i="281"/>
  <c r="J100" i="283"/>
  <c r="X11" i="283"/>
  <c r="J95" i="282"/>
  <c r="J63" i="468"/>
  <c r="N137" i="280"/>
  <c r="X26" i="281"/>
  <c r="U15" i="283"/>
  <c r="J14" i="279"/>
  <c r="N98" i="275"/>
  <c r="X42" i="279"/>
  <c r="J45" i="283"/>
  <c r="J84" i="280"/>
  <c r="O41" i="283"/>
  <c r="R134" i="284"/>
  <c r="L108" i="280"/>
  <c r="U35" i="281"/>
  <c r="L25" i="282"/>
  <c r="W41" i="283"/>
  <c r="X69" i="278"/>
  <c r="J14" i="283"/>
  <c r="T41" i="284"/>
  <c r="T28" i="284"/>
  <c r="P130" i="284"/>
  <c r="R110" i="275"/>
  <c r="T63" i="280"/>
  <c r="U101" i="282"/>
  <c r="L87" i="279"/>
  <c r="T112" i="278"/>
  <c r="J139" i="283"/>
  <c r="V122" i="278"/>
  <c r="J16" i="280"/>
  <c r="U7" i="282"/>
  <c r="X123" i="280"/>
  <c r="R116" i="194"/>
  <c r="N65" i="280"/>
  <c r="O60" i="283"/>
  <c r="R88" i="194"/>
  <c r="P10" i="284"/>
  <c r="L51" i="278"/>
  <c r="R53" i="284"/>
  <c r="S10" i="468"/>
  <c r="M62" i="283"/>
  <c r="K140" i="275"/>
  <c r="N92" i="281"/>
  <c r="J66" i="280"/>
  <c r="O98" i="280"/>
  <c r="L128" i="284"/>
  <c r="K121" i="283"/>
  <c r="N48" i="280"/>
  <c r="S23" i="281"/>
  <c r="O100" i="279"/>
  <c r="J64" i="280"/>
  <c r="J67" i="278"/>
  <c r="M55" i="279"/>
  <c r="U52" i="282"/>
  <c r="R135" i="282"/>
  <c r="M61" i="281"/>
  <c r="J68" i="279"/>
  <c r="K104" i="284"/>
  <c r="X67" i="282"/>
  <c r="X106" i="278"/>
  <c r="M93" i="282"/>
  <c r="J123" i="279"/>
  <c r="L10" i="282"/>
  <c r="M82" i="283"/>
  <c r="M61" i="283"/>
  <c r="N68" i="278"/>
  <c r="O61" i="283"/>
  <c r="X31" i="275"/>
  <c r="X136" i="284"/>
  <c r="N63" i="275"/>
  <c r="S95" i="468"/>
  <c r="T28" i="280"/>
  <c r="K43" i="194"/>
  <c r="S29" i="281"/>
  <c r="O55" i="283"/>
  <c r="X16" i="278"/>
  <c r="O14" i="281"/>
  <c r="L35" i="284"/>
  <c r="R43" i="282"/>
  <c r="W59" i="281"/>
  <c r="L6" i="280"/>
  <c r="P52" i="194"/>
  <c r="K8" i="275"/>
  <c r="T113" i="279"/>
  <c r="N83" i="194"/>
  <c r="S51" i="194"/>
  <c r="R46" i="284"/>
  <c r="M116" i="280"/>
  <c r="W55" i="281"/>
  <c r="U51" i="283"/>
  <c r="T70" i="284"/>
  <c r="T33" i="280"/>
  <c r="R66" i="280"/>
  <c r="U30" i="194"/>
  <c r="X21" i="278"/>
  <c r="M39" i="281"/>
  <c r="S99" i="284"/>
  <c r="J6" i="468"/>
  <c r="O36" i="282"/>
  <c r="J127" i="278"/>
  <c r="N13" i="282"/>
  <c r="J124" i="279"/>
  <c r="S35" i="468"/>
  <c r="L69" i="283"/>
  <c r="J104" i="275"/>
  <c r="W28" i="283"/>
  <c r="X118" i="275"/>
  <c r="P122" i="282"/>
  <c r="T62" i="281"/>
  <c r="O67" i="281"/>
  <c r="J45" i="281"/>
  <c r="N96" i="281"/>
  <c r="X80" i="280"/>
  <c r="M24" i="283"/>
  <c r="U129" i="278"/>
  <c r="S24" i="284"/>
  <c r="U38" i="281"/>
  <c r="S138" i="281"/>
  <c r="K40" i="279"/>
  <c r="O39" i="468"/>
  <c r="P104" i="280"/>
  <c r="P127" i="279"/>
  <c r="J44" i="275"/>
  <c r="L115" i="280"/>
  <c r="K61" i="283"/>
  <c r="W136" i="284"/>
  <c r="S113" i="275"/>
  <c r="S99" i="282"/>
  <c r="P77" i="281"/>
  <c r="P43" i="278"/>
  <c r="L140" i="283"/>
  <c r="L125" i="275"/>
  <c r="J118" i="283"/>
  <c r="V37" i="278"/>
  <c r="U32" i="282"/>
  <c r="M45" i="280"/>
  <c r="W130" i="283"/>
  <c r="L4" i="275"/>
  <c r="O111" i="282"/>
  <c r="N116" i="281"/>
  <c r="N48" i="284"/>
  <c r="X42" i="284"/>
  <c r="T31" i="280"/>
  <c r="K36" i="279"/>
  <c r="K81" i="282"/>
  <c r="K110" i="283"/>
  <c r="W112" i="284"/>
  <c r="V126" i="282"/>
  <c r="T15" i="279"/>
  <c r="W8" i="194"/>
  <c r="K107" i="282"/>
  <c r="J61" i="280"/>
  <c r="L31" i="284"/>
  <c r="T95" i="275"/>
  <c r="S106" i="284"/>
  <c r="L11" i="284"/>
  <c r="W9" i="194"/>
  <c r="L63" i="194"/>
  <c r="V15" i="281"/>
  <c r="M53" i="278"/>
  <c r="M58" i="275"/>
  <c r="X23" i="194"/>
  <c r="W134" i="281"/>
  <c r="V28" i="275"/>
  <c r="N133" i="278"/>
  <c r="L95" i="280"/>
  <c r="X116" i="282"/>
  <c r="O27" i="283"/>
  <c r="S8" i="283"/>
  <c r="R129" i="278"/>
  <c r="V87" i="279"/>
  <c r="K59" i="280"/>
  <c r="P82" i="280"/>
  <c r="K55" i="275"/>
  <c r="V42" i="194"/>
  <c r="M31" i="280"/>
  <c r="L7" i="278"/>
  <c r="W99" i="281"/>
  <c r="J98" i="281"/>
  <c r="W81" i="284"/>
  <c r="N58" i="278"/>
  <c r="S66" i="282"/>
  <c r="U51" i="281"/>
  <c r="X24" i="281"/>
  <c r="S77" i="281"/>
  <c r="X131" i="284"/>
  <c r="R19" i="283"/>
  <c r="J11" i="282"/>
  <c r="P69" i="283"/>
  <c r="W29" i="278"/>
  <c r="L129" i="284"/>
  <c r="N34" i="468"/>
  <c r="W103" i="194"/>
  <c r="W92" i="282"/>
  <c r="S76" i="283"/>
  <c r="O31" i="281"/>
  <c r="V129" i="284"/>
  <c r="X13" i="283"/>
  <c r="J98" i="282"/>
  <c r="P44" i="284"/>
  <c r="S15" i="194"/>
  <c r="W109" i="275"/>
  <c r="L105" i="284"/>
  <c r="W111" i="282"/>
  <c r="M26" i="283"/>
  <c r="U128" i="284"/>
  <c r="J114" i="283"/>
  <c r="J119" i="280"/>
  <c r="W139" i="194"/>
  <c r="R8" i="282"/>
  <c r="V106" i="284"/>
  <c r="X105" i="279"/>
  <c r="J36" i="283"/>
  <c r="R85" i="284"/>
  <c r="V109" i="468"/>
  <c r="V50" i="280"/>
  <c r="U25" i="284"/>
  <c r="K84" i="281"/>
  <c r="L18" i="282"/>
  <c r="R130" i="194"/>
  <c r="M45" i="282"/>
  <c r="R45" i="280"/>
  <c r="J50" i="284"/>
  <c r="O55" i="468"/>
  <c r="O34" i="275"/>
  <c r="R134" i="279"/>
  <c r="S138" i="280"/>
  <c r="U129" i="284"/>
  <c r="S14" i="280"/>
  <c r="L103" i="284"/>
  <c r="M42" i="279"/>
  <c r="T81" i="281"/>
  <c r="X129" i="281"/>
  <c r="N24" i="280"/>
  <c r="O69" i="194"/>
  <c r="V119" i="280"/>
  <c r="U22" i="284"/>
  <c r="V3" i="275"/>
  <c r="U107" i="284"/>
  <c r="R116" i="284"/>
  <c r="N139" i="281"/>
  <c r="M48" i="283"/>
  <c r="X54" i="284"/>
  <c r="M56" i="275"/>
  <c r="V48" i="194"/>
  <c r="P19" i="283"/>
  <c r="J123" i="281"/>
  <c r="W28" i="284"/>
  <c r="L114" i="281"/>
  <c r="X67" i="279"/>
  <c r="L103" i="283"/>
  <c r="T25" i="284"/>
  <c r="K90" i="278"/>
  <c r="L34" i="284"/>
  <c r="T134" i="194"/>
  <c r="T27" i="278"/>
  <c r="L22" i="279"/>
  <c r="T104" i="284"/>
  <c r="S101" i="282"/>
  <c r="V38" i="284"/>
  <c r="O110" i="279"/>
  <c r="O14" i="283"/>
  <c r="M23" i="284"/>
  <c r="N87" i="283"/>
  <c r="O8" i="284"/>
  <c r="R127" i="194"/>
  <c r="R36" i="281"/>
  <c r="P74" i="284"/>
  <c r="X35" i="284"/>
  <c r="K69" i="280"/>
  <c r="X30" i="282"/>
  <c r="T55" i="282"/>
  <c r="V41" i="279"/>
  <c r="L123" i="279"/>
  <c r="M8" i="468"/>
  <c r="J122" i="284"/>
  <c r="L63" i="279"/>
  <c r="S93" i="284"/>
  <c r="V24" i="282"/>
  <c r="U62" i="280"/>
  <c r="W130" i="279"/>
  <c r="L127" i="468"/>
  <c r="J31" i="279"/>
  <c r="T86" i="280"/>
  <c r="K49" i="279"/>
  <c r="M111" i="468"/>
  <c r="U9" i="282"/>
  <c r="X100" i="283"/>
  <c r="R17" i="284"/>
  <c r="K51" i="283"/>
  <c r="O95" i="283"/>
  <c r="O8" i="281"/>
  <c r="X10" i="281"/>
  <c r="J36" i="278"/>
  <c r="L125" i="280"/>
  <c r="J118" i="279"/>
  <c r="T126" i="282"/>
  <c r="V6" i="275"/>
  <c r="V75" i="282"/>
  <c r="M122" i="282"/>
  <c r="R85" i="194"/>
  <c r="U11" i="282"/>
  <c r="S89" i="284"/>
  <c r="S11" i="278"/>
  <c r="V72" i="468"/>
  <c r="N36" i="278"/>
  <c r="L12" i="278"/>
  <c r="X94" i="279"/>
  <c r="U84" i="468"/>
  <c r="K120" i="281"/>
  <c r="S4" i="194"/>
  <c r="O93" i="275"/>
  <c r="S119" i="279"/>
  <c r="R75" i="281"/>
  <c r="K22" i="281"/>
  <c r="U48" i="282"/>
  <c r="J124" i="281"/>
  <c r="L4" i="278"/>
  <c r="U17" i="281"/>
  <c r="T10" i="284"/>
  <c r="L126" i="280"/>
  <c r="X120" i="279"/>
  <c r="N94" i="279"/>
  <c r="W63" i="280"/>
  <c r="R115" i="278"/>
  <c r="K138" i="275"/>
  <c r="W38" i="282"/>
  <c r="S131" i="280"/>
  <c r="J35" i="282"/>
  <c r="L126" i="283"/>
  <c r="X66" i="284"/>
  <c r="S60" i="280"/>
  <c r="U14" i="282"/>
  <c r="P68" i="468"/>
  <c r="P5" i="283"/>
  <c r="X37" i="468"/>
  <c r="P47" i="194"/>
  <c r="S86" i="275"/>
  <c r="K84" i="280"/>
  <c r="O97" i="278"/>
  <c r="T75" i="284"/>
  <c r="L46" i="278"/>
  <c r="R4" i="194"/>
  <c r="V120" i="284"/>
  <c r="T46" i="284"/>
  <c r="R6" i="282"/>
  <c r="J95" i="279"/>
  <c r="K89" i="282"/>
  <c r="S18" i="281"/>
  <c r="U132" i="468"/>
  <c r="W128" i="280"/>
  <c r="J109" i="283"/>
  <c r="K6" i="278"/>
  <c r="V5" i="278"/>
  <c r="P41" i="280"/>
  <c r="V25" i="283"/>
  <c r="V18" i="280"/>
  <c r="T70" i="468"/>
  <c r="S36" i="468"/>
  <c r="N14" i="279"/>
  <c r="L29" i="279"/>
  <c r="X16" i="283"/>
  <c r="S139" i="278"/>
  <c r="T12" i="282"/>
  <c r="R116" i="278"/>
  <c r="N120" i="280"/>
  <c r="X29" i="283"/>
  <c r="R72" i="282"/>
  <c r="P19" i="275"/>
  <c r="R34" i="284"/>
  <c r="V98" i="279"/>
  <c r="L31" i="283"/>
  <c r="X82" i="286"/>
  <c r="R23" i="282"/>
  <c r="V139" i="283"/>
  <c r="O93" i="284"/>
  <c r="P10" i="468"/>
  <c r="O25" i="194"/>
  <c r="J38" i="282"/>
  <c r="V111" i="279"/>
  <c r="T10" i="279"/>
  <c r="J101" i="283"/>
  <c r="M35" i="278"/>
  <c r="P21" i="194"/>
  <c r="V15" i="282"/>
  <c r="U100" i="280"/>
  <c r="N118" i="468"/>
  <c r="V69" i="278"/>
  <c r="R68" i="468"/>
  <c r="W11" i="281"/>
  <c r="T59" i="281"/>
  <c r="T48" i="280"/>
  <c r="W7" i="283"/>
  <c r="S24" i="281"/>
  <c r="P128" i="468"/>
  <c r="N56" i="284"/>
  <c r="W30" i="281"/>
  <c r="L43" i="468"/>
  <c r="K87" i="278"/>
  <c r="T74" i="281"/>
  <c r="W79" i="282"/>
  <c r="N108" i="284"/>
  <c r="W24" i="194"/>
  <c r="S67" i="279"/>
  <c r="M69" i="284"/>
  <c r="J106" i="283"/>
  <c r="O85" i="279"/>
  <c r="J91" i="282"/>
  <c r="L79" i="280"/>
  <c r="S69" i="194"/>
  <c r="L10" i="280"/>
  <c r="N138" i="468"/>
  <c r="N13" i="194"/>
  <c r="L123" i="468"/>
  <c r="R51" i="194"/>
  <c r="L107" i="279"/>
  <c r="O122" i="282"/>
  <c r="V59" i="283"/>
  <c r="S87" i="275"/>
  <c r="L7" i="282"/>
  <c r="X23" i="283"/>
  <c r="R140" i="280"/>
  <c r="O18" i="279"/>
  <c r="V39" i="275"/>
  <c r="S42" i="281"/>
  <c r="T13" i="284"/>
  <c r="K13" i="284"/>
  <c r="O69" i="275"/>
  <c r="M111" i="281"/>
  <c r="U34" i="468"/>
  <c r="M91" i="278"/>
  <c r="T65" i="283"/>
  <c r="N38" i="278"/>
  <c r="T85" i="275"/>
  <c r="S33" i="284"/>
  <c r="J86" i="280"/>
  <c r="P138" i="279"/>
  <c r="T22" i="468"/>
  <c r="T85" i="194"/>
  <c r="T104" i="281"/>
  <c r="R78" i="284"/>
  <c r="K60" i="282"/>
  <c r="N122" i="283"/>
  <c r="W76" i="281"/>
  <c r="U26" i="194"/>
  <c r="L93" i="283"/>
  <c r="N102" i="282"/>
  <c r="P68" i="284"/>
  <c r="X60" i="279"/>
  <c r="K73" i="284"/>
  <c r="U36" i="278"/>
  <c r="J103" i="279"/>
  <c r="R104" i="284"/>
  <c r="R139" i="283"/>
  <c r="V82" i="282"/>
  <c r="W58" i="194"/>
  <c r="S128" i="281"/>
  <c r="O21" i="278"/>
  <c r="U66" i="194"/>
  <c r="N91" i="281"/>
  <c r="S79" i="284"/>
  <c r="X71" i="194"/>
  <c r="R42" i="194"/>
  <c r="R87" i="283"/>
  <c r="N69" i="279"/>
  <c r="R52" i="282"/>
  <c r="O87" i="281"/>
  <c r="J52" i="278"/>
  <c r="O135" i="194"/>
  <c r="W23" i="280"/>
  <c r="T109" i="284"/>
  <c r="T124" i="283"/>
  <c r="J20" i="283"/>
  <c r="V28" i="194"/>
  <c r="U121" i="284"/>
  <c r="N92" i="275"/>
  <c r="M55" i="280"/>
  <c r="T6" i="282"/>
  <c r="S67" i="278"/>
  <c r="X110" i="283"/>
  <c r="V76" i="281"/>
  <c r="N117" i="284"/>
  <c r="L140" i="281"/>
  <c r="P31" i="282"/>
  <c r="R36" i="279"/>
  <c r="J25" i="468"/>
  <c r="R29" i="468"/>
  <c r="M117" i="278"/>
  <c r="K59" i="275"/>
  <c r="M129" i="282"/>
  <c r="S32" i="282"/>
  <c r="U100" i="282"/>
  <c r="P130" i="194"/>
  <c r="V44" i="281"/>
  <c r="R13" i="283"/>
  <c r="V83" i="468"/>
  <c r="W41" i="468"/>
  <c r="T129" i="194"/>
  <c r="V137" i="281"/>
  <c r="P103" i="281"/>
  <c r="W14" i="282"/>
  <c r="T115" i="278"/>
  <c r="K12" i="282"/>
  <c r="S13" i="275"/>
  <c r="W126" i="468"/>
  <c r="J73" i="284"/>
  <c r="M132" i="468"/>
  <c r="K24" i="279"/>
  <c r="N14" i="468"/>
  <c r="T15" i="283"/>
  <c r="N53" i="275"/>
  <c r="U30" i="283"/>
  <c r="W37" i="278"/>
  <c r="N40" i="275"/>
  <c r="V54" i="280"/>
  <c r="J27" i="284"/>
  <c r="S17" i="283"/>
  <c r="P101" i="468"/>
  <c r="M73" i="284"/>
  <c r="T56" i="194"/>
  <c r="N140" i="284"/>
  <c r="L48" i="280"/>
  <c r="S97" i="468"/>
  <c r="S104" i="283"/>
  <c r="O29" i="275"/>
  <c r="M101" i="468"/>
  <c r="U41" i="278"/>
  <c r="M40" i="280"/>
  <c r="P75" i="280"/>
  <c r="O29" i="468"/>
  <c r="U67" i="281"/>
  <c r="J43" i="194"/>
  <c r="R34" i="275"/>
  <c r="V75" i="275"/>
  <c r="V43" i="194"/>
  <c r="M133" i="281"/>
  <c r="U28" i="468"/>
  <c r="K18" i="282"/>
  <c r="O7" i="278"/>
  <c r="L74" i="275"/>
  <c r="X12" i="275"/>
  <c r="P131" i="281"/>
  <c r="L88" i="283"/>
  <c r="J111" i="275"/>
  <c r="J44" i="468"/>
  <c r="U7" i="275"/>
  <c r="J107" i="280"/>
  <c r="N55" i="283"/>
  <c r="N55" i="281"/>
  <c r="M15" i="284"/>
  <c r="L21" i="282"/>
  <c r="U131" i="281"/>
  <c r="K38" i="279"/>
  <c r="X3" i="281"/>
  <c r="L34" i="194"/>
  <c r="L24" i="281"/>
  <c r="L106" i="279"/>
  <c r="W59" i="280"/>
  <c r="N46" i="194"/>
  <c r="L123" i="284"/>
  <c r="S83" i="279"/>
  <c r="X40" i="275"/>
  <c r="X75" i="286"/>
  <c r="J28" i="279"/>
  <c r="U71" i="283"/>
  <c r="M20" i="194"/>
  <c r="V120" i="278"/>
  <c r="K61" i="282"/>
  <c r="V12" i="468"/>
  <c r="M48" i="281"/>
  <c r="R61" i="283"/>
  <c r="J55" i="279"/>
  <c r="W56" i="284"/>
  <c r="V111" i="283"/>
  <c r="V52" i="282"/>
  <c r="X73" i="284"/>
  <c r="V4" i="279"/>
  <c r="X43" i="280"/>
  <c r="T115" i="283"/>
  <c r="S108" i="279"/>
  <c r="S132" i="279"/>
  <c r="K125" i="284"/>
  <c r="T82" i="468"/>
  <c r="X85" i="284"/>
  <c r="X43" i="284"/>
  <c r="R120" i="280"/>
  <c r="R39" i="284"/>
  <c r="J113" i="280"/>
  <c r="X69" i="468"/>
  <c r="N19" i="278"/>
  <c r="U138" i="284"/>
  <c r="R8" i="284"/>
  <c r="V16" i="284"/>
  <c r="J99" i="279"/>
  <c r="O13" i="283"/>
  <c r="O131" i="468"/>
  <c r="P18" i="281"/>
  <c r="K48" i="275"/>
  <c r="J115" i="279"/>
  <c r="N7" i="275"/>
  <c r="U117" i="275"/>
  <c r="L31" i="281"/>
  <c r="L15" i="278"/>
  <c r="M139" i="281"/>
  <c r="X71" i="282"/>
  <c r="K77" i="468"/>
  <c r="M133" i="283"/>
  <c r="V99" i="280"/>
  <c r="J133" i="275"/>
  <c r="O48" i="284"/>
  <c r="S134" i="468"/>
  <c r="L24" i="282"/>
  <c r="S114" i="282"/>
  <c r="O52" i="280"/>
  <c r="P121" i="468"/>
  <c r="N27" i="283"/>
  <c r="U41" i="283"/>
  <c r="U121" i="468"/>
  <c r="O135" i="282"/>
  <c r="S28" i="275"/>
  <c r="V129" i="282"/>
  <c r="P103" i="280"/>
  <c r="T99" i="282"/>
  <c r="N30" i="468"/>
  <c r="W102" i="282"/>
  <c r="R18" i="283"/>
  <c r="U123" i="279"/>
  <c r="O30" i="280"/>
  <c r="K16" i="284"/>
  <c r="R79" i="279"/>
  <c r="K136" i="282"/>
  <c r="P72" i="468"/>
  <c r="W82" i="283"/>
  <c r="J14" i="281"/>
  <c r="U98" i="282"/>
  <c r="W13" i="280"/>
  <c r="U114" i="279"/>
  <c r="T73" i="282"/>
  <c r="T28" i="282"/>
  <c r="X32" i="278"/>
  <c r="V122" i="284"/>
  <c r="S93" i="468"/>
  <c r="K123" i="282"/>
  <c r="P119" i="468"/>
  <c r="K131" i="280"/>
  <c r="W27" i="279"/>
  <c r="K116" i="283"/>
  <c r="T72" i="282"/>
  <c r="V126" i="275"/>
  <c r="U115" i="282"/>
  <c r="K128" i="284"/>
  <c r="T118" i="194"/>
  <c r="X37" i="284"/>
  <c r="O93" i="279"/>
  <c r="R76" i="284"/>
  <c r="M14" i="194"/>
  <c r="W109" i="279"/>
  <c r="M57" i="281"/>
  <c r="V31" i="283"/>
  <c r="O116" i="194"/>
  <c r="R128" i="280"/>
  <c r="J17" i="284"/>
  <c r="L74" i="278"/>
  <c r="T24" i="278"/>
  <c r="W53" i="281"/>
  <c r="T112" i="194"/>
  <c r="X51" i="280"/>
  <c r="R62" i="284"/>
  <c r="M93" i="284"/>
  <c r="P64" i="284"/>
  <c r="T130" i="194"/>
  <c r="S49" i="281"/>
  <c r="R117" i="281"/>
  <c r="T38" i="283"/>
  <c r="S49" i="278"/>
  <c r="U138" i="194"/>
  <c r="P13" i="281"/>
  <c r="L82" i="283"/>
  <c r="S92" i="194"/>
  <c r="U133" i="194"/>
  <c r="M38" i="283"/>
  <c r="N33" i="283"/>
  <c r="N3" i="284"/>
  <c r="O64" i="284"/>
  <c r="L87" i="275"/>
  <c r="S64" i="283"/>
  <c r="W88" i="283"/>
  <c r="N22" i="194"/>
  <c r="R39" i="282"/>
  <c r="V63" i="282"/>
  <c r="W124" i="281"/>
  <c r="J81" i="283"/>
  <c r="X5" i="279"/>
  <c r="J97" i="283"/>
  <c r="O127" i="280"/>
  <c r="X21" i="284"/>
  <c r="M3" i="281"/>
  <c r="R135" i="284"/>
  <c r="R49" i="283"/>
  <c r="P119" i="280"/>
  <c r="K81" i="280"/>
  <c r="K20" i="279"/>
  <c r="U78" i="279"/>
  <c r="K10" i="283"/>
  <c r="W72" i="283"/>
  <c r="O37" i="283"/>
  <c r="X102" i="279"/>
  <c r="R125" i="275"/>
  <c r="L122" i="279"/>
  <c r="N81" i="284"/>
  <c r="T93" i="281"/>
  <c r="N114" i="280"/>
  <c r="V132" i="194"/>
  <c r="R20" i="278"/>
  <c r="P26" i="275"/>
  <c r="T112" i="283"/>
  <c r="N18" i="280"/>
  <c r="X45" i="279"/>
  <c r="J44" i="279"/>
  <c r="P35" i="280"/>
  <c r="L132" i="284"/>
  <c r="U53" i="278"/>
  <c r="J88" i="278"/>
  <c r="U52" i="284"/>
  <c r="N88" i="281"/>
  <c r="X119" i="282"/>
  <c r="L108" i="278"/>
  <c r="V91" i="280"/>
  <c r="O109" i="283"/>
  <c r="J133" i="281"/>
  <c r="N90" i="278"/>
  <c r="O56" i="284"/>
  <c r="P65" i="281"/>
  <c r="V97" i="284"/>
  <c r="U94" i="279"/>
  <c r="K76" i="468"/>
  <c r="N104" i="284"/>
  <c r="M9" i="280"/>
  <c r="R90" i="280"/>
  <c r="P59" i="281"/>
  <c r="U76" i="284"/>
  <c r="O136" i="278"/>
  <c r="N34" i="281"/>
  <c r="J49" i="284"/>
  <c r="T69" i="280"/>
  <c r="J11" i="281"/>
  <c r="K7" i="284"/>
  <c r="O25" i="282"/>
  <c r="T134" i="278"/>
  <c r="U9" i="275"/>
  <c r="M69" i="282"/>
  <c r="J58" i="282"/>
  <c r="W124" i="280"/>
  <c r="P44" i="283"/>
  <c r="T10" i="194"/>
  <c r="L6" i="283"/>
  <c r="W131" i="275"/>
  <c r="X107" i="282"/>
  <c r="W87" i="280"/>
  <c r="U127" i="194"/>
  <c r="L21" i="283"/>
  <c r="X28" i="280"/>
  <c r="R40" i="280"/>
  <c r="T76" i="194"/>
  <c r="M133" i="279"/>
  <c r="T100" i="278"/>
  <c r="S119" i="194"/>
  <c r="V42" i="283"/>
  <c r="X21" i="282"/>
  <c r="J84" i="282"/>
  <c r="W67" i="284"/>
  <c r="S25" i="284"/>
  <c r="S64" i="279"/>
  <c r="W105" i="282"/>
  <c r="W74" i="468"/>
  <c r="P44" i="280"/>
  <c r="O101" i="283"/>
  <c r="V114" i="284"/>
  <c r="P106" i="283"/>
  <c r="P11" i="275"/>
  <c r="W30" i="282"/>
  <c r="W13" i="282"/>
  <c r="T6" i="279"/>
  <c r="S60" i="284"/>
  <c r="O46" i="275"/>
  <c r="M124" i="278"/>
  <c r="O108" i="279"/>
  <c r="M5" i="194"/>
  <c r="K95" i="468"/>
  <c r="S110" i="281"/>
  <c r="V6" i="283"/>
  <c r="V60" i="280"/>
  <c r="P22" i="281"/>
  <c r="K11" i="468"/>
  <c r="N35" i="280"/>
  <c r="L52" i="194"/>
  <c r="O124" i="280"/>
  <c r="J9" i="281"/>
  <c r="W31" i="278"/>
  <c r="R38" i="281"/>
  <c r="P70" i="284"/>
  <c r="W125" i="283"/>
  <c r="J67" i="283"/>
  <c r="M3" i="278"/>
  <c r="R12" i="283"/>
  <c r="K139" i="281"/>
  <c r="M3" i="283"/>
  <c r="T73" i="280"/>
  <c r="O83" i="282"/>
  <c r="J96" i="282"/>
  <c r="P53" i="282"/>
  <c r="M3" i="280"/>
  <c r="M36" i="468"/>
  <c r="U113" i="279"/>
  <c r="N115" i="281"/>
  <c r="P98" i="280"/>
  <c r="N43" i="280"/>
  <c r="T138" i="282"/>
  <c r="K103" i="280"/>
  <c r="V98" i="284"/>
  <c r="X69" i="283"/>
  <c r="L44" i="278"/>
  <c r="U124" i="282"/>
  <c r="W123" i="281"/>
  <c r="X86" i="468"/>
  <c r="X41" i="468"/>
  <c r="T88" i="275"/>
  <c r="O119" i="275"/>
  <c r="K69" i="282"/>
  <c r="N8" i="279"/>
  <c r="J60" i="284"/>
  <c r="U97" i="282"/>
  <c r="U23" i="279"/>
  <c r="X119" i="284"/>
  <c r="P44" i="282"/>
  <c r="O101" i="280"/>
  <c r="V76" i="278"/>
  <c r="T138" i="284"/>
  <c r="X36" i="280"/>
  <c r="K33" i="284"/>
  <c r="L27" i="275"/>
  <c r="N98" i="283"/>
  <c r="U34" i="275"/>
  <c r="K124" i="275"/>
  <c r="P140" i="283"/>
  <c r="U40" i="283"/>
  <c r="U114" i="275"/>
  <c r="S80" i="279"/>
  <c r="W140" i="284"/>
  <c r="V105" i="284"/>
  <c r="U112" i="278"/>
  <c r="V11" i="283"/>
  <c r="R21" i="280"/>
  <c r="R69" i="279"/>
  <c r="P138" i="284"/>
  <c r="S20" i="194"/>
  <c r="O104" i="194"/>
  <c r="S12" i="282"/>
  <c r="R48" i="468"/>
  <c r="N113" i="275"/>
  <c r="W18" i="284"/>
  <c r="N32" i="280"/>
  <c r="O138" i="280"/>
  <c r="M81" i="282"/>
  <c r="J21" i="283"/>
  <c r="J94" i="468"/>
  <c r="X111" i="282"/>
  <c r="W6" i="279"/>
  <c r="S116" i="283"/>
  <c r="P74" i="278"/>
  <c r="J69" i="279"/>
  <c r="S122" i="281"/>
  <c r="J75" i="280"/>
  <c r="J109" i="282"/>
  <c r="V25" i="275"/>
  <c r="P73" i="284"/>
  <c r="J58" i="278"/>
  <c r="X62" i="278"/>
  <c r="N125" i="282"/>
  <c r="N24" i="283"/>
  <c r="L17" i="283"/>
  <c r="P6" i="279"/>
  <c r="P29" i="194"/>
  <c r="V33" i="279"/>
  <c r="X46" i="278"/>
  <c r="M43" i="284"/>
  <c r="K111" i="283"/>
  <c r="K88" i="468"/>
  <c r="M123" i="279"/>
  <c r="U20" i="281"/>
  <c r="R66" i="281"/>
  <c r="O39" i="279"/>
  <c r="J140" i="281"/>
  <c r="K88" i="278"/>
  <c r="P24" i="282"/>
  <c r="K14" i="284"/>
  <c r="P30" i="194"/>
  <c r="L99" i="281"/>
  <c r="U125" i="281"/>
  <c r="W123" i="282"/>
  <c r="U98" i="278"/>
  <c r="N102" i="280"/>
  <c r="P117" i="283"/>
  <c r="P140" i="279"/>
  <c r="M16" i="280"/>
  <c r="L55" i="468"/>
  <c r="R116" i="279"/>
  <c r="K88" i="282"/>
  <c r="T116" i="284"/>
  <c r="R98" i="281"/>
  <c r="M81" i="284"/>
  <c r="U5" i="194"/>
  <c r="X137" i="284"/>
  <c r="J77" i="279"/>
  <c r="O123" i="280"/>
  <c r="R99" i="281"/>
  <c r="X128" i="280"/>
  <c r="J130" i="282"/>
  <c r="K91" i="278"/>
  <c r="P128" i="283"/>
  <c r="W26" i="282"/>
  <c r="X130" i="283"/>
  <c r="K55" i="283"/>
  <c r="N125" i="279"/>
  <c r="R120" i="284"/>
  <c r="W128" i="194"/>
  <c r="O129" i="284"/>
  <c r="R133" i="283"/>
  <c r="M105" i="275"/>
  <c r="W49" i="279"/>
  <c r="T22" i="194"/>
  <c r="P32" i="278"/>
  <c r="T124" i="468"/>
  <c r="S65" i="283"/>
  <c r="J92" i="282"/>
  <c r="O129" i="283"/>
  <c r="K22" i="279"/>
  <c r="R35" i="279"/>
  <c r="O64" i="282"/>
  <c r="R16" i="282"/>
  <c r="N24" i="284"/>
  <c r="S94" i="279"/>
  <c r="T20" i="282"/>
  <c r="O36" i="468"/>
  <c r="O55" i="279"/>
  <c r="P5" i="281"/>
  <c r="S71" i="284"/>
  <c r="K72" i="282"/>
  <c r="W16" i="278"/>
  <c r="U83" i="282"/>
  <c r="N43" i="468"/>
  <c r="P82" i="283"/>
  <c r="M62" i="282"/>
  <c r="S81" i="278"/>
  <c r="U66" i="283"/>
  <c r="N5" i="281"/>
  <c r="J140" i="279"/>
  <c r="J80" i="275"/>
  <c r="U130" i="282"/>
  <c r="T109" i="275"/>
  <c r="R118" i="194"/>
  <c r="V7" i="284"/>
  <c r="T134" i="284"/>
  <c r="M102" i="279"/>
  <c r="T138" i="279"/>
  <c r="U105" i="194"/>
  <c r="P119" i="275"/>
  <c r="V57" i="283"/>
  <c r="N64" i="468"/>
  <c r="J125" i="284"/>
  <c r="J72" i="284"/>
  <c r="U65" i="283"/>
  <c r="P57" i="194"/>
  <c r="U82" i="283"/>
  <c r="P16" i="281"/>
  <c r="N56" i="194"/>
  <c r="J131" i="284"/>
  <c r="L14" i="283"/>
  <c r="U94" i="283"/>
  <c r="X3" i="283"/>
  <c r="O58" i="282"/>
  <c r="T29" i="275"/>
  <c r="L20" i="281"/>
  <c r="J96" i="281"/>
  <c r="L57" i="284"/>
  <c r="V121" i="282"/>
  <c r="V31" i="282"/>
  <c r="V13" i="282"/>
  <c r="J75" i="275"/>
  <c r="P97" i="194"/>
  <c r="P74" i="282"/>
  <c r="V49" i="279"/>
  <c r="V113" i="468"/>
  <c r="P21" i="278"/>
  <c r="S129" i="283"/>
  <c r="J66" i="278"/>
  <c r="W64" i="279"/>
  <c r="W132" i="279"/>
  <c r="K73" i="280"/>
  <c r="S13" i="281"/>
  <c r="P11" i="279"/>
  <c r="T12" i="194"/>
  <c r="S46" i="283"/>
  <c r="J34" i="278"/>
  <c r="W113" i="283"/>
  <c r="O60" i="282"/>
  <c r="L135" i="283"/>
  <c r="U91" i="283"/>
  <c r="L48" i="283"/>
  <c r="J49" i="280"/>
  <c r="M92" i="468"/>
  <c r="R129" i="280"/>
  <c r="W99" i="284"/>
  <c r="T44" i="281"/>
  <c r="K137" i="283"/>
  <c r="X114" i="275"/>
  <c r="L119" i="281"/>
  <c r="P64" i="282"/>
  <c r="U16" i="280"/>
  <c r="P45" i="283"/>
  <c r="J115" i="281"/>
  <c r="R111" i="284"/>
  <c r="X91" i="279"/>
  <c r="W67" i="278"/>
  <c r="R100" i="280"/>
  <c r="K24" i="280"/>
  <c r="S93" i="279"/>
  <c r="M42" i="284"/>
  <c r="M11" i="280"/>
  <c r="J137" i="283"/>
  <c r="X9" i="194"/>
  <c r="J15" i="281"/>
  <c r="S105" i="284"/>
  <c r="N34" i="279"/>
  <c r="L106" i="194"/>
  <c r="T67" i="278"/>
  <c r="T53" i="280"/>
  <c r="L73" i="468"/>
  <c r="W28" i="278"/>
  <c r="V68" i="281"/>
  <c r="X103" i="282"/>
  <c r="T116" i="279"/>
  <c r="L31" i="282"/>
  <c r="R42" i="284"/>
  <c r="M137" i="281"/>
  <c r="L64" i="284"/>
  <c r="W121" i="279"/>
  <c r="U93" i="194"/>
  <c r="N40" i="284"/>
  <c r="O68" i="284"/>
  <c r="U71" i="468"/>
  <c r="T87" i="468"/>
  <c r="L37" i="282"/>
  <c r="P126" i="281"/>
  <c r="T125" i="283"/>
  <c r="W80" i="194"/>
  <c r="W58" i="468"/>
  <c r="T38" i="194"/>
  <c r="T34" i="275"/>
  <c r="O128" i="468"/>
  <c r="N11" i="280"/>
  <c r="S32" i="283"/>
  <c r="O91" i="280"/>
  <c r="R60" i="279"/>
  <c r="M87" i="194"/>
  <c r="J77" i="280"/>
  <c r="S73" i="280"/>
  <c r="M129" i="281"/>
  <c r="U124" i="283"/>
  <c r="J71" i="284"/>
  <c r="O103" i="279"/>
  <c r="K19" i="281"/>
  <c r="X61" i="194"/>
  <c r="O43" i="283"/>
  <c r="R48" i="283"/>
  <c r="R26" i="282"/>
  <c r="U70" i="280"/>
  <c r="W117" i="280"/>
  <c r="R80" i="279"/>
  <c r="J53" i="468"/>
  <c r="O91" i="284"/>
  <c r="J35" i="284"/>
  <c r="S136" i="283"/>
  <c r="J98" i="468"/>
  <c r="L98" i="284"/>
  <c r="X63" i="278"/>
  <c r="W125" i="280"/>
  <c r="X130" i="284"/>
  <c r="O78" i="282"/>
  <c r="U78" i="278"/>
  <c r="R34" i="281"/>
  <c r="M141" i="281"/>
  <c r="O124" i="283"/>
  <c r="R69" i="283"/>
  <c r="T21" i="278"/>
  <c r="P99" i="282"/>
  <c r="L35" i="283"/>
  <c r="V46" i="468"/>
  <c r="T23" i="284"/>
  <c r="R73" i="275"/>
  <c r="M15" i="283"/>
  <c r="R24" i="282"/>
  <c r="M22" i="281"/>
  <c r="J46" i="284"/>
  <c r="K100" i="278"/>
  <c r="O98" i="278"/>
  <c r="R103" i="284"/>
  <c r="T5" i="282"/>
  <c r="K46" i="281"/>
  <c r="K4" i="282"/>
  <c r="X74" i="282"/>
  <c r="N71" i="281"/>
  <c r="V31" i="275"/>
  <c r="W79" i="278"/>
  <c r="N120" i="282"/>
  <c r="N87" i="281"/>
  <c r="P126" i="282"/>
  <c r="X36" i="281"/>
  <c r="U131" i="280"/>
  <c r="J110" i="284"/>
  <c r="U56" i="275"/>
  <c r="U16" i="468"/>
  <c r="U54" i="280"/>
  <c r="P37" i="283"/>
  <c r="M124" i="284"/>
  <c r="U71" i="278"/>
  <c r="L72" i="278"/>
  <c r="T17" i="283"/>
  <c r="V67" i="281"/>
  <c r="W121" i="281"/>
  <c r="O53" i="283"/>
  <c r="K128" i="275"/>
  <c r="V109" i="280"/>
  <c r="U100" i="281"/>
  <c r="N7" i="279"/>
  <c r="W70" i="280"/>
  <c r="N120" i="281"/>
  <c r="W35" i="275"/>
  <c r="P30" i="282"/>
  <c r="O86" i="194"/>
  <c r="L124" i="281"/>
  <c r="J88" i="279"/>
  <c r="X66" i="278"/>
  <c r="P99" i="284"/>
  <c r="X62" i="279"/>
  <c r="W3" i="281"/>
  <c r="M108" i="283"/>
  <c r="O44" i="283"/>
  <c r="U136" i="282"/>
  <c r="K123" i="284"/>
  <c r="S38" i="284"/>
  <c r="X71" i="280"/>
  <c r="S28" i="278"/>
  <c r="O43" i="278"/>
  <c r="T54" i="278"/>
  <c r="M64" i="283"/>
  <c r="X76" i="281"/>
  <c r="V54" i="284"/>
  <c r="J57" i="283"/>
  <c r="X29" i="468"/>
  <c r="N82" i="279"/>
  <c r="V77" i="275"/>
  <c r="O89" i="279"/>
  <c r="J70" i="284"/>
  <c r="K80" i="275"/>
  <c r="O122" i="279"/>
  <c r="J107" i="194"/>
  <c r="T15" i="194"/>
  <c r="M9" i="284"/>
  <c r="T108" i="194"/>
  <c r="R126" i="281"/>
  <c r="U18" i="468"/>
  <c r="W86" i="282"/>
  <c r="R29" i="282"/>
  <c r="O102" i="282"/>
  <c r="O134" i="281"/>
  <c r="J109" i="284"/>
  <c r="U109" i="282"/>
  <c r="X15" i="284"/>
  <c r="L39" i="283"/>
  <c r="R55" i="282"/>
  <c r="L132" i="194"/>
  <c r="J64" i="278"/>
  <c r="U93" i="275"/>
  <c r="O130" i="281"/>
  <c r="P37" i="281"/>
  <c r="O17" i="284"/>
  <c r="V94" i="278"/>
  <c r="P50" i="279"/>
  <c r="X101" i="194"/>
  <c r="U6" i="194"/>
  <c r="L119" i="283"/>
  <c r="W54" i="283"/>
  <c r="J100" i="284"/>
  <c r="P89" i="275"/>
  <c r="U92" i="468"/>
  <c r="K33" i="281"/>
  <c r="J56" i="278"/>
  <c r="R106" i="280"/>
  <c r="M5" i="283"/>
  <c r="L99" i="283"/>
  <c r="L8" i="194"/>
  <c r="V10" i="282"/>
  <c r="U32" i="284"/>
  <c r="W61" i="283"/>
  <c r="J113" i="281"/>
  <c r="K70" i="280"/>
  <c r="O38" i="280"/>
  <c r="U121" i="281"/>
  <c r="W68" i="281"/>
  <c r="K112" i="194"/>
  <c r="U70" i="194"/>
  <c r="V56" i="279"/>
  <c r="X16" i="281"/>
  <c r="P109" i="284"/>
  <c r="L127" i="278"/>
  <c r="U123" i="278"/>
  <c r="P96" i="280"/>
  <c r="O55" i="278"/>
  <c r="U121" i="283"/>
  <c r="U11" i="278"/>
  <c r="O102" i="284"/>
  <c r="O47" i="468"/>
  <c r="R52" i="275"/>
  <c r="M89" i="282"/>
  <c r="U65" i="194"/>
  <c r="K20" i="194"/>
  <c r="K120" i="468"/>
  <c r="S74" i="282"/>
  <c r="T104" i="282"/>
  <c r="U54" i="194"/>
  <c r="X58" i="284"/>
  <c r="V101" i="279"/>
  <c r="U112" i="283"/>
  <c r="X54" i="281"/>
  <c r="R135" i="278"/>
  <c r="S72" i="281"/>
  <c r="N36" i="283"/>
  <c r="O82" i="279"/>
  <c r="S71" i="282"/>
  <c r="X86" i="279"/>
  <c r="P59" i="284"/>
  <c r="M3" i="285"/>
  <c r="R12" i="284"/>
  <c r="W48" i="284"/>
  <c r="U83" i="283"/>
  <c r="U46" i="275"/>
  <c r="K36" i="283"/>
  <c r="W16" i="281"/>
  <c r="O68" i="279"/>
  <c r="J87" i="468"/>
  <c r="X26" i="275"/>
  <c r="X114" i="194"/>
  <c r="J4" i="283"/>
  <c r="N14" i="275"/>
  <c r="O6" i="284"/>
  <c r="P139" i="279"/>
  <c r="L50" i="282"/>
  <c r="J102" i="194"/>
  <c r="J111" i="283"/>
  <c r="O95" i="279"/>
  <c r="T132" i="281"/>
  <c r="U19" i="468"/>
  <c r="J6" i="194"/>
  <c r="L22" i="284"/>
  <c r="O46" i="279"/>
  <c r="T81" i="275"/>
  <c r="R74" i="468"/>
  <c r="R94" i="278"/>
  <c r="O70" i="280"/>
  <c r="K102" i="282"/>
  <c r="V30" i="284"/>
  <c r="S3" i="280"/>
  <c r="W9" i="280"/>
  <c r="X90" i="275"/>
  <c r="M27" i="279"/>
  <c r="W104" i="283"/>
  <c r="R32" i="281"/>
  <c r="U102" i="283"/>
  <c r="S37" i="283"/>
  <c r="K82" i="278"/>
  <c r="K17" i="284"/>
  <c r="W7" i="279"/>
  <c r="U108" i="194"/>
  <c r="W44" i="275"/>
  <c r="M139" i="280"/>
  <c r="K27" i="284"/>
  <c r="U90" i="284"/>
  <c r="O50" i="283"/>
  <c r="W16" i="283"/>
  <c r="K127" i="281"/>
  <c r="R114" i="278"/>
  <c r="S52" i="282"/>
  <c r="U3" i="281"/>
  <c r="K3" i="285"/>
  <c r="T84" i="279"/>
  <c r="M90" i="280"/>
  <c r="U123" i="281"/>
  <c r="U57" i="283"/>
  <c r="U62" i="282"/>
  <c r="L137" i="468"/>
  <c r="N127" i="281"/>
  <c r="V71" i="280"/>
  <c r="V116" i="283"/>
  <c r="M118" i="281"/>
  <c r="L99" i="279"/>
  <c r="S64" i="282"/>
  <c r="T113" i="281"/>
  <c r="J10" i="279"/>
  <c r="U113" i="281"/>
  <c r="U128" i="281"/>
  <c r="T97" i="194"/>
  <c r="L31" i="278"/>
  <c r="J19" i="281"/>
  <c r="J97" i="194"/>
  <c r="S102" i="281"/>
  <c r="O123" i="283"/>
  <c r="W81" i="278"/>
  <c r="U28" i="279"/>
  <c r="J7" i="278"/>
  <c r="R138" i="279"/>
  <c r="W30" i="275"/>
  <c r="L46" i="280"/>
  <c r="T101" i="275"/>
  <c r="X42" i="283"/>
  <c r="P37" i="194"/>
  <c r="L38" i="281"/>
  <c r="U126" i="281"/>
  <c r="L136" i="279"/>
  <c r="V138" i="194"/>
  <c r="K132" i="282"/>
  <c r="W132" i="194"/>
  <c r="O127" i="282"/>
  <c r="J5" i="278"/>
  <c r="R31" i="282"/>
  <c r="W119" i="282"/>
  <c r="M90" i="278"/>
  <c r="R59" i="281"/>
  <c r="P93" i="284"/>
  <c r="K108" i="468"/>
  <c r="N108" i="281"/>
  <c r="V42" i="279"/>
  <c r="R64" i="282"/>
  <c r="M21" i="282"/>
  <c r="L110" i="282"/>
  <c r="P78" i="279"/>
  <c r="R9" i="283"/>
  <c r="X48" i="284"/>
  <c r="R81" i="194"/>
  <c r="S20" i="282"/>
  <c r="M126" i="281"/>
  <c r="V59" i="282"/>
  <c r="O140" i="284"/>
  <c r="N104" i="283"/>
  <c r="R100" i="279"/>
  <c r="K93" i="283"/>
  <c r="L23" i="468"/>
  <c r="K113" i="468"/>
  <c r="U97" i="194"/>
  <c r="M68" i="279"/>
  <c r="N138" i="282"/>
  <c r="R51" i="278"/>
  <c r="N99" i="278"/>
  <c r="X27" i="279"/>
  <c r="O25" i="283"/>
  <c r="R28" i="281"/>
  <c r="K58" i="284"/>
  <c r="P123" i="281"/>
  <c r="X3" i="284"/>
  <c r="X128" i="281"/>
  <c r="T61" i="280"/>
  <c r="U29" i="275"/>
  <c r="L18" i="468"/>
  <c r="O8" i="279"/>
  <c r="X25" i="286"/>
  <c r="L44" i="281"/>
  <c r="X80" i="275"/>
  <c r="R6" i="278"/>
  <c r="N23" i="282"/>
  <c r="X34" i="282"/>
  <c r="P125" i="281"/>
  <c r="J58" i="283"/>
  <c r="X6" i="279"/>
  <c r="P87" i="284"/>
  <c r="O11" i="280"/>
  <c r="R62" i="283"/>
  <c r="M40" i="468"/>
  <c r="T128" i="278"/>
  <c r="V51" i="278"/>
  <c r="T64" i="283"/>
  <c r="L41" i="281"/>
  <c r="W130" i="468"/>
  <c r="U8" i="281"/>
  <c r="U34" i="282"/>
  <c r="L3" i="284"/>
  <c r="R100" i="284"/>
  <c r="K75" i="284"/>
  <c r="T44" i="284"/>
  <c r="N66" i="279"/>
  <c r="S24" i="279"/>
  <c r="N31" i="275"/>
  <c r="O69" i="282"/>
  <c r="R62" i="281"/>
  <c r="J70" i="282"/>
  <c r="S73" i="279"/>
  <c r="K115" i="279"/>
  <c r="J18" i="282"/>
  <c r="X5" i="275"/>
  <c r="X29" i="282"/>
  <c r="S41" i="283"/>
  <c r="K6" i="283"/>
  <c r="V71" i="281"/>
  <c r="M27" i="283"/>
  <c r="T5" i="281"/>
  <c r="T27" i="280"/>
  <c r="O88" i="282"/>
  <c r="N98" i="282"/>
  <c r="U49" i="468"/>
  <c r="T21" i="283"/>
  <c r="X48" i="194"/>
  <c r="M75" i="281"/>
  <c r="W100" i="284"/>
  <c r="M133" i="282"/>
  <c r="R30" i="284"/>
  <c r="P63" i="282"/>
  <c r="O85" i="194"/>
  <c r="R65" i="283"/>
  <c r="W90" i="275"/>
  <c r="N49" i="280"/>
  <c r="N121" i="282"/>
  <c r="P73" i="468"/>
  <c r="P8" i="280"/>
  <c r="O29" i="194"/>
  <c r="P34" i="284"/>
  <c r="U96" i="283"/>
  <c r="T130" i="279"/>
  <c r="L88" i="279"/>
  <c r="L124" i="194"/>
  <c r="M49" i="278"/>
  <c r="K10" i="468"/>
  <c r="K24" i="281"/>
  <c r="W57" i="194"/>
  <c r="L18" i="283"/>
  <c r="T119" i="284"/>
  <c r="N81" i="281"/>
  <c r="N90" i="284"/>
  <c r="U19" i="279"/>
  <c r="K140" i="282"/>
  <c r="K53" i="282"/>
  <c r="T10" i="275"/>
  <c r="J113" i="284"/>
  <c r="W37" i="281"/>
  <c r="P88" i="279"/>
  <c r="M54" i="284"/>
  <c r="L78" i="470"/>
  <c r="W13" i="281"/>
  <c r="M12" i="275"/>
  <c r="O28" i="283"/>
  <c r="N18" i="279"/>
  <c r="W44" i="194"/>
  <c r="J22" i="284"/>
  <c r="P18" i="279"/>
  <c r="T27" i="283"/>
  <c r="V131" i="281"/>
  <c r="W98" i="194"/>
  <c r="P109" i="194"/>
  <c r="N8" i="281"/>
  <c r="R88" i="280"/>
  <c r="S100" i="278"/>
  <c r="R83" i="281"/>
  <c r="K54" i="468"/>
  <c r="T53" i="468"/>
  <c r="P91" i="275"/>
  <c r="K46" i="280"/>
  <c r="N69" i="275"/>
  <c r="W123" i="194"/>
  <c r="T44" i="194"/>
  <c r="M137" i="283"/>
  <c r="T43" i="283"/>
  <c r="U4" i="281"/>
  <c r="V13" i="279"/>
  <c r="P13" i="278"/>
  <c r="L121" i="279"/>
  <c r="K29" i="194"/>
  <c r="W95" i="283"/>
  <c r="T73" i="284"/>
  <c r="V85" i="278"/>
  <c r="T65" i="282"/>
  <c r="W102" i="284"/>
  <c r="X131" i="282"/>
  <c r="O61" i="284"/>
  <c r="O41" i="275"/>
  <c r="S10" i="278"/>
  <c r="P76" i="275"/>
  <c r="P22" i="284"/>
  <c r="R92" i="280"/>
  <c r="O24" i="280"/>
  <c r="W52" i="278"/>
  <c r="K54" i="278"/>
  <c r="R125" i="279"/>
  <c r="R52" i="280"/>
  <c r="L66" i="280"/>
  <c r="N90" i="282"/>
  <c r="T52" i="275"/>
  <c r="J23" i="194"/>
  <c r="J6" i="284"/>
  <c r="N95" i="280"/>
  <c r="L39" i="284"/>
  <c r="L69" i="281"/>
  <c r="P90" i="278"/>
  <c r="T100" i="282"/>
  <c r="K137" i="468"/>
  <c r="V134" i="283"/>
  <c r="N72" i="275"/>
  <c r="W119" i="281"/>
  <c r="K20" i="283"/>
  <c r="O13" i="280"/>
  <c r="R25" i="194"/>
  <c r="R74" i="283"/>
  <c r="U42" i="283"/>
  <c r="X134" i="284"/>
  <c r="N72" i="281"/>
  <c r="K17" i="281"/>
  <c r="U26" i="283"/>
  <c r="O20" i="278"/>
  <c r="U137" i="281"/>
  <c r="S10" i="281"/>
  <c r="N36" i="275"/>
  <c r="M30" i="284"/>
  <c r="N115" i="468"/>
  <c r="L19" i="468"/>
  <c r="V101" i="280"/>
  <c r="J20" i="282"/>
  <c r="K138" i="284"/>
  <c r="R34" i="280"/>
  <c r="K127" i="280"/>
  <c r="V74" i="284"/>
  <c r="X21" i="279"/>
  <c r="T140" i="278"/>
  <c r="K71" i="283"/>
  <c r="U45" i="280"/>
  <c r="S95" i="275"/>
  <c r="X45" i="281"/>
  <c r="L43" i="278"/>
  <c r="X84" i="278"/>
  <c r="X118" i="278"/>
  <c r="M10" i="283"/>
  <c r="V110" i="275"/>
  <c r="P3" i="285"/>
  <c r="O16" i="194"/>
  <c r="P33" i="278"/>
  <c r="R121" i="279"/>
  <c r="J12" i="194"/>
  <c r="T64" i="281"/>
  <c r="O110" i="282"/>
  <c r="K122" i="284"/>
  <c r="X136" i="283"/>
  <c r="N12" i="284"/>
  <c r="P8" i="281"/>
  <c r="N99" i="284"/>
  <c r="O97" i="279"/>
  <c r="R141" i="281"/>
  <c r="V121" i="284"/>
  <c r="J91" i="194"/>
  <c r="U53" i="283"/>
  <c r="W128" i="283"/>
  <c r="P107" i="281"/>
  <c r="W140" i="280"/>
  <c r="J124" i="280"/>
  <c r="O107" i="278"/>
  <c r="N110" i="281"/>
  <c r="J59" i="278"/>
  <c r="K98" i="194"/>
  <c r="U125" i="278"/>
  <c r="R4" i="275"/>
  <c r="P70" i="194"/>
  <c r="M17" i="278"/>
  <c r="O139" i="281"/>
  <c r="X54" i="275"/>
  <c r="X73" i="283"/>
  <c r="W64" i="468"/>
  <c r="U88" i="281"/>
  <c r="V81" i="278"/>
  <c r="L61" i="468"/>
  <c r="U21" i="279"/>
  <c r="S113" i="284"/>
  <c r="O112" i="283"/>
  <c r="J30" i="283"/>
  <c r="R76" i="281"/>
  <c r="O99" i="283"/>
  <c r="M21" i="281"/>
  <c r="W61" i="278"/>
  <c r="M20" i="281"/>
  <c r="X76" i="284"/>
  <c r="X11" i="280"/>
  <c r="K57" i="282"/>
  <c r="S7" i="468"/>
  <c r="W136" i="282"/>
  <c r="U18" i="283"/>
  <c r="V13" i="284"/>
  <c r="M64" i="282"/>
  <c r="S125" i="275"/>
  <c r="S67" i="280"/>
  <c r="L9" i="284"/>
  <c r="R4" i="281"/>
  <c r="T67" i="194"/>
  <c r="K18" i="280"/>
  <c r="X91" i="284"/>
  <c r="X125" i="279"/>
  <c r="S81" i="282"/>
  <c r="T43" i="284"/>
  <c r="N73" i="279"/>
  <c r="K12" i="284"/>
  <c r="R57" i="282"/>
  <c r="T50" i="468"/>
  <c r="T13" i="282"/>
  <c r="O134" i="468"/>
  <c r="K48" i="468"/>
  <c r="T48" i="284"/>
  <c r="P109" i="282"/>
  <c r="J15" i="282"/>
  <c r="L105" i="282"/>
  <c r="O46" i="284"/>
  <c r="R39" i="275"/>
  <c r="K7" i="275"/>
  <c r="X40" i="284"/>
  <c r="J64" i="282"/>
  <c r="O109" i="280"/>
  <c r="N12" i="278"/>
  <c r="U49" i="281"/>
  <c r="X20" i="281"/>
  <c r="N118" i="284"/>
  <c r="K16" i="194"/>
  <c r="L113" i="278"/>
  <c r="R62" i="282"/>
  <c r="X136" i="278"/>
  <c r="L56" i="283"/>
  <c r="K99" i="282"/>
  <c r="M61" i="278"/>
  <c r="V25" i="281"/>
  <c r="W86" i="284"/>
  <c r="K129" i="278"/>
  <c r="M70" i="282"/>
  <c r="N12" i="282"/>
  <c r="X30" i="278"/>
  <c r="N24" i="281"/>
  <c r="W43" i="280"/>
  <c r="W15" i="284"/>
  <c r="S71" i="278"/>
  <c r="X64" i="282"/>
  <c r="U50" i="279"/>
  <c r="U22" i="281"/>
  <c r="P50" i="275"/>
  <c r="U99" i="283"/>
  <c r="U102" i="281"/>
  <c r="R73" i="283"/>
  <c r="O34" i="284"/>
  <c r="N16" i="280"/>
  <c r="S34" i="282"/>
  <c r="L128" i="281"/>
  <c r="M60" i="282"/>
  <c r="P63" i="468"/>
  <c r="R138" i="275"/>
  <c r="N109" i="278"/>
  <c r="O27" i="284"/>
  <c r="L72" i="281"/>
  <c r="V114" i="282"/>
  <c r="U14" i="284"/>
  <c r="V137" i="279"/>
  <c r="P77" i="278"/>
  <c r="U73" i="194"/>
  <c r="T32" i="281"/>
  <c r="L97" i="284"/>
  <c r="X27" i="194"/>
  <c r="O5" i="275"/>
  <c r="J43" i="283"/>
  <c r="X22" i="282"/>
  <c r="K12" i="280"/>
  <c r="W12" i="275"/>
  <c r="O127" i="468"/>
  <c r="M79" i="278"/>
  <c r="O111" i="468"/>
  <c r="U6" i="278"/>
  <c r="N136" i="194"/>
  <c r="J32" i="284"/>
  <c r="M138" i="194"/>
  <c r="U104" i="194"/>
  <c r="O87" i="275"/>
  <c r="S131" i="281"/>
  <c r="O14" i="275"/>
  <c r="T7" i="281"/>
  <c r="X95" i="280"/>
  <c r="L41" i="282"/>
  <c r="P76" i="284"/>
  <c r="N40" i="194"/>
  <c r="M134" i="279"/>
  <c r="X20" i="468"/>
  <c r="J25" i="275"/>
  <c r="O14" i="280"/>
  <c r="X65" i="280"/>
  <c r="L12" i="275"/>
  <c r="S105" i="278"/>
  <c r="X125" i="468"/>
  <c r="U23" i="275"/>
  <c r="T99" i="283"/>
  <c r="S48" i="283"/>
  <c r="S78" i="283"/>
  <c r="J132" i="283"/>
  <c r="P72" i="284"/>
  <c r="R64" i="284"/>
  <c r="S31" i="275"/>
  <c r="K50" i="282"/>
  <c r="J30" i="275"/>
  <c r="N3" i="275"/>
  <c r="K123" i="283"/>
  <c r="W19" i="278"/>
  <c r="W116" i="284"/>
  <c r="M4" i="280"/>
  <c r="V82" i="468"/>
  <c r="M109" i="282"/>
  <c r="P5" i="278"/>
  <c r="L137" i="278"/>
  <c r="V82" i="280"/>
  <c r="W126" i="280"/>
  <c r="S56" i="275"/>
  <c r="K125" i="278"/>
  <c r="M36" i="283"/>
  <c r="U18" i="275"/>
  <c r="R86" i="283"/>
  <c r="P111" i="280"/>
  <c r="O41" i="279"/>
  <c r="L104" i="281"/>
  <c r="T69" i="283"/>
  <c r="T126" i="468"/>
  <c r="X37" i="279"/>
  <c r="N112" i="468"/>
  <c r="N52" i="282"/>
  <c r="T117" i="278"/>
  <c r="T7" i="275"/>
  <c r="P24" i="278"/>
  <c r="J21" i="468"/>
  <c r="R136" i="468"/>
  <c r="W91" i="281"/>
  <c r="S68" i="283"/>
  <c r="S46" i="280"/>
  <c r="S50" i="281"/>
  <c r="M15" i="282"/>
  <c r="R98" i="283"/>
  <c r="L62" i="468"/>
  <c r="T87" i="282"/>
  <c r="V113" i="278"/>
  <c r="M89" i="468"/>
  <c r="M18" i="278"/>
  <c r="S7" i="275"/>
  <c r="L123" i="281"/>
  <c r="T50" i="278"/>
  <c r="K71" i="275"/>
  <c r="M50" i="282"/>
  <c r="U59" i="283"/>
  <c r="O48" i="278"/>
  <c r="N9" i="281"/>
  <c r="O65" i="278"/>
  <c r="L18" i="281"/>
  <c r="R98" i="279"/>
  <c r="M131" i="278"/>
  <c r="X102" i="286"/>
  <c r="W116" i="279"/>
  <c r="U67" i="468"/>
  <c r="N37" i="282"/>
  <c r="N27" i="279"/>
  <c r="O120" i="275"/>
  <c r="M9" i="275"/>
  <c r="M13" i="275"/>
  <c r="P10" i="275"/>
  <c r="V33" i="282"/>
  <c r="W50" i="284"/>
  <c r="S134" i="284"/>
  <c r="N89" i="281"/>
  <c r="R65" i="282"/>
  <c r="P86" i="279"/>
  <c r="K117" i="468"/>
  <c r="R54" i="284"/>
  <c r="S16" i="282"/>
  <c r="L23" i="281"/>
  <c r="N3" i="281"/>
  <c r="R48" i="284"/>
  <c r="U73" i="283"/>
  <c r="V115" i="278"/>
  <c r="R31" i="280"/>
  <c r="P111" i="278"/>
  <c r="X27" i="278"/>
  <c r="W5" i="468"/>
  <c r="J126" i="278"/>
  <c r="L70" i="280"/>
  <c r="L67" i="275"/>
  <c r="T117" i="194"/>
  <c r="L86" i="278"/>
  <c r="J123" i="282"/>
  <c r="M8" i="279"/>
  <c r="J30" i="282"/>
  <c r="L3" i="281"/>
  <c r="U99" i="194"/>
  <c r="J125" i="275"/>
  <c r="N70" i="468"/>
  <c r="S70" i="280"/>
  <c r="M19" i="275"/>
  <c r="K17" i="280"/>
  <c r="X8" i="279"/>
  <c r="S136" i="284"/>
  <c r="N54" i="468"/>
  <c r="N87" i="275"/>
  <c r="L6" i="284"/>
  <c r="N30" i="282"/>
  <c r="W51" i="278"/>
  <c r="V119" i="282"/>
  <c r="U3" i="284"/>
  <c r="P105" i="282"/>
  <c r="T63" i="284"/>
  <c r="L6" i="278"/>
  <c r="V107" i="194"/>
  <c r="J141" i="281"/>
  <c r="X89" i="282"/>
  <c r="K32" i="282"/>
  <c r="R8" i="281"/>
  <c r="P103" i="275"/>
  <c r="P122" i="279"/>
  <c r="X127" i="280"/>
  <c r="K74" i="281"/>
  <c r="T16" i="283"/>
  <c r="N111" i="279"/>
  <c r="S121" i="281"/>
  <c r="T118" i="280"/>
  <c r="R54" i="279"/>
  <c r="T50" i="282"/>
  <c r="S112" i="278"/>
  <c r="K115" i="275"/>
  <c r="S120" i="278"/>
  <c r="O137" i="281"/>
  <c r="L13" i="468"/>
  <c r="O19" i="278"/>
  <c r="O107" i="280"/>
  <c r="U63" i="275"/>
  <c r="M121" i="279"/>
  <c r="V38" i="468"/>
  <c r="T45" i="281"/>
  <c r="N124" i="281"/>
  <c r="O119" i="279"/>
  <c r="T134" i="275"/>
  <c r="T75" i="280"/>
  <c r="M25" i="468"/>
  <c r="S69" i="282"/>
  <c r="R42" i="279"/>
  <c r="M85" i="468"/>
  <c r="W114" i="284"/>
  <c r="W114" i="279"/>
  <c r="T97" i="468"/>
  <c r="T120" i="283"/>
  <c r="N121" i="278"/>
  <c r="K84" i="194"/>
  <c r="J37" i="468"/>
  <c r="N9" i="282"/>
  <c r="S76" i="281"/>
  <c r="O45" i="279"/>
  <c r="N31" i="282"/>
  <c r="O120" i="279"/>
  <c r="U25" i="468"/>
  <c r="M115" i="283"/>
  <c r="T136" i="275"/>
  <c r="M28" i="278"/>
  <c r="V102" i="281"/>
  <c r="J48" i="279"/>
  <c r="M12" i="280"/>
  <c r="P132" i="275"/>
  <c r="W135" i="275"/>
  <c r="X70" i="468"/>
  <c r="N115" i="283"/>
  <c r="O139" i="282"/>
  <c r="N74" i="280"/>
  <c r="N41" i="282"/>
  <c r="L67" i="280"/>
  <c r="S45" i="279"/>
  <c r="R133" i="280"/>
  <c r="S76" i="279"/>
  <c r="P140" i="280"/>
  <c r="V14" i="284"/>
  <c r="V127" i="284"/>
  <c r="T115" i="282"/>
  <c r="M106" i="194"/>
  <c r="P109" i="281"/>
  <c r="O42" i="278"/>
  <c r="S33" i="278"/>
  <c r="J75" i="284"/>
  <c r="O33" i="284"/>
  <c r="J98" i="284"/>
  <c r="V108" i="283"/>
  <c r="R138" i="280"/>
  <c r="O112" i="282"/>
  <c r="J120" i="283"/>
  <c r="W44" i="282"/>
  <c r="M19" i="279"/>
  <c r="M119" i="281"/>
  <c r="V106" i="282"/>
  <c r="S70" i="279"/>
  <c r="V53" i="468"/>
  <c r="X32" i="281"/>
  <c r="X44" i="286"/>
  <c r="R72" i="281"/>
  <c r="M26" i="280"/>
  <c r="V74" i="280"/>
  <c r="V36" i="279"/>
  <c r="P54" i="281"/>
  <c r="V11" i="282"/>
  <c r="T106" i="281"/>
  <c r="V24" i="279"/>
  <c r="V137" i="280"/>
  <c r="J74" i="275"/>
  <c r="P21" i="468"/>
  <c r="N73" i="280"/>
  <c r="N6" i="468"/>
  <c r="M34" i="275"/>
  <c r="W15" i="281"/>
  <c r="N135" i="282"/>
  <c r="N30" i="278"/>
  <c r="T135" i="280"/>
  <c r="X109" i="279"/>
  <c r="R85" i="275"/>
  <c r="M117" i="468"/>
  <c r="L119" i="275"/>
  <c r="T98" i="282"/>
  <c r="J102" i="281"/>
  <c r="X114" i="279"/>
  <c r="K42" i="283"/>
  <c r="U49" i="282"/>
  <c r="T80" i="283"/>
  <c r="J31" i="283"/>
  <c r="P57" i="284"/>
  <c r="V118" i="282"/>
  <c r="L29" i="283"/>
  <c r="X53" i="283"/>
  <c r="R82" i="468"/>
  <c r="O51" i="278"/>
  <c r="X117" i="282"/>
  <c r="M38" i="279"/>
  <c r="M132" i="283"/>
  <c r="L37" i="279"/>
  <c r="O50" i="275"/>
  <c r="W102" i="283"/>
  <c r="X45" i="284"/>
  <c r="W118" i="275"/>
  <c r="P134" i="280"/>
  <c r="L92" i="282"/>
  <c r="R22" i="275"/>
  <c r="M79" i="281"/>
  <c r="N64" i="275"/>
  <c r="R99" i="280"/>
  <c r="X114" i="282"/>
  <c r="R133" i="468"/>
  <c r="X109" i="194"/>
  <c r="K9" i="281"/>
  <c r="X140" i="278"/>
  <c r="T69" i="468"/>
  <c r="V128" i="278"/>
  <c r="P139" i="283"/>
  <c r="W19" i="279"/>
  <c r="P116" i="194"/>
  <c r="O99" i="468"/>
  <c r="U27" i="279"/>
  <c r="V124" i="275"/>
  <c r="W40" i="275"/>
  <c r="S3" i="281"/>
  <c r="R28" i="279"/>
  <c r="S55" i="278"/>
  <c r="V74" i="468"/>
  <c r="N43" i="282"/>
  <c r="V34" i="282"/>
  <c r="K31" i="468"/>
  <c r="L36" i="468"/>
  <c r="M32" i="281"/>
  <c r="P138" i="283"/>
  <c r="K118" i="284"/>
  <c r="S33" i="275"/>
  <c r="V54" i="279"/>
  <c r="K73" i="281"/>
  <c r="T112" i="275"/>
  <c r="U54" i="275"/>
  <c r="W49" i="282"/>
  <c r="M74" i="278"/>
  <c r="T131" i="279"/>
  <c r="V103" i="283"/>
  <c r="L28" i="283"/>
  <c r="V136" i="468"/>
  <c r="L108" i="283"/>
  <c r="J56" i="283"/>
  <c r="W42" i="282"/>
  <c r="R40" i="279"/>
  <c r="X123" i="283"/>
  <c r="K118" i="275"/>
  <c r="X108" i="284"/>
  <c r="O71" i="282"/>
  <c r="T125" i="282"/>
  <c r="U106" i="284"/>
  <c r="P18" i="275"/>
  <c r="X18" i="278"/>
  <c r="W65" i="282"/>
  <c r="P4" i="280"/>
  <c r="M79" i="194"/>
  <c r="S132" i="280"/>
  <c r="R40" i="281"/>
  <c r="P113" i="283"/>
  <c r="O53" i="275"/>
  <c r="K17" i="275"/>
  <c r="R22" i="278"/>
  <c r="M100" i="283"/>
  <c r="L30" i="194"/>
  <c r="T133" i="280"/>
  <c r="T64" i="278"/>
  <c r="W121" i="284"/>
  <c r="X51" i="278"/>
  <c r="M103" i="278"/>
  <c r="L72" i="282"/>
  <c r="U21" i="194"/>
  <c r="K34" i="281"/>
  <c r="P35" i="275"/>
  <c r="P49" i="280"/>
  <c r="K122" i="194"/>
  <c r="U61" i="279"/>
  <c r="N139" i="279"/>
  <c r="O136" i="279"/>
  <c r="V125" i="282"/>
  <c r="U119" i="280"/>
  <c r="V122" i="282"/>
  <c r="N121" i="280"/>
  <c r="S54" i="282"/>
  <c r="V71" i="278"/>
  <c r="M130" i="284"/>
  <c r="M137" i="282"/>
  <c r="R116" i="275"/>
  <c r="U28" i="278"/>
  <c r="R127" i="282"/>
  <c r="N113" i="468"/>
  <c r="P9" i="278"/>
  <c r="L71" i="275"/>
  <c r="W139" i="281"/>
  <c r="L53" i="194"/>
  <c r="W20" i="278"/>
  <c r="O3" i="281"/>
  <c r="V94" i="468"/>
  <c r="K105" i="279"/>
  <c r="J17" i="281"/>
  <c r="X112" i="283"/>
  <c r="M38" i="278"/>
  <c r="T121" i="282"/>
  <c r="P110" i="279"/>
  <c r="K9" i="283"/>
  <c r="O83" i="279"/>
  <c r="S71" i="281"/>
  <c r="R21" i="278"/>
  <c r="T37" i="280"/>
  <c r="J87" i="278"/>
  <c r="S5" i="275"/>
  <c r="S123" i="284"/>
  <c r="K87" i="468"/>
  <c r="O61" i="279"/>
  <c r="W42" i="278"/>
  <c r="K68" i="284"/>
  <c r="N115" i="282"/>
  <c r="M13" i="282"/>
  <c r="O123" i="284"/>
  <c r="U4" i="278"/>
  <c r="P126" i="280"/>
  <c r="S138" i="284"/>
  <c r="U23" i="283"/>
  <c r="S107" i="468"/>
  <c r="X136" i="279"/>
  <c r="L66" i="468"/>
  <c r="M93" i="278"/>
  <c r="O68" i="281"/>
  <c r="W41" i="275"/>
  <c r="L118" i="280"/>
  <c r="M80" i="280"/>
  <c r="M17" i="468"/>
  <c r="R138" i="282"/>
  <c r="J62" i="279"/>
  <c r="V55" i="284"/>
  <c r="P9" i="282"/>
  <c r="S107" i="194"/>
  <c r="J17" i="282"/>
  <c r="N55" i="275"/>
  <c r="K113" i="279"/>
  <c r="V103" i="281"/>
  <c r="W59" i="468"/>
  <c r="N100" i="282"/>
  <c r="J37" i="278"/>
  <c r="R55" i="194"/>
  <c r="J68" i="283"/>
  <c r="V60" i="284"/>
  <c r="M75" i="278"/>
  <c r="X44" i="279"/>
  <c r="L22" i="280"/>
  <c r="U75" i="468"/>
  <c r="V123" i="275"/>
  <c r="V5" i="275"/>
  <c r="X132" i="283"/>
  <c r="U28" i="280"/>
  <c r="P6" i="468"/>
  <c r="T133" i="468"/>
  <c r="P137" i="282"/>
  <c r="L59" i="278"/>
  <c r="O70" i="281"/>
  <c r="T126" i="194"/>
  <c r="R19" i="275"/>
  <c r="N105" i="281"/>
  <c r="R28" i="275"/>
  <c r="U135" i="284"/>
  <c r="K67" i="275"/>
  <c r="P46" i="283"/>
  <c r="V32" i="282"/>
  <c r="M24" i="281"/>
  <c r="W90" i="468"/>
  <c r="U68" i="275"/>
  <c r="S140" i="280"/>
  <c r="U55" i="284"/>
  <c r="V139" i="281"/>
  <c r="T13" i="468"/>
  <c r="L130" i="282"/>
  <c r="P126" i="284"/>
  <c r="P59" i="280"/>
  <c r="X103" i="468"/>
  <c r="X35" i="275"/>
  <c r="J35" i="468"/>
  <c r="X83" i="468"/>
  <c r="X75" i="280"/>
  <c r="J102" i="279"/>
  <c r="J102" i="275"/>
  <c r="W92" i="275"/>
  <c r="O60" i="278"/>
  <c r="S13" i="283"/>
  <c r="P14" i="275"/>
  <c r="S137" i="279"/>
  <c r="X56" i="275"/>
  <c r="S78" i="468"/>
  <c r="K126" i="280"/>
  <c r="X16" i="286"/>
  <c r="X115" i="284"/>
  <c r="O49" i="279"/>
  <c r="T72" i="194"/>
  <c r="T114" i="280"/>
  <c r="J130" i="281"/>
  <c r="X49" i="468"/>
  <c r="X114" i="468"/>
  <c r="S41" i="281"/>
  <c r="T66" i="282"/>
  <c r="S90" i="281"/>
  <c r="S10" i="284"/>
  <c r="M49" i="282"/>
  <c r="S123" i="278"/>
  <c r="T62" i="278"/>
  <c r="U119" i="283"/>
  <c r="T66" i="279"/>
  <c r="P15" i="275"/>
  <c r="K41" i="275"/>
  <c r="L7" i="280"/>
  <c r="O59" i="280"/>
  <c r="P108" i="278"/>
  <c r="K56" i="283"/>
  <c r="K83" i="282"/>
  <c r="U39" i="278"/>
  <c r="P75" i="281"/>
  <c r="T114" i="279"/>
  <c r="W60" i="284"/>
  <c r="W34" i="468"/>
  <c r="W120" i="281"/>
  <c r="M123" i="468"/>
  <c r="N20" i="280"/>
  <c r="V70" i="278"/>
  <c r="R134" i="280"/>
  <c r="X62" i="468"/>
  <c r="S74" i="280"/>
  <c r="J124" i="283"/>
  <c r="R137" i="281"/>
  <c r="U11" i="194"/>
  <c r="K118" i="468"/>
  <c r="W77" i="282"/>
  <c r="T7" i="279"/>
  <c r="M127" i="280"/>
  <c r="T3" i="282"/>
  <c r="S121" i="282"/>
  <c r="O96" i="281"/>
  <c r="R76" i="280"/>
  <c r="K72" i="280"/>
  <c r="V38" i="283"/>
  <c r="N109" i="281"/>
  <c r="T122" i="194"/>
  <c r="N106" i="281"/>
  <c r="L15" i="280"/>
  <c r="O53" i="468"/>
  <c r="O85" i="468"/>
  <c r="X96" i="280"/>
  <c r="X7" i="275"/>
  <c r="T112" i="284"/>
  <c r="L111" i="281"/>
  <c r="L36" i="280"/>
  <c r="T129" i="280"/>
  <c r="V41" i="282"/>
  <c r="U39" i="279"/>
  <c r="N4" i="194"/>
  <c r="N117" i="468"/>
  <c r="V116" i="468"/>
  <c r="K19" i="279"/>
  <c r="T17" i="282"/>
  <c r="T19" i="284"/>
  <c r="S39" i="278"/>
  <c r="O138" i="284"/>
  <c r="S63" i="275"/>
  <c r="O75" i="284"/>
  <c r="R14" i="278"/>
  <c r="M138" i="284"/>
  <c r="T55" i="278"/>
  <c r="R60" i="282"/>
  <c r="X108" i="281"/>
  <c r="X20" i="280"/>
  <c r="V70" i="275"/>
  <c r="J136" i="275"/>
  <c r="L51" i="281"/>
  <c r="M22" i="194"/>
  <c r="P80" i="279"/>
  <c r="S104" i="279"/>
  <c r="R49" i="282"/>
  <c r="U116" i="280"/>
  <c r="W51" i="279"/>
  <c r="O123" i="468"/>
  <c r="X137" i="278"/>
  <c r="W118" i="281"/>
  <c r="S94" i="194"/>
  <c r="M86" i="278"/>
  <c r="J121" i="279"/>
  <c r="P98" i="278"/>
  <c r="L68" i="282"/>
  <c r="J72" i="281"/>
  <c r="K108" i="279"/>
  <c r="X105" i="283"/>
  <c r="M138" i="278"/>
  <c r="T83" i="275"/>
  <c r="S72" i="283"/>
  <c r="W122" i="281"/>
  <c r="V121" i="468"/>
  <c r="R8" i="279"/>
  <c r="X124" i="281"/>
  <c r="N48" i="468"/>
  <c r="J132" i="282"/>
  <c r="J74" i="283"/>
  <c r="O22" i="280"/>
  <c r="K60" i="284"/>
  <c r="S54" i="278"/>
  <c r="L85" i="468"/>
  <c r="V22" i="284"/>
  <c r="S61" i="281"/>
  <c r="P116" i="278"/>
  <c r="L117" i="284"/>
  <c r="T26" i="278"/>
  <c r="U122" i="468"/>
  <c r="L102" i="283"/>
  <c r="K24" i="282"/>
  <c r="N71" i="194"/>
  <c r="N129" i="278"/>
  <c r="L60" i="278"/>
  <c r="L10" i="284"/>
  <c r="X34" i="278"/>
  <c r="W67" i="275"/>
  <c r="R49" i="280"/>
  <c r="L140" i="282"/>
  <c r="L73" i="281"/>
  <c r="X49" i="284"/>
  <c r="S140" i="279"/>
  <c r="O5" i="278"/>
  <c r="T117" i="282"/>
  <c r="R36" i="282"/>
  <c r="R51" i="282"/>
  <c r="K129" i="468"/>
  <c r="P113" i="281"/>
  <c r="X31" i="194"/>
  <c r="V86" i="468"/>
  <c r="P128" i="284"/>
  <c r="V29" i="283"/>
  <c r="V71" i="282"/>
  <c r="R103" i="282"/>
  <c r="U38" i="468"/>
  <c r="W24" i="275"/>
  <c r="V40" i="282"/>
  <c r="M26" i="468"/>
  <c r="O14" i="282"/>
  <c r="N9" i="279"/>
  <c r="K55" i="281"/>
  <c r="N126" i="279"/>
  <c r="M139" i="468"/>
  <c r="X60" i="283"/>
  <c r="M7" i="283"/>
  <c r="T126" i="279"/>
  <c r="X29" i="279"/>
  <c r="X23" i="280"/>
  <c r="U108" i="275"/>
  <c r="V42" i="280"/>
  <c r="L26" i="283"/>
  <c r="K98" i="284"/>
  <c r="U110" i="275"/>
  <c r="K17" i="194"/>
  <c r="M62" i="284"/>
  <c r="W48" i="283"/>
  <c r="X125" i="280"/>
  <c r="X10" i="284"/>
  <c r="O75" i="281"/>
  <c r="X116" i="283"/>
  <c r="N9" i="278"/>
  <c r="W72" i="278"/>
  <c r="X23" i="279"/>
  <c r="P71" i="278"/>
  <c r="S56" i="281"/>
  <c r="L112" i="275"/>
  <c r="L68" i="281"/>
  <c r="X133" i="278"/>
  <c r="S23" i="280"/>
  <c r="W74" i="282"/>
  <c r="X13" i="282"/>
  <c r="X107" i="278"/>
  <c r="P49" i="281"/>
  <c r="M122" i="275"/>
  <c r="L73" i="280"/>
  <c r="R32" i="275"/>
  <c r="M50" i="279"/>
  <c r="W11" i="194"/>
  <c r="V86" i="281"/>
  <c r="L83" i="284"/>
  <c r="O13" i="282"/>
  <c r="R15" i="283"/>
  <c r="O131" i="284"/>
  <c r="W105" i="278"/>
  <c r="X69" i="282"/>
  <c r="M61" i="279"/>
  <c r="P27" i="282"/>
  <c r="S135" i="284"/>
  <c r="M136" i="283"/>
  <c r="N107" i="280"/>
  <c r="U54" i="278"/>
  <c r="S59" i="280"/>
  <c r="T117" i="279"/>
  <c r="P110" i="278"/>
  <c r="S115" i="278"/>
  <c r="J138" i="283"/>
  <c r="K45" i="283"/>
  <c r="O134" i="283"/>
  <c r="J133" i="283"/>
  <c r="O65" i="282"/>
  <c r="X25" i="281"/>
  <c r="X115" i="282"/>
  <c r="O3" i="278"/>
  <c r="S128" i="283"/>
  <c r="T131" i="284"/>
  <c r="U104" i="275"/>
  <c r="L107" i="468"/>
  <c r="S40" i="283"/>
  <c r="W36" i="282"/>
  <c r="J129" i="468"/>
  <c r="O61" i="281"/>
  <c r="K46" i="278"/>
  <c r="T39" i="283"/>
  <c r="O100" i="281"/>
  <c r="V6" i="284"/>
  <c r="V64" i="278"/>
  <c r="K57" i="281"/>
  <c r="L100" i="275"/>
  <c r="K126" i="283"/>
  <c r="V131" i="284"/>
  <c r="X83" i="286"/>
  <c r="U17" i="283"/>
  <c r="W58" i="275"/>
  <c r="V40" i="281"/>
  <c r="V46" i="283"/>
  <c r="T119" i="278"/>
  <c r="U136" i="280"/>
  <c r="J54" i="284"/>
  <c r="N139" i="283"/>
  <c r="K101" i="468"/>
  <c r="R78" i="468"/>
  <c r="S139" i="283"/>
  <c r="W62" i="278"/>
  <c r="V75" i="194"/>
  <c r="V51" i="281"/>
  <c r="X109" i="275"/>
  <c r="V65" i="279"/>
  <c r="V85" i="468"/>
  <c r="N93" i="194"/>
  <c r="U139" i="468"/>
  <c r="L114" i="275"/>
  <c r="K135" i="468"/>
  <c r="S103" i="284"/>
  <c r="U6" i="283"/>
  <c r="W87" i="468"/>
  <c r="R139" i="284"/>
  <c r="N46" i="468"/>
  <c r="L21" i="468"/>
  <c r="W41" i="194"/>
  <c r="P32" i="282"/>
  <c r="T66" i="275"/>
  <c r="U72" i="275"/>
  <c r="R132" i="279"/>
  <c r="O116" i="468"/>
  <c r="P104" i="281"/>
  <c r="W122" i="284"/>
  <c r="X3" i="282"/>
  <c r="L113" i="279"/>
  <c r="P51" i="282"/>
  <c r="M73" i="280"/>
  <c r="S50" i="284"/>
  <c r="W9" i="279"/>
  <c r="R132" i="275"/>
  <c r="L33" i="468"/>
  <c r="T36" i="468"/>
  <c r="M31" i="283"/>
  <c r="U20" i="275"/>
  <c r="M44" i="282"/>
  <c r="M86" i="282"/>
  <c r="L8" i="281"/>
  <c r="S103" i="275"/>
  <c r="X101" i="280"/>
  <c r="O27" i="280"/>
  <c r="N86" i="279"/>
  <c r="N74" i="282"/>
  <c r="O40" i="282"/>
  <c r="U26" i="280"/>
  <c r="W117" i="275"/>
  <c r="V46" i="278"/>
  <c r="N49" i="278"/>
  <c r="U45" i="468"/>
  <c r="T44" i="279"/>
  <c r="L127" i="281"/>
  <c r="S98" i="283"/>
  <c r="W82" i="280"/>
  <c r="S133" i="281"/>
  <c r="W115" i="279"/>
  <c r="R130" i="284"/>
  <c r="X85" i="282"/>
  <c r="T96" i="275"/>
  <c r="X131" i="279"/>
  <c r="V72" i="284"/>
  <c r="V99" i="281"/>
  <c r="S116" i="468"/>
  <c r="K76" i="281"/>
  <c r="L85" i="279"/>
  <c r="V109" i="278"/>
  <c r="S43" i="280"/>
  <c r="S139" i="275"/>
  <c r="O115" i="281"/>
  <c r="O125" i="468"/>
  <c r="K31" i="280"/>
  <c r="L97" i="283"/>
  <c r="X71" i="279"/>
  <c r="M75" i="283"/>
  <c r="V118" i="468"/>
  <c r="W114" i="468"/>
  <c r="V130" i="282"/>
  <c r="P39" i="283"/>
  <c r="T85" i="282"/>
  <c r="K117" i="280"/>
  <c r="R121" i="283"/>
  <c r="T57" i="282"/>
  <c r="J77" i="283"/>
  <c r="J56" i="275"/>
  <c r="N39" i="280"/>
  <c r="P13" i="280"/>
  <c r="T78" i="275"/>
  <c r="U77" i="282"/>
  <c r="K70" i="468"/>
  <c r="W20" i="280"/>
  <c r="J60" i="280"/>
  <c r="P140" i="281"/>
  <c r="V12" i="278"/>
  <c r="M20" i="282"/>
  <c r="V119" i="281"/>
  <c r="V58" i="194"/>
  <c r="V65" i="280"/>
  <c r="V140" i="283"/>
  <c r="R132" i="278"/>
  <c r="V45" i="282"/>
  <c r="M11" i="194"/>
  <c r="R67" i="279"/>
  <c r="K18" i="468"/>
  <c r="J97" i="284"/>
  <c r="P129" i="280"/>
  <c r="N128" i="282"/>
  <c r="O18" i="275"/>
  <c r="U61" i="468"/>
  <c r="L48" i="468"/>
  <c r="R50" i="284"/>
  <c r="N34" i="280"/>
  <c r="S91" i="278"/>
  <c r="K54" i="284"/>
  <c r="U127" i="280"/>
  <c r="K44" i="281"/>
  <c r="X133" i="282"/>
  <c r="R134" i="281"/>
  <c r="X27" i="281"/>
  <c r="O103" i="280"/>
  <c r="M69" i="283"/>
  <c r="O48" i="281"/>
  <c r="P59" i="279"/>
  <c r="V140" i="282"/>
  <c r="X78" i="279"/>
  <c r="T33" i="281"/>
  <c r="K75" i="282"/>
  <c r="M53" i="283"/>
  <c r="V72" i="194"/>
  <c r="V93" i="283"/>
  <c r="X103" i="280"/>
  <c r="P106" i="275"/>
  <c r="K128" i="194"/>
  <c r="X122" i="282"/>
  <c r="X62" i="275"/>
  <c r="P25" i="278"/>
  <c r="M111" i="280"/>
  <c r="R140" i="278"/>
  <c r="O136" i="275"/>
  <c r="V25" i="282"/>
  <c r="P138" i="282"/>
  <c r="R138" i="278"/>
  <c r="J14" i="468"/>
  <c r="O124" i="275"/>
  <c r="O128" i="279"/>
  <c r="K35" i="279"/>
  <c r="S120" i="279"/>
  <c r="N102" i="283"/>
  <c r="U26" i="279"/>
  <c r="R96" i="468"/>
  <c r="V129" i="275"/>
  <c r="M78" i="468"/>
  <c r="X32" i="279"/>
  <c r="W116" i="282"/>
  <c r="L54" i="194"/>
  <c r="T103" i="284"/>
  <c r="L14" i="282"/>
  <c r="M108" i="275"/>
  <c r="P29" i="275"/>
  <c r="L98" i="280"/>
  <c r="P122" i="278"/>
  <c r="S127" i="280"/>
  <c r="K52" i="282"/>
  <c r="R38" i="194"/>
  <c r="V113" i="280"/>
  <c r="N7" i="284"/>
  <c r="M60" i="468"/>
  <c r="L116" i="194"/>
  <c r="P119" i="278"/>
  <c r="X11" i="278"/>
  <c r="M40" i="279"/>
  <c r="S107" i="275"/>
  <c r="L128" i="278"/>
  <c r="W50" i="280"/>
  <c r="R42" i="281"/>
  <c r="V52" i="283"/>
  <c r="L107" i="281"/>
  <c r="V4" i="284"/>
  <c r="T8" i="468"/>
  <c r="V127" i="279"/>
  <c r="P107" i="468"/>
  <c r="J107" i="283"/>
  <c r="M7" i="279"/>
  <c r="M29" i="280"/>
  <c r="J20" i="284"/>
  <c r="X131" i="278"/>
  <c r="W107" i="281"/>
  <c r="K119" i="282"/>
  <c r="K90" i="283"/>
  <c r="M11" i="468"/>
  <c r="V27" i="280"/>
  <c r="X39" i="275"/>
  <c r="M34" i="279"/>
  <c r="R3" i="282"/>
  <c r="L103" i="194"/>
  <c r="U138" i="282"/>
  <c r="K20" i="275"/>
  <c r="X46" i="280"/>
  <c r="T19" i="278"/>
  <c r="K134" i="468"/>
  <c r="V12" i="281"/>
  <c r="T14" i="279"/>
  <c r="L75" i="281"/>
  <c r="P110" i="281"/>
  <c r="V21" i="194"/>
  <c r="O110" i="280"/>
  <c r="P65" i="279"/>
  <c r="J134" i="280"/>
  <c r="W130" i="275"/>
  <c r="U72" i="278"/>
  <c r="X135" i="468"/>
  <c r="O14" i="194"/>
  <c r="O82" i="280"/>
  <c r="N7" i="283"/>
  <c r="L62" i="282"/>
  <c r="J92" i="275"/>
  <c r="J46" i="282"/>
  <c r="N40" i="281"/>
  <c r="V37" i="468"/>
  <c r="O118" i="280"/>
  <c r="R26" i="283"/>
  <c r="P119" i="281"/>
  <c r="U69" i="282"/>
  <c r="V67" i="280"/>
  <c r="V41" i="280"/>
  <c r="K26" i="275"/>
  <c r="K44" i="284"/>
  <c r="J61" i="275"/>
  <c r="L131" i="280"/>
  <c r="X27" i="282"/>
  <c r="T16" i="281"/>
  <c r="R113" i="468"/>
  <c r="J81" i="278"/>
  <c r="R107" i="282"/>
  <c r="J118" i="280"/>
  <c r="T35" i="279"/>
  <c r="W7" i="278"/>
  <c r="W12" i="284"/>
  <c r="V112" i="282"/>
  <c r="W114" i="281"/>
  <c r="P115" i="282"/>
  <c r="P58" i="283"/>
  <c r="V105" i="278"/>
  <c r="O140" i="275"/>
  <c r="P66" i="275"/>
  <c r="K19" i="283"/>
  <c r="W34" i="282"/>
  <c r="M100" i="468"/>
  <c r="J110" i="279"/>
  <c r="P69" i="282"/>
  <c r="K20" i="282"/>
  <c r="U132" i="275"/>
  <c r="W139" i="278"/>
  <c r="L138" i="468"/>
  <c r="X129" i="282"/>
  <c r="M14" i="281"/>
  <c r="M8" i="283"/>
  <c r="O25" i="284"/>
  <c r="T115" i="284"/>
  <c r="T136" i="278"/>
  <c r="V31" i="468"/>
  <c r="U5" i="279"/>
  <c r="O3" i="279"/>
  <c r="V13" i="283"/>
  <c r="X89" i="286"/>
  <c r="K5" i="281"/>
  <c r="V73" i="278"/>
  <c r="W15" i="468"/>
  <c r="W105" i="468"/>
  <c r="L124" i="282"/>
  <c r="P106" i="468"/>
  <c r="M125" i="280"/>
  <c r="P29" i="279"/>
  <c r="W93" i="281"/>
  <c r="K99" i="284"/>
  <c r="U86" i="194"/>
  <c r="V13" i="280"/>
  <c r="N17" i="279"/>
  <c r="L91" i="282"/>
  <c r="R50" i="280"/>
  <c r="U76" i="468"/>
  <c r="P131" i="280"/>
  <c r="W53" i="468"/>
  <c r="W3" i="279"/>
  <c r="S40" i="281"/>
  <c r="O80" i="280"/>
  <c r="J67" i="282"/>
  <c r="O21" i="283"/>
  <c r="U140" i="282"/>
  <c r="V91" i="468"/>
  <c r="R12" i="280"/>
  <c r="U74" i="284"/>
  <c r="S107" i="282"/>
  <c r="R106" i="468"/>
  <c r="T105" i="283"/>
  <c r="U26" i="284"/>
  <c r="L121" i="283"/>
  <c r="O16" i="280"/>
  <c r="W37" i="194"/>
  <c r="W140" i="275"/>
  <c r="P69" i="280"/>
  <c r="R16" i="280"/>
  <c r="N101" i="279"/>
  <c r="K67" i="279"/>
  <c r="W129" i="280"/>
  <c r="O75" i="468"/>
  <c r="S109" i="282"/>
  <c r="T132" i="283"/>
  <c r="U29" i="280"/>
  <c r="N49" i="194"/>
  <c r="N23" i="280"/>
  <c r="T9" i="278"/>
  <c r="S8" i="282"/>
  <c r="P81" i="283"/>
  <c r="P36" i="279"/>
  <c r="W113" i="281"/>
  <c r="P18" i="284"/>
  <c r="W95" i="282"/>
  <c r="T52" i="283"/>
  <c r="N132" i="284"/>
  <c r="J54" i="283"/>
  <c r="T106" i="279"/>
  <c r="J119" i="282"/>
  <c r="P61" i="284"/>
  <c r="J139" i="282"/>
  <c r="N94" i="468"/>
  <c r="N126" i="468"/>
  <c r="U17" i="284"/>
  <c r="K85" i="280"/>
  <c r="R36" i="280"/>
  <c r="N22" i="275"/>
  <c r="O65" i="279"/>
  <c r="K13" i="282"/>
  <c r="L84" i="282"/>
  <c r="N79" i="278"/>
  <c r="X11" i="279"/>
  <c r="U24" i="284"/>
  <c r="K133" i="284"/>
  <c r="M19" i="282"/>
  <c r="K62" i="280"/>
  <c r="N67" i="282"/>
  <c r="M46" i="283"/>
  <c r="R35" i="275"/>
  <c r="U36" i="283"/>
  <c r="M120" i="279"/>
  <c r="V140" i="275"/>
  <c r="P125" i="468"/>
  <c r="M112" i="278"/>
  <c r="P61" i="282"/>
  <c r="S43" i="275"/>
  <c r="W41" i="282"/>
  <c r="P30" i="468"/>
  <c r="P34" i="275"/>
  <c r="W29" i="281"/>
  <c r="W17" i="283"/>
  <c r="X99" i="468"/>
  <c r="O24" i="279"/>
  <c r="P139" i="281"/>
  <c r="N105" i="468"/>
  <c r="W43" i="283"/>
  <c r="T102" i="278"/>
  <c r="T12" i="283"/>
  <c r="M115" i="281"/>
  <c r="V26" i="275"/>
  <c r="X44" i="284"/>
  <c r="J128" i="468"/>
  <c r="T103" i="280"/>
  <c r="O28" i="278"/>
  <c r="N33" i="280"/>
  <c r="S30" i="281"/>
  <c r="W39" i="468"/>
  <c r="T92" i="468"/>
  <c r="U8" i="284"/>
  <c r="U9" i="281"/>
  <c r="R131" i="275"/>
  <c r="J10" i="280"/>
  <c r="W98" i="279"/>
  <c r="W53" i="283"/>
  <c r="U110" i="280"/>
  <c r="V67" i="279"/>
  <c r="S117" i="279"/>
  <c r="S28" i="284"/>
  <c r="U131" i="275"/>
  <c r="U130" i="468"/>
  <c r="K28" i="279"/>
  <c r="N134" i="275"/>
  <c r="M65" i="278"/>
  <c r="J106" i="278"/>
  <c r="M98" i="194"/>
  <c r="K61" i="284"/>
  <c r="T29" i="284"/>
  <c r="K3" i="284"/>
  <c r="L89" i="279"/>
  <c r="R41" i="275"/>
  <c r="V21" i="468"/>
  <c r="N109" i="194"/>
  <c r="K130" i="283"/>
  <c r="N68" i="194"/>
  <c r="S130" i="279"/>
  <c r="O123" i="275"/>
  <c r="T58" i="283"/>
  <c r="W77" i="275"/>
  <c r="S64" i="278"/>
  <c r="X17" i="283"/>
  <c r="U131" i="279"/>
  <c r="L138" i="280"/>
  <c r="O42" i="282"/>
  <c r="O127" i="283"/>
  <c r="X65" i="278"/>
  <c r="L69" i="284"/>
  <c r="S119" i="280"/>
  <c r="T24" i="281"/>
  <c r="M27" i="282"/>
  <c r="T68" i="194"/>
  <c r="X139" i="280"/>
  <c r="L24" i="283"/>
  <c r="V109" i="283"/>
  <c r="O37" i="280"/>
  <c r="S26" i="280"/>
  <c r="J95" i="280"/>
  <c r="X80" i="283"/>
  <c r="P98" i="275"/>
  <c r="U135" i="283"/>
  <c r="R59" i="279"/>
  <c r="W54" i="284"/>
  <c r="P68" i="281"/>
  <c r="M58" i="279"/>
  <c r="P23" i="281"/>
  <c r="M17" i="283"/>
  <c r="R35" i="282"/>
  <c r="S14" i="278"/>
  <c r="X51" i="281"/>
  <c r="X9" i="282"/>
  <c r="L100" i="280"/>
  <c r="T9" i="275"/>
  <c r="M43" i="278"/>
  <c r="L7" i="283"/>
  <c r="N68" i="279"/>
  <c r="J14" i="194"/>
  <c r="J23" i="279"/>
  <c r="T20" i="281"/>
  <c r="P114" i="280"/>
  <c r="V8" i="283"/>
  <c r="M117" i="284"/>
  <c r="M11" i="279"/>
  <c r="U125" i="275"/>
  <c r="P74" i="279"/>
  <c r="O126" i="275"/>
  <c r="P22" i="283"/>
  <c r="J128" i="279"/>
  <c r="M58" i="468"/>
  <c r="W139" i="282"/>
  <c r="S79" i="468"/>
  <c r="P137" i="281"/>
  <c r="O33" i="278"/>
  <c r="R39" i="279"/>
  <c r="R58" i="283"/>
  <c r="J32" i="281"/>
  <c r="M99" i="283"/>
  <c r="R66" i="194"/>
  <c r="X95" i="275"/>
  <c r="V131" i="283"/>
  <c r="U53" i="282"/>
  <c r="N73" i="282"/>
  <c r="L110" i="468"/>
  <c r="T32" i="278"/>
  <c r="S108" i="278"/>
  <c r="U6" i="275"/>
  <c r="P123" i="468"/>
  <c r="P97" i="283"/>
  <c r="U8" i="279"/>
  <c r="P31" i="194"/>
  <c r="L36" i="283"/>
  <c r="O3" i="280"/>
  <c r="N37" i="279"/>
  <c r="J13" i="280"/>
  <c r="X18" i="281"/>
  <c r="S121" i="284"/>
  <c r="R104" i="282"/>
  <c r="M107" i="468"/>
  <c r="L60" i="275"/>
  <c r="R11" i="468"/>
  <c r="S24" i="282"/>
  <c r="W14" i="280"/>
  <c r="L130" i="278"/>
  <c r="K43" i="283"/>
  <c r="L34" i="281"/>
  <c r="L125" i="283"/>
  <c r="K29" i="282"/>
  <c r="K8" i="280"/>
  <c r="T36" i="282"/>
  <c r="T39" i="280"/>
  <c r="O28" i="281"/>
  <c r="R63" i="278"/>
  <c r="O45" i="282"/>
  <c r="S106" i="278"/>
  <c r="O20" i="284"/>
  <c r="W20" i="279"/>
  <c r="V86" i="279"/>
  <c r="J7" i="282"/>
  <c r="W5" i="280"/>
  <c r="K17" i="279"/>
  <c r="P17" i="281"/>
  <c r="W20" i="284"/>
  <c r="K18" i="283"/>
  <c r="W63" i="278"/>
  <c r="X34" i="275"/>
  <c r="O17" i="280"/>
  <c r="L44" i="275"/>
  <c r="J65" i="275"/>
  <c r="S140" i="283"/>
  <c r="M131" i="468"/>
  <c r="L39" i="279"/>
  <c r="P70" i="282"/>
  <c r="S111" i="468"/>
  <c r="T65" i="284"/>
  <c r="T62" i="284"/>
  <c r="R56" i="279"/>
  <c r="P35" i="279"/>
  <c r="J21" i="278"/>
  <c r="O43" i="284"/>
  <c r="R70" i="282"/>
  <c r="M61" i="280"/>
  <c r="O99" i="284"/>
  <c r="S74" i="468"/>
  <c r="T37" i="284"/>
  <c r="X105" i="281"/>
  <c r="O133" i="280"/>
  <c r="R40" i="284"/>
  <c r="R53" i="281"/>
  <c r="M72" i="279"/>
  <c r="W133" i="468"/>
  <c r="K5" i="282"/>
  <c r="N102" i="275"/>
  <c r="L9" i="278"/>
  <c r="X65" i="286"/>
  <c r="S12" i="281"/>
  <c r="N61" i="283"/>
  <c r="X22" i="284"/>
  <c r="L45" i="282"/>
  <c r="V41" i="468"/>
  <c r="T133" i="275"/>
  <c r="U9" i="283"/>
  <c r="T76" i="468"/>
  <c r="U15" i="279"/>
  <c r="W4" i="282"/>
  <c r="M80" i="279"/>
  <c r="L43" i="283"/>
  <c r="N112" i="278"/>
  <c r="J122" i="279"/>
  <c r="T120" i="279"/>
  <c r="R122" i="279"/>
  <c r="J40" i="281"/>
  <c r="R116" i="280"/>
  <c r="V115" i="283"/>
  <c r="J61" i="279"/>
  <c r="K138" i="278"/>
  <c r="J65" i="282"/>
  <c r="R102" i="283"/>
  <c r="T39" i="279"/>
  <c r="X120" i="282"/>
  <c r="J65" i="280"/>
  <c r="N68" i="280"/>
  <c r="L24" i="280"/>
  <c r="S66" i="194"/>
  <c r="K86" i="194"/>
  <c r="W68" i="280"/>
  <c r="P48" i="283"/>
  <c r="R126" i="468"/>
  <c r="V57" i="194"/>
  <c r="T59" i="279"/>
  <c r="S94" i="468"/>
  <c r="O135" i="284"/>
  <c r="P94" i="281"/>
  <c r="S112" i="468"/>
  <c r="O73" i="281"/>
  <c r="N54" i="281"/>
  <c r="R102" i="468"/>
  <c r="T24" i="284"/>
  <c r="O129" i="275"/>
  <c r="P133" i="284"/>
  <c r="W101" i="468"/>
  <c r="P4" i="286"/>
  <c r="L100" i="281"/>
  <c r="S70" i="194"/>
  <c r="P73" i="278"/>
  <c r="L123" i="194"/>
  <c r="S26" i="282"/>
  <c r="X16" i="280"/>
  <c r="U59" i="282"/>
  <c r="W38" i="284"/>
  <c r="T91" i="281"/>
  <c r="V100" i="278"/>
  <c r="J70" i="468"/>
  <c r="N32" i="194"/>
  <c r="V101" i="281"/>
  <c r="L65" i="283"/>
  <c r="N23" i="284"/>
  <c r="N55" i="284"/>
  <c r="N59" i="281"/>
  <c r="W124" i="278"/>
  <c r="K51" i="280"/>
  <c r="L53" i="279"/>
  <c r="M136" i="281"/>
  <c r="U84" i="284"/>
  <c r="N22" i="282"/>
  <c r="T56" i="282"/>
  <c r="T105" i="282"/>
  <c r="R32" i="283"/>
  <c r="T134" i="468"/>
  <c r="L22" i="468"/>
  <c r="L101" i="279"/>
  <c r="S127" i="283"/>
  <c r="N63" i="284"/>
  <c r="N94" i="280"/>
  <c r="U118" i="468"/>
  <c r="V66" i="284"/>
  <c r="X126" i="282"/>
  <c r="R71" i="280"/>
  <c r="V66" i="278"/>
  <c r="K6" i="194"/>
  <c r="J128" i="278"/>
  <c r="O125" i="283"/>
  <c r="U33" i="282"/>
  <c r="X5" i="280"/>
  <c r="X129" i="283"/>
  <c r="J62" i="283"/>
  <c r="J61" i="194"/>
  <c r="T30" i="280"/>
  <c r="X115" i="194"/>
  <c r="X32" i="282"/>
  <c r="M110" i="468"/>
  <c r="U48" i="283"/>
  <c r="M17" i="194"/>
  <c r="U129" i="282"/>
  <c r="M68" i="280"/>
  <c r="W73" i="284"/>
  <c r="N100" i="280"/>
  <c r="T72" i="275"/>
  <c r="O28" i="468"/>
  <c r="O128" i="280"/>
  <c r="T42" i="278"/>
  <c r="P54" i="278"/>
  <c r="K102" i="283"/>
  <c r="X12" i="281"/>
  <c r="M34" i="282"/>
  <c r="P23" i="283"/>
  <c r="K26" i="280"/>
  <c r="M48" i="275"/>
  <c r="R53" i="283"/>
  <c r="L140" i="280"/>
  <c r="N106" i="194"/>
  <c r="K16" i="282"/>
  <c r="L41" i="283"/>
  <c r="O129" i="282"/>
  <c r="U73" i="281"/>
  <c r="W124" i="283"/>
  <c r="X106" i="282"/>
  <c r="M32" i="275"/>
  <c r="V10" i="280"/>
  <c r="R61" i="281"/>
  <c r="S112" i="282"/>
  <c r="O117" i="284"/>
  <c r="O11" i="194"/>
  <c r="W120" i="284"/>
  <c r="W124" i="282"/>
  <c r="K15" i="282"/>
  <c r="S101" i="279"/>
  <c r="R71" i="468"/>
  <c r="U31" i="279"/>
  <c r="L19" i="284"/>
  <c r="J49" i="282"/>
  <c r="V62" i="280"/>
  <c r="S12" i="283"/>
  <c r="U129" i="279"/>
  <c r="K19" i="280"/>
  <c r="N139" i="468"/>
  <c r="U54" i="279"/>
  <c r="R6" i="279"/>
  <c r="V139" i="194"/>
  <c r="L117" i="468"/>
  <c r="T116" i="281"/>
  <c r="K41" i="282"/>
  <c r="K28" i="281"/>
  <c r="K124" i="468"/>
  <c r="U85" i="279"/>
  <c r="K122" i="283"/>
  <c r="M4" i="281"/>
  <c r="W127" i="284"/>
  <c r="W59" i="275"/>
  <c r="S128" i="468"/>
  <c r="S139" i="468"/>
  <c r="S8" i="278"/>
  <c r="K39" i="284"/>
  <c r="V45" i="280"/>
  <c r="M135" i="278"/>
  <c r="K66" i="283"/>
  <c r="T77" i="279"/>
  <c r="V20" i="284"/>
  <c r="P75" i="282"/>
  <c r="S111" i="280"/>
  <c r="U115" i="279"/>
  <c r="W118" i="282"/>
  <c r="M44" i="281"/>
  <c r="X12" i="286"/>
  <c r="U110" i="279"/>
  <c r="X113" i="280"/>
  <c r="T108" i="279"/>
  <c r="U14" i="194"/>
  <c r="K99" i="280"/>
  <c r="V23" i="468"/>
  <c r="T116" i="468"/>
  <c r="R36" i="284"/>
  <c r="X73" i="282"/>
  <c r="W23" i="284"/>
  <c r="K44" i="280"/>
  <c r="T17" i="278"/>
  <c r="K11" i="194"/>
  <c r="S68" i="275"/>
  <c r="P113" i="284"/>
  <c r="S24" i="280"/>
  <c r="R109" i="281"/>
  <c r="M128" i="282"/>
  <c r="O98" i="468"/>
  <c r="R93" i="468"/>
  <c r="S111" i="275"/>
  <c r="X35" i="280"/>
  <c r="V97" i="282"/>
  <c r="O26" i="284"/>
  <c r="W23" i="281"/>
  <c r="J105" i="279"/>
  <c r="N19" i="280"/>
  <c r="U108" i="278"/>
  <c r="L32" i="284"/>
  <c r="T128" i="283"/>
  <c r="U125" i="282"/>
  <c r="R57" i="194"/>
  <c r="M70" i="278"/>
  <c r="S28" i="283"/>
  <c r="P105" i="281"/>
  <c r="W108" i="283"/>
  <c r="K106" i="280"/>
  <c r="W10" i="280"/>
  <c r="J58" i="279"/>
  <c r="P40" i="275"/>
  <c r="S119" i="275"/>
  <c r="R5" i="283"/>
  <c r="T111" i="275"/>
  <c r="X104" i="284"/>
  <c r="J59" i="281"/>
  <c r="L13" i="282"/>
  <c r="U137" i="279"/>
  <c r="P118" i="275"/>
  <c r="U73" i="282"/>
  <c r="S36" i="280"/>
  <c r="X25" i="279"/>
  <c r="L28" i="284"/>
  <c r="L125" i="282"/>
  <c r="P140" i="275"/>
  <c r="M119" i="275"/>
  <c r="V135" i="275"/>
  <c r="X121" i="468"/>
  <c r="U66" i="275"/>
  <c r="N3" i="468"/>
  <c r="W66" i="275"/>
  <c r="S62" i="278"/>
  <c r="S127" i="275"/>
  <c r="W56" i="282"/>
  <c r="P62" i="279"/>
  <c r="K126" i="275"/>
  <c r="T108" i="275"/>
  <c r="O52" i="278"/>
  <c r="T13" i="278"/>
  <c r="N28" i="280"/>
  <c r="U42" i="280"/>
  <c r="U19" i="282"/>
  <c r="S22" i="280"/>
  <c r="P98" i="281"/>
  <c r="T84" i="281"/>
  <c r="M140" i="275"/>
  <c r="L19" i="275"/>
  <c r="W42" i="281"/>
  <c r="J112" i="279"/>
  <c r="U93" i="280"/>
  <c r="L35" i="281"/>
  <c r="V135" i="282"/>
  <c r="K45" i="281"/>
  <c r="K61" i="281"/>
  <c r="J127" i="282"/>
  <c r="O60" i="468"/>
  <c r="R32" i="194"/>
  <c r="K125" i="283"/>
  <c r="R122" i="281"/>
  <c r="W120" i="280"/>
  <c r="L17" i="279"/>
  <c r="S98" i="280"/>
  <c r="X112" i="275"/>
  <c r="X28" i="468"/>
  <c r="R127" i="275"/>
  <c r="O15" i="468"/>
  <c r="P113" i="279"/>
  <c r="L138" i="281"/>
  <c r="O31" i="280"/>
  <c r="V48" i="275"/>
  <c r="X33" i="275"/>
  <c r="W6" i="278"/>
  <c r="W46" i="280"/>
  <c r="V66" i="468"/>
  <c r="J125" i="283"/>
  <c r="P27" i="284"/>
  <c r="R26" i="281"/>
  <c r="X26" i="286"/>
  <c r="U40" i="468"/>
  <c r="R108" i="283"/>
  <c r="R136" i="278"/>
  <c r="O115" i="278"/>
  <c r="N79" i="468"/>
  <c r="X60" i="468"/>
  <c r="N48" i="278"/>
  <c r="U15" i="194"/>
  <c r="M124" i="283"/>
  <c r="V69" i="279"/>
  <c r="P112" i="282"/>
  <c r="T134" i="280"/>
  <c r="P97" i="278"/>
  <c r="W93" i="275"/>
  <c r="X91" i="468"/>
  <c r="V97" i="281"/>
  <c r="O71" i="279"/>
  <c r="T11" i="283"/>
  <c r="R55" i="281"/>
  <c r="L37" i="284"/>
  <c r="K41" i="284"/>
  <c r="O118" i="283"/>
  <c r="L46" i="283"/>
  <c r="M9" i="278"/>
  <c r="X51" i="286"/>
  <c r="N124" i="468"/>
  <c r="M6" i="275"/>
  <c r="J44" i="283"/>
  <c r="M26" i="282"/>
  <c r="J138" i="284"/>
  <c r="O7" i="283"/>
  <c r="K115" i="468"/>
  <c r="M115" i="280"/>
  <c r="U79" i="278"/>
  <c r="J105" i="282"/>
  <c r="R127" i="281"/>
  <c r="M76" i="283"/>
  <c r="K67" i="282"/>
  <c r="X130" i="194"/>
  <c r="N116" i="279"/>
  <c r="O99" i="282"/>
  <c r="R9" i="281"/>
  <c r="M108" i="280"/>
  <c r="R58" i="194"/>
  <c r="U70" i="282"/>
  <c r="R67" i="275"/>
  <c r="M11" i="284"/>
  <c r="R69" i="278"/>
  <c r="T98" i="280"/>
  <c r="R62" i="468"/>
  <c r="W116" i="278"/>
  <c r="J34" i="281"/>
  <c r="V106" i="280"/>
  <c r="T31" i="278"/>
  <c r="S31" i="278"/>
  <c r="X93" i="194"/>
  <c r="R105" i="279"/>
  <c r="M119" i="278"/>
  <c r="R19" i="282"/>
  <c r="U19" i="194"/>
  <c r="S6" i="468"/>
  <c r="T49" i="468"/>
  <c r="L134" i="275"/>
  <c r="V49" i="282"/>
  <c r="L30" i="282"/>
  <c r="T103" i="468"/>
  <c r="M75" i="275"/>
  <c r="O59" i="275"/>
  <c r="R39" i="283"/>
  <c r="P56" i="282"/>
  <c r="V36" i="281"/>
  <c r="P117" i="280"/>
  <c r="K15" i="279"/>
  <c r="J23" i="282"/>
  <c r="K5" i="194"/>
  <c r="K107" i="280"/>
  <c r="J5" i="468"/>
  <c r="P133" i="282"/>
  <c r="M19" i="284"/>
  <c r="P80" i="194"/>
  <c r="L54" i="279"/>
  <c r="R115" i="284"/>
  <c r="V15" i="279"/>
  <c r="J99" i="280"/>
  <c r="T17" i="284"/>
  <c r="O20" i="280"/>
  <c r="V4" i="286"/>
  <c r="S98" i="275"/>
  <c r="S120" i="280"/>
  <c r="R3" i="470"/>
  <c r="P71" i="281"/>
  <c r="K30" i="280"/>
  <c r="V111" i="468"/>
  <c r="S70" i="275"/>
  <c r="K75" i="194"/>
  <c r="T86" i="283"/>
  <c r="W16" i="194"/>
  <c r="T51" i="279"/>
  <c r="O112" i="280"/>
  <c r="X12" i="280"/>
  <c r="P102" i="281"/>
  <c r="T71" i="283"/>
  <c r="O120" i="280"/>
  <c r="R117" i="283"/>
  <c r="S19" i="281"/>
  <c r="O69" i="280"/>
  <c r="U43" i="468"/>
  <c r="V105" i="194"/>
  <c r="J19" i="284"/>
  <c r="X62" i="284"/>
  <c r="X72" i="281"/>
  <c r="U107" i="194"/>
  <c r="R128" i="281"/>
  <c r="R131" i="279"/>
  <c r="L106" i="275"/>
  <c r="M21" i="284"/>
  <c r="N36" i="194"/>
  <c r="K62" i="194"/>
  <c r="N125" i="280"/>
  <c r="O58" i="194"/>
  <c r="S125" i="281"/>
  <c r="R112" i="280"/>
  <c r="W105" i="280"/>
  <c r="U60" i="275"/>
  <c r="P25" i="468"/>
  <c r="R22" i="283"/>
  <c r="S116" i="280"/>
  <c r="W72" i="280"/>
  <c r="V113" i="281"/>
  <c r="R96" i="280"/>
  <c r="J120" i="468"/>
  <c r="O25" i="278"/>
  <c r="J63" i="280"/>
  <c r="N21" i="275"/>
  <c r="K114" i="279"/>
  <c r="K114" i="282"/>
  <c r="W110" i="281"/>
  <c r="R12" i="281"/>
  <c r="T8" i="280"/>
  <c r="U18" i="279"/>
  <c r="M60" i="280"/>
  <c r="W38" i="280"/>
  <c r="R29" i="283"/>
  <c r="X134" i="468"/>
  <c r="O113" i="275"/>
  <c r="S14" i="279"/>
  <c r="K70" i="275"/>
  <c r="W119" i="275"/>
  <c r="M101" i="281"/>
  <c r="O57" i="282"/>
  <c r="N126" i="278"/>
  <c r="V51" i="282"/>
  <c r="X7" i="468"/>
  <c r="S4" i="468"/>
  <c r="L127" i="275"/>
  <c r="L56" i="275"/>
  <c r="O23" i="282"/>
  <c r="R125" i="280"/>
  <c r="X138" i="283"/>
  <c r="N37" i="280"/>
  <c r="K16" i="275"/>
  <c r="O29" i="280"/>
  <c r="P101" i="281"/>
  <c r="S73" i="284"/>
  <c r="J71" i="283"/>
  <c r="K11" i="279"/>
  <c r="S23" i="284"/>
  <c r="J34" i="280"/>
  <c r="W33" i="283"/>
  <c r="L3" i="275"/>
  <c r="T114" i="468"/>
  <c r="S112" i="194"/>
  <c r="X22" i="194"/>
  <c r="J69" i="468"/>
  <c r="R30" i="282"/>
  <c r="K83" i="468"/>
  <c r="J107" i="282"/>
  <c r="J121" i="275"/>
  <c r="U66" i="278"/>
  <c r="K119" i="283"/>
  <c r="V5" i="284"/>
  <c r="P3" i="284"/>
  <c r="X126" i="468"/>
  <c r="P123" i="280"/>
  <c r="S27" i="283"/>
  <c r="R13" i="280"/>
  <c r="U16" i="282"/>
  <c r="N101" i="275"/>
  <c r="V48" i="281"/>
  <c r="L100" i="284"/>
  <c r="R117" i="282"/>
  <c r="V44" i="275"/>
  <c r="N57" i="283"/>
  <c r="W77" i="468"/>
  <c r="V16" i="279"/>
  <c r="S5" i="279"/>
  <c r="W122" i="279"/>
  <c r="U119" i="284"/>
  <c r="M63" i="278"/>
  <c r="V99" i="282"/>
  <c r="W126" i="275"/>
  <c r="J45" i="284"/>
  <c r="W37" i="279"/>
  <c r="U106" i="283"/>
  <c r="P134" i="468"/>
  <c r="S107" i="278"/>
  <c r="L59" i="283"/>
  <c r="U53" i="281"/>
  <c r="R30" i="278"/>
  <c r="P135" i="284"/>
  <c r="V5" i="279"/>
  <c r="N4" i="279"/>
  <c r="L130" i="275"/>
  <c r="R38" i="278"/>
  <c r="J73" i="282"/>
  <c r="S5" i="284"/>
  <c r="V74" i="279"/>
  <c r="L132" i="282"/>
  <c r="O108" i="275"/>
  <c r="R59" i="275"/>
  <c r="O117" i="275"/>
  <c r="X98" i="280"/>
  <c r="K107" i="281"/>
  <c r="L12" i="283"/>
  <c r="S42" i="280"/>
  <c r="V102" i="275"/>
  <c r="O53" i="282"/>
  <c r="R52" i="278"/>
  <c r="S125" i="280"/>
  <c r="X24" i="286"/>
  <c r="J3" i="278"/>
  <c r="S71" i="283"/>
  <c r="W3" i="470"/>
  <c r="W18" i="281"/>
  <c r="N28" i="278"/>
  <c r="W125" i="282"/>
  <c r="N38" i="283"/>
  <c r="M134" i="282"/>
  <c r="M30" i="468"/>
  <c r="P133" i="275"/>
  <c r="W126" i="278"/>
  <c r="T13" i="280"/>
  <c r="M122" i="281"/>
  <c r="X40" i="281"/>
  <c r="M24" i="282"/>
  <c r="T6" i="281"/>
  <c r="S4" i="284"/>
  <c r="R75" i="283"/>
  <c r="J39" i="280"/>
  <c r="S52" i="279"/>
  <c r="L24" i="468"/>
  <c r="X4" i="275"/>
  <c r="X6" i="468"/>
  <c r="S135" i="275"/>
  <c r="W128" i="284"/>
  <c r="X10" i="279"/>
  <c r="J68" i="275"/>
  <c r="M28" i="279"/>
  <c r="W110" i="468"/>
  <c r="M17" i="279"/>
  <c r="K3" i="283"/>
  <c r="M100" i="284"/>
  <c r="P87" i="283"/>
  <c r="R62" i="278"/>
  <c r="S50" i="278"/>
  <c r="M73" i="278"/>
  <c r="K50" i="284"/>
  <c r="U96" i="281"/>
  <c r="S21" i="281"/>
  <c r="O125" i="194"/>
  <c r="J137" i="284"/>
  <c r="R10" i="283"/>
  <c r="V138" i="281"/>
  <c r="J56" i="281"/>
  <c r="S60" i="283"/>
  <c r="R13" i="194"/>
  <c r="N30" i="194"/>
  <c r="U112" i="282"/>
  <c r="X17" i="284"/>
  <c r="X38" i="279"/>
  <c r="O45" i="284"/>
  <c r="J23" i="281"/>
  <c r="K49" i="281"/>
  <c r="W83" i="282"/>
  <c r="M122" i="284"/>
  <c r="V102" i="284"/>
  <c r="R93" i="279"/>
  <c r="X119" i="280"/>
  <c r="R58" i="284"/>
  <c r="T107" i="194"/>
  <c r="R139" i="281"/>
  <c r="K116" i="280"/>
  <c r="W19" i="282"/>
  <c r="K13" i="279"/>
  <c r="N63" i="194"/>
  <c r="R90" i="468"/>
  <c r="S29" i="282"/>
  <c r="P29" i="284"/>
  <c r="P38" i="281"/>
  <c r="R14" i="275"/>
  <c r="W130" i="281"/>
  <c r="N14" i="282"/>
  <c r="J109" i="278"/>
  <c r="L95" i="283"/>
  <c r="J48" i="468"/>
  <c r="W53" i="278"/>
  <c r="M132" i="275"/>
  <c r="X66" i="281"/>
  <c r="W24" i="283"/>
  <c r="N105" i="279"/>
  <c r="W133" i="280"/>
  <c r="P6" i="275"/>
  <c r="W64" i="283"/>
  <c r="U7" i="468"/>
  <c r="V123" i="282"/>
  <c r="W29" i="283"/>
  <c r="R136" i="282"/>
  <c r="W123" i="468"/>
  <c r="X133" i="279"/>
  <c r="N74" i="279"/>
  <c r="N38" i="284"/>
  <c r="T65" i="275"/>
  <c r="J3" i="194"/>
  <c r="J9" i="275"/>
  <c r="P48" i="280"/>
  <c r="R105" i="275"/>
  <c r="L114" i="284"/>
  <c r="T56" i="279"/>
  <c r="M61" i="468"/>
  <c r="K71" i="284"/>
  <c r="S123" i="283"/>
  <c r="U5" i="283"/>
  <c r="O101" i="282"/>
  <c r="K72" i="281"/>
  <c r="K72" i="284"/>
  <c r="R54" i="278"/>
  <c r="O40" i="280"/>
  <c r="T76" i="278"/>
  <c r="W26" i="284"/>
  <c r="J23" i="278"/>
  <c r="L104" i="283"/>
  <c r="P127" i="281"/>
  <c r="L91" i="284"/>
  <c r="M38" i="468"/>
  <c r="L128" i="468"/>
  <c r="U14" i="283"/>
  <c r="P104" i="284"/>
  <c r="X11" i="275"/>
  <c r="W60" i="468"/>
  <c r="U55" i="283"/>
  <c r="V39" i="284"/>
  <c r="T64" i="280"/>
  <c r="K16" i="279"/>
  <c r="K122" i="280"/>
  <c r="X43" i="278"/>
  <c r="N26" i="275"/>
  <c r="U99" i="278"/>
  <c r="P102" i="284"/>
  <c r="M3" i="275"/>
  <c r="O7" i="194"/>
  <c r="J124" i="194"/>
  <c r="K55" i="284"/>
  <c r="U126" i="283"/>
  <c r="P99" i="280"/>
  <c r="K21" i="279"/>
  <c r="M33" i="279"/>
  <c r="S46" i="275"/>
  <c r="V123" i="283"/>
  <c r="T34" i="282"/>
  <c r="L22" i="283"/>
  <c r="U135" i="279"/>
  <c r="K6" i="282"/>
  <c r="N73" i="275"/>
  <c r="M19" i="280"/>
  <c r="W81" i="279"/>
  <c r="R101" i="283"/>
  <c r="P17" i="282"/>
  <c r="X55" i="284"/>
  <c r="N64" i="284"/>
  <c r="X10" i="282"/>
  <c r="P121" i="279"/>
  <c r="N15" i="280"/>
  <c r="R54" i="194"/>
  <c r="O54" i="280"/>
  <c r="V33" i="283"/>
  <c r="X67" i="284"/>
  <c r="P43" i="275"/>
  <c r="X101" i="468"/>
  <c r="P17" i="279"/>
  <c r="W16" i="284"/>
  <c r="M23" i="280"/>
  <c r="U5" i="275"/>
  <c r="U22" i="278"/>
  <c r="W59" i="283"/>
  <c r="J105" i="283"/>
  <c r="W100" i="283"/>
  <c r="W20" i="194"/>
  <c r="M46" i="468"/>
  <c r="R7" i="275"/>
  <c r="S127" i="278"/>
  <c r="M30" i="281"/>
  <c r="M113" i="284"/>
  <c r="O26" i="468"/>
  <c r="N132" i="278"/>
  <c r="V139" i="280"/>
  <c r="S9" i="283"/>
  <c r="P131" i="283"/>
  <c r="P115" i="281"/>
  <c r="O63" i="282"/>
  <c r="U132" i="282"/>
  <c r="M109" i="194"/>
  <c r="V28" i="281"/>
  <c r="U120" i="280"/>
  <c r="R132" i="283"/>
  <c r="J47" i="194"/>
  <c r="U127" i="284"/>
  <c r="S47" i="194"/>
  <c r="J12" i="284"/>
  <c r="X73" i="280"/>
  <c r="L21" i="275"/>
  <c r="S108" i="275"/>
  <c r="U60" i="280"/>
  <c r="M99" i="280"/>
  <c r="M127" i="194"/>
  <c r="T61" i="468"/>
  <c r="S60" i="278"/>
  <c r="X23" i="282"/>
  <c r="R18" i="275"/>
  <c r="S41" i="275"/>
  <c r="O52" i="284"/>
  <c r="M133" i="194"/>
  <c r="J29" i="280"/>
  <c r="P64" i="279"/>
  <c r="M125" i="279"/>
  <c r="X48" i="278"/>
  <c r="T75" i="282"/>
  <c r="M51" i="468"/>
  <c r="P13" i="279"/>
  <c r="L28" i="275"/>
  <c r="J37" i="275"/>
  <c r="M99" i="282"/>
  <c r="T139" i="283"/>
  <c r="W62" i="275"/>
  <c r="R70" i="284"/>
  <c r="S79" i="275"/>
  <c r="V4" i="280"/>
  <c r="W26" i="278"/>
  <c r="N113" i="282"/>
  <c r="P132" i="279"/>
  <c r="N117" i="280"/>
  <c r="W118" i="284"/>
  <c r="J109" i="281"/>
  <c r="K12" i="278"/>
  <c r="T34" i="278"/>
  <c r="L126" i="281"/>
  <c r="J8" i="282"/>
  <c r="M124" i="280"/>
  <c r="J89" i="282"/>
  <c r="O116" i="280"/>
  <c r="S69" i="280"/>
  <c r="J112" i="284"/>
  <c r="T7" i="282"/>
  <c r="S72" i="282"/>
  <c r="N85" i="281"/>
  <c r="S38" i="279"/>
  <c r="J125" i="278"/>
  <c r="X38" i="278"/>
  <c r="S3" i="283"/>
  <c r="S25" i="280"/>
  <c r="K96" i="278"/>
  <c r="K46" i="284"/>
  <c r="U103" i="278"/>
  <c r="W124" i="194"/>
  <c r="U63" i="280"/>
  <c r="K134" i="283"/>
  <c r="N75" i="281"/>
  <c r="V10" i="281"/>
  <c r="T110" i="280"/>
  <c r="L46" i="282"/>
  <c r="X84" i="283"/>
  <c r="R50" i="281"/>
  <c r="O92" i="282"/>
  <c r="U7" i="194"/>
  <c r="R32" i="284"/>
  <c r="J134" i="279"/>
  <c r="T123" i="279"/>
  <c r="N8" i="280"/>
  <c r="V106" i="275"/>
  <c r="M87" i="278"/>
  <c r="P70" i="280"/>
  <c r="R74" i="284"/>
  <c r="X123" i="282"/>
  <c r="L6" i="275"/>
  <c r="U61" i="280"/>
  <c r="V58" i="468"/>
  <c r="N134" i="282"/>
  <c r="J103" i="281"/>
  <c r="W131" i="280"/>
  <c r="N46" i="282"/>
  <c r="M30" i="282"/>
  <c r="R132" i="284"/>
  <c r="X52" i="282"/>
  <c r="S9" i="280"/>
  <c r="V8" i="284"/>
  <c r="N68" i="281"/>
  <c r="N118" i="282"/>
  <c r="V140" i="284"/>
  <c r="R124" i="280"/>
  <c r="R103" i="275"/>
  <c r="U42" i="284"/>
  <c r="L13" i="194"/>
  <c r="U55" i="281"/>
  <c r="N45" i="282"/>
  <c r="V123" i="280"/>
  <c r="R73" i="468"/>
  <c r="K18" i="194"/>
  <c r="V23" i="275"/>
  <c r="U120" i="284"/>
  <c r="W39" i="283"/>
  <c r="L133" i="279"/>
  <c r="T72" i="284"/>
  <c r="T49" i="280"/>
  <c r="M50" i="275"/>
  <c r="V117" i="282"/>
  <c r="U50" i="280"/>
  <c r="S24" i="275"/>
  <c r="V78" i="278"/>
  <c r="J100" i="281"/>
  <c r="P33" i="275"/>
  <c r="T45" i="194"/>
  <c r="X88" i="278"/>
  <c r="T31" i="283"/>
  <c r="S120" i="468"/>
  <c r="L92" i="279"/>
  <c r="R103" i="281"/>
  <c r="P17" i="284"/>
  <c r="X129" i="468"/>
  <c r="U40" i="275"/>
  <c r="U34" i="281"/>
  <c r="L97" i="280"/>
  <c r="N97" i="280"/>
  <c r="U114" i="278"/>
  <c r="M62" i="275"/>
  <c r="W102" i="279"/>
  <c r="V15" i="278"/>
  <c r="W39" i="281"/>
  <c r="S19" i="468"/>
  <c r="V98" i="283"/>
  <c r="U9" i="284"/>
  <c r="X50" i="282"/>
  <c r="O126" i="280"/>
  <c r="O122" i="284"/>
  <c r="K113" i="280"/>
  <c r="K22" i="282"/>
  <c r="N119" i="284"/>
  <c r="O96" i="468"/>
  <c r="V70" i="280"/>
  <c r="K100" i="280"/>
  <c r="T54" i="281"/>
  <c r="O51" i="283"/>
  <c r="U77" i="275"/>
  <c r="W133" i="282"/>
  <c r="U117" i="279"/>
  <c r="S136" i="279"/>
  <c r="K10" i="278"/>
  <c r="S42" i="282"/>
  <c r="X20" i="283"/>
  <c r="T4" i="468"/>
  <c r="O72" i="275"/>
  <c r="K43" i="279"/>
  <c r="V73" i="280"/>
  <c r="O74" i="282"/>
  <c r="U115" i="284"/>
  <c r="T89" i="468"/>
  <c r="X101" i="283"/>
  <c r="X78" i="468"/>
  <c r="L117" i="283"/>
  <c r="V125" i="278"/>
  <c r="J118" i="468"/>
  <c r="V3" i="278"/>
  <c r="K139" i="282"/>
  <c r="W70" i="281"/>
  <c r="P42" i="278"/>
  <c r="X136" i="468"/>
  <c r="L131" i="281"/>
  <c r="N45" i="278"/>
  <c r="L32" i="281"/>
  <c r="O27" i="279"/>
  <c r="X65" i="279"/>
  <c r="U131" i="468"/>
  <c r="P107" i="283"/>
  <c r="R3" i="286"/>
  <c r="P110" i="284"/>
  <c r="N18" i="284"/>
  <c r="P45" i="280"/>
  <c r="S3" i="286"/>
  <c r="K23" i="468"/>
  <c r="S40" i="468"/>
  <c r="P100" i="275"/>
  <c r="T100" i="283"/>
  <c r="U127" i="279"/>
  <c r="T7" i="194"/>
  <c r="K38" i="468"/>
  <c r="U40" i="278"/>
  <c r="K6" i="280"/>
  <c r="V121" i="278"/>
  <c r="W9" i="468"/>
  <c r="R83" i="275"/>
  <c r="L138" i="275"/>
  <c r="M75" i="194"/>
  <c r="J17" i="468"/>
  <c r="V22" i="278"/>
  <c r="O20" i="275"/>
  <c r="X19" i="286"/>
  <c r="U93" i="284"/>
  <c r="X92" i="286"/>
  <c r="X113" i="279"/>
  <c r="K43" i="284"/>
  <c r="U98" i="279"/>
  <c r="T20" i="275"/>
  <c r="J63" i="275"/>
  <c r="L20" i="279"/>
  <c r="L119" i="280"/>
  <c r="K98" i="279"/>
  <c r="J137" i="278"/>
  <c r="R123" i="282"/>
  <c r="L8" i="280"/>
  <c r="L99" i="284"/>
  <c r="V128" i="279"/>
  <c r="K21" i="283"/>
  <c r="S42" i="283"/>
  <c r="N78" i="278"/>
  <c r="R4" i="280"/>
  <c r="O140" i="279"/>
  <c r="J140" i="283"/>
  <c r="R94" i="284"/>
  <c r="J103" i="283"/>
  <c r="N119" i="275"/>
  <c r="M83" i="194"/>
  <c r="U42" i="275"/>
  <c r="S50" i="275"/>
  <c r="P131" i="278"/>
  <c r="R41" i="284"/>
  <c r="P86" i="468"/>
  <c r="U78" i="275"/>
  <c r="M24" i="280"/>
  <c r="O80" i="282"/>
  <c r="P137" i="280"/>
  <c r="W134" i="280"/>
  <c r="J51" i="275"/>
  <c r="P5" i="280"/>
  <c r="M19" i="468"/>
  <c r="X21" i="275"/>
  <c r="V105" i="468"/>
  <c r="X77" i="280"/>
  <c r="R65" i="468"/>
  <c r="M22" i="278"/>
  <c r="T79" i="468"/>
  <c r="J33" i="280"/>
  <c r="V125" i="194"/>
  <c r="N138" i="281"/>
  <c r="X46" i="275"/>
  <c r="O12" i="284"/>
  <c r="K29" i="283"/>
  <c r="O4" i="468"/>
  <c r="T137" i="278"/>
  <c r="S102" i="194"/>
  <c r="X110" i="279"/>
  <c r="O121" i="278"/>
  <c r="S22" i="281"/>
  <c r="J49" i="468"/>
  <c r="P137" i="279"/>
  <c r="V130" i="281"/>
  <c r="X122" i="468"/>
  <c r="X18" i="468"/>
  <c r="N69" i="283"/>
  <c r="U119" i="194"/>
  <c r="K105" i="283"/>
  <c r="O41" i="278"/>
  <c r="X120" i="468"/>
  <c r="N94" i="194"/>
  <c r="O73" i="284"/>
  <c r="X93" i="468"/>
  <c r="V103" i="278"/>
  <c r="S19" i="280"/>
  <c r="W135" i="284"/>
  <c r="S115" i="283"/>
  <c r="N76" i="468"/>
  <c r="O126" i="283"/>
  <c r="N9" i="280"/>
  <c r="W51" i="283"/>
  <c r="R18" i="279"/>
  <c r="P130" i="279"/>
  <c r="R63" i="284"/>
  <c r="X98" i="279"/>
  <c r="U25" i="283"/>
  <c r="V75" i="279"/>
  <c r="S22" i="275"/>
  <c r="M22" i="279"/>
  <c r="T6" i="468"/>
  <c r="S68" i="279"/>
  <c r="O44" i="281"/>
  <c r="P48" i="282"/>
  <c r="X79" i="286"/>
  <c r="L112" i="279"/>
  <c r="R25" i="284"/>
  <c r="J86" i="275"/>
  <c r="U102" i="278"/>
  <c r="T137" i="282"/>
  <c r="W96" i="275"/>
  <c r="R11" i="284"/>
  <c r="X50" i="284"/>
  <c r="N91" i="194"/>
  <c r="K135" i="284"/>
  <c r="P16" i="278"/>
  <c r="W113" i="468"/>
  <c r="W31" i="275"/>
  <c r="N74" i="194"/>
  <c r="S100" i="281"/>
  <c r="K89" i="194"/>
  <c r="X104" i="278"/>
  <c r="N107" i="275"/>
  <c r="X18" i="282"/>
  <c r="R31" i="278"/>
  <c r="T113" i="275"/>
  <c r="U68" i="283"/>
  <c r="O11" i="284"/>
  <c r="M84" i="468"/>
  <c r="O113" i="283"/>
  <c r="P42" i="282"/>
  <c r="U83" i="194"/>
  <c r="J7" i="468"/>
  <c r="T133" i="283"/>
  <c r="K126" i="284"/>
  <c r="L112" i="278"/>
  <c r="O103" i="283"/>
  <c r="J3" i="284"/>
  <c r="O12" i="279"/>
  <c r="M15" i="275"/>
  <c r="L65" i="282"/>
  <c r="S130" i="468"/>
  <c r="J5" i="284"/>
  <c r="K22" i="275"/>
  <c r="U87" i="194"/>
  <c r="L25" i="468"/>
  <c r="T29" i="281"/>
  <c r="J70" i="275"/>
  <c r="S106" i="281"/>
  <c r="K125" i="281"/>
  <c r="K101" i="281"/>
  <c r="T77" i="468"/>
  <c r="K137" i="281"/>
  <c r="R16" i="275"/>
  <c r="X62" i="280"/>
  <c r="M15" i="278"/>
  <c r="K27" i="279"/>
  <c r="J122" i="468"/>
  <c r="N80" i="275"/>
  <c r="J88" i="468"/>
  <c r="P92" i="275"/>
  <c r="K4" i="283"/>
  <c r="K17" i="468"/>
  <c r="M75" i="468"/>
  <c r="W49" i="280"/>
  <c r="R127" i="280"/>
  <c r="K106" i="278"/>
  <c r="X62" i="281"/>
  <c r="R31" i="281"/>
  <c r="J18" i="275"/>
  <c r="R115" i="280"/>
  <c r="J74" i="282"/>
  <c r="J100" i="275"/>
  <c r="T119" i="281"/>
  <c r="J122" i="275"/>
  <c r="X4" i="279"/>
  <c r="S136" i="278"/>
  <c r="J127" i="279"/>
  <c r="J19" i="282"/>
  <c r="L3" i="282"/>
  <c r="K52" i="284"/>
  <c r="J115" i="282"/>
  <c r="N117" i="282"/>
  <c r="S4" i="279"/>
  <c r="T59" i="275"/>
  <c r="O66" i="280"/>
  <c r="N130" i="468"/>
  <c r="T10" i="278"/>
  <c r="K86" i="279"/>
  <c r="N38" i="282"/>
  <c r="P20" i="468"/>
  <c r="N95" i="468"/>
  <c r="V27" i="281"/>
  <c r="N45" i="194"/>
  <c r="U14" i="278"/>
  <c r="R94" i="468"/>
  <c r="U11" i="468"/>
  <c r="N5" i="468"/>
  <c r="J102" i="280"/>
  <c r="R43" i="281"/>
  <c r="L59" i="284"/>
  <c r="W88" i="194"/>
  <c r="S74" i="281"/>
  <c r="L113" i="275"/>
  <c r="R66" i="279"/>
  <c r="K3" i="468"/>
  <c r="J132" i="275"/>
  <c r="J73" i="468"/>
  <c r="V104" i="279"/>
  <c r="M31" i="281"/>
  <c r="P10" i="280"/>
  <c r="M105" i="194"/>
  <c r="W13" i="278"/>
  <c r="W128" i="278"/>
  <c r="M105" i="278"/>
  <c r="T26" i="280"/>
  <c r="U133" i="282"/>
  <c r="J51" i="282"/>
  <c r="L11" i="282"/>
  <c r="X33" i="282"/>
  <c r="W104" i="275"/>
  <c r="P111" i="279"/>
  <c r="O120" i="468"/>
  <c r="W61" i="284"/>
  <c r="L92" i="283"/>
  <c r="J102" i="278"/>
  <c r="N56" i="282"/>
  <c r="T43" i="278"/>
  <c r="U30" i="280"/>
  <c r="R4" i="279"/>
  <c r="U35" i="283"/>
  <c r="O10" i="279"/>
  <c r="K8" i="284"/>
  <c r="V55" i="282"/>
  <c r="J6" i="282"/>
  <c r="N111" i="280"/>
  <c r="N138" i="278"/>
  <c r="W101" i="281"/>
  <c r="M36" i="278"/>
  <c r="R52" i="283"/>
  <c r="P41" i="194"/>
  <c r="W57" i="284"/>
  <c r="N133" i="280"/>
  <c r="V130" i="278"/>
  <c r="R54" i="281"/>
  <c r="X21" i="286"/>
  <c r="P124" i="281"/>
  <c r="S61" i="284"/>
  <c r="N19" i="275"/>
  <c r="V123" i="194"/>
  <c r="O101" i="468"/>
  <c r="U70" i="283"/>
  <c r="S116" i="282"/>
  <c r="T40" i="468"/>
  <c r="X63" i="468"/>
  <c r="N131" i="280"/>
  <c r="U31" i="282"/>
  <c r="P76" i="194"/>
  <c r="P121" i="280"/>
  <c r="V6" i="282"/>
  <c r="L26" i="281"/>
  <c r="J26" i="284"/>
  <c r="V125" i="283"/>
  <c r="U4" i="286"/>
  <c r="X113" i="282"/>
  <c r="K42" i="280"/>
  <c r="R137" i="284"/>
  <c r="N20" i="468"/>
  <c r="K103" i="468"/>
  <c r="T44" i="468"/>
  <c r="X5" i="282"/>
  <c r="N46" i="284"/>
  <c r="X48" i="279"/>
  <c r="N113" i="284"/>
  <c r="P68" i="283"/>
  <c r="R28" i="280"/>
  <c r="K115" i="282"/>
  <c r="P61" i="468"/>
  <c r="X75" i="468"/>
  <c r="R5" i="275"/>
  <c r="M128" i="279"/>
  <c r="W140" i="281"/>
  <c r="R128" i="282"/>
  <c r="M125" i="278"/>
  <c r="L124" i="278"/>
  <c r="X96" i="284"/>
  <c r="P124" i="280"/>
  <c r="R133" i="284"/>
  <c r="J27" i="275"/>
  <c r="W112" i="194"/>
  <c r="P41" i="275"/>
  <c r="W8" i="283"/>
  <c r="U17" i="282"/>
  <c r="V37" i="279"/>
  <c r="N107" i="194"/>
  <c r="V64" i="275"/>
  <c r="W19" i="283"/>
  <c r="J50" i="468"/>
  <c r="R119" i="275"/>
  <c r="J3" i="279"/>
  <c r="M72" i="281"/>
  <c r="N76" i="280"/>
  <c r="V64" i="281"/>
  <c r="R51" i="275"/>
  <c r="R52" i="468"/>
  <c r="R111" i="468"/>
  <c r="O7" i="468"/>
  <c r="R129" i="283"/>
  <c r="S110" i="275"/>
  <c r="S49" i="468"/>
  <c r="K127" i="283"/>
  <c r="T130" i="278"/>
  <c r="U65" i="282"/>
  <c r="S97" i="281"/>
  <c r="U86" i="283"/>
  <c r="V7" i="283"/>
  <c r="X122" i="278"/>
  <c r="O37" i="468"/>
  <c r="S137" i="283"/>
  <c r="M139" i="282"/>
  <c r="N12" i="280"/>
  <c r="T35" i="278"/>
  <c r="V127" i="275"/>
  <c r="O82" i="284"/>
  <c r="S36" i="282"/>
  <c r="J74" i="281"/>
  <c r="J129" i="283"/>
  <c r="K53" i="278"/>
  <c r="S97" i="279"/>
  <c r="K122" i="275"/>
  <c r="J60" i="279"/>
  <c r="K21" i="275"/>
  <c r="L87" i="281"/>
  <c r="M38" i="282"/>
  <c r="X74" i="283"/>
  <c r="J74" i="280"/>
  <c r="N106" i="280"/>
  <c r="R136" i="283"/>
  <c r="L5" i="283"/>
  <c r="M124" i="281"/>
  <c r="K110" i="468"/>
  <c r="V139" i="275"/>
  <c r="X68" i="278"/>
  <c r="U127" i="278"/>
  <c r="J44" i="282"/>
  <c r="X37" i="278"/>
  <c r="J53" i="281"/>
  <c r="X106" i="280"/>
  <c r="T15" i="282"/>
  <c r="V40" i="284"/>
  <c r="M124" i="275"/>
  <c r="O72" i="281"/>
  <c r="O42" i="279"/>
  <c r="X36" i="284"/>
  <c r="V19" i="282"/>
  <c r="N125" i="275"/>
  <c r="J34" i="194"/>
  <c r="U14" i="281"/>
  <c r="S110" i="468"/>
  <c r="R28" i="282"/>
  <c r="P89" i="468"/>
  <c r="M5" i="468"/>
  <c r="J91" i="284"/>
  <c r="T83" i="194"/>
  <c r="P41" i="282"/>
  <c r="M115" i="282"/>
  <c r="T110" i="283"/>
  <c r="T125" i="280"/>
  <c r="R13" i="282"/>
  <c r="P51" i="279"/>
  <c r="V31" i="281"/>
  <c r="N42" i="194"/>
  <c r="N71" i="283"/>
  <c r="X116" i="280"/>
  <c r="V46" i="194"/>
  <c r="S69" i="279"/>
  <c r="L55" i="284"/>
  <c r="K34" i="278"/>
  <c r="T3" i="468"/>
  <c r="P16" i="279"/>
  <c r="J130" i="280"/>
  <c r="R106" i="275"/>
  <c r="U67" i="280"/>
  <c r="X104" i="275"/>
  <c r="S61" i="279"/>
  <c r="O107" i="283"/>
  <c r="V136" i="283"/>
  <c r="K95" i="278"/>
  <c r="W105" i="275"/>
  <c r="O106" i="275"/>
  <c r="P31" i="283"/>
  <c r="S58" i="278"/>
  <c r="U25" i="279"/>
  <c r="L23" i="284"/>
  <c r="L49" i="278"/>
  <c r="X130" i="281"/>
  <c r="M121" i="281"/>
  <c r="N72" i="279"/>
  <c r="P24" i="280"/>
  <c r="J75" i="283"/>
  <c r="L90" i="282"/>
  <c r="N20" i="284"/>
  <c r="R54" i="280"/>
  <c r="J105" i="278"/>
  <c r="N128" i="278"/>
  <c r="T11" i="278"/>
  <c r="L131" i="282"/>
  <c r="M63" i="194"/>
  <c r="S19" i="282"/>
  <c r="U64" i="282"/>
  <c r="J27" i="278"/>
  <c r="U117" i="283"/>
  <c r="U64" i="280"/>
  <c r="N108" i="282"/>
  <c r="P44" i="275"/>
  <c r="S41" i="468"/>
  <c r="S56" i="279"/>
  <c r="W79" i="281"/>
  <c r="L19" i="283"/>
  <c r="J24" i="281"/>
  <c r="W65" i="275"/>
  <c r="O55" i="275"/>
  <c r="V55" i="275"/>
  <c r="J37" i="279"/>
  <c r="O34" i="279"/>
  <c r="P19" i="279"/>
  <c r="L41" i="284"/>
  <c r="V95" i="284"/>
  <c r="S29" i="278"/>
  <c r="W68" i="468"/>
  <c r="N131" i="278"/>
  <c r="S7" i="278"/>
  <c r="K65" i="279"/>
  <c r="N38" i="279"/>
  <c r="P127" i="283"/>
  <c r="X41" i="280"/>
  <c r="U115" i="280"/>
  <c r="O50" i="280"/>
  <c r="V18" i="283"/>
  <c r="X54" i="468"/>
  <c r="R110" i="278"/>
  <c r="M8" i="284"/>
  <c r="K20" i="468"/>
  <c r="M58" i="280"/>
  <c r="J136" i="284"/>
  <c r="W48" i="468"/>
  <c r="X34" i="284"/>
  <c r="S75" i="284"/>
  <c r="O7" i="280"/>
  <c r="V139" i="278"/>
  <c r="W23" i="468"/>
  <c r="X128" i="279"/>
  <c r="U50" i="282"/>
  <c r="K6" i="279"/>
  <c r="O33" i="279"/>
  <c r="N62" i="280"/>
  <c r="R51" i="283"/>
  <c r="T131" i="283"/>
  <c r="M100" i="278"/>
  <c r="X67" i="286"/>
  <c r="M137" i="279"/>
  <c r="M37" i="283"/>
  <c r="L32" i="279"/>
  <c r="P24" i="468"/>
  <c r="W65" i="279"/>
  <c r="M125" i="283"/>
  <c r="M138" i="280"/>
  <c r="O23" i="275"/>
  <c r="X95" i="286"/>
  <c r="M135" i="284"/>
  <c r="O36" i="279"/>
  <c r="L27" i="280"/>
  <c r="S112" i="281"/>
  <c r="X39" i="284"/>
  <c r="L32" i="283"/>
  <c r="P106" i="284"/>
  <c r="T9" i="282"/>
  <c r="V7" i="279"/>
  <c r="R103" i="279"/>
  <c r="N139" i="282"/>
  <c r="V14" i="279"/>
  <c r="T14" i="281"/>
  <c r="L118" i="284"/>
  <c r="N110" i="278"/>
  <c r="V105" i="283"/>
  <c r="O37" i="278"/>
  <c r="X109" i="281"/>
  <c r="K31" i="278"/>
  <c r="M56" i="279"/>
  <c r="N99" i="280"/>
  <c r="M70" i="281"/>
  <c r="W101" i="284"/>
  <c r="R89" i="468"/>
  <c r="V101" i="275"/>
  <c r="S50" i="282"/>
  <c r="T139" i="282"/>
  <c r="X109" i="280"/>
  <c r="L123" i="282"/>
  <c r="L123" i="275"/>
  <c r="P3" i="281"/>
  <c r="V96" i="468"/>
  <c r="V49" i="278"/>
  <c r="T123" i="284"/>
  <c r="K92" i="275"/>
  <c r="W50" i="275"/>
  <c r="K40" i="278"/>
  <c r="S104" i="468"/>
  <c r="T114" i="281"/>
  <c r="X123" i="279"/>
  <c r="T31" i="275"/>
  <c r="V51" i="468"/>
  <c r="P121" i="281"/>
  <c r="S90" i="282"/>
  <c r="W66" i="282"/>
  <c r="J140" i="280"/>
  <c r="U72" i="281"/>
  <c r="S11" i="279"/>
  <c r="U27" i="283"/>
  <c r="U123" i="283"/>
  <c r="V23" i="281"/>
  <c r="O8" i="275"/>
  <c r="M26" i="278"/>
  <c r="V108" i="281"/>
  <c r="L4" i="284"/>
  <c r="U4" i="279"/>
  <c r="V46" i="282"/>
  <c r="M68" i="281"/>
  <c r="T66" i="278"/>
  <c r="N73" i="284"/>
  <c r="S36" i="275"/>
  <c r="X61" i="275"/>
  <c r="K22" i="194"/>
  <c r="X117" i="279"/>
  <c r="R121" i="468"/>
  <c r="R77" i="468"/>
  <c r="W42" i="468"/>
  <c r="X17" i="281"/>
  <c r="T41" i="281"/>
  <c r="R32" i="279"/>
  <c r="R39" i="281"/>
  <c r="N60" i="281"/>
  <c r="N125" i="281"/>
  <c r="S29" i="275"/>
  <c r="J131" i="279"/>
  <c r="T71" i="278"/>
  <c r="U69" i="278"/>
  <c r="X105" i="282"/>
  <c r="O77" i="275"/>
  <c r="U84" i="279"/>
  <c r="O65" i="281"/>
  <c r="R4" i="282"/>
  <c r="U3" i="280"/>
  <c r="J22" i="278"/>
  <c r="L71" i="194"/>
  <c r="P33" i="282"/>
  <c r="L38" i="275"/>
  <c r="W117" i="279"/>
  <c r="X72" i="282"/>
  <c r="N128" i="275"/>
  <c r="R128" i="284"/>
  <c r="K53" i="279"/>
  <c r="V14" i="282"/>
  <c r="N106" i="283"/>
  <c r="K104" i="468"/>
  <c r="U85" i="468"/>
  <c r="X20" i="278"/>
  <c r="P34" i="282"/>
  <c r="V53" i="280"/>
  <c r="P120" i="468"/>
  <c r="L125" i="279"/>
  <c r="R31" i="275"/>
  <c r="P92" i="468"/>
  <c r="R130" i="280"/>
  <c r="N66" i="468"/>
  <c r="N126" i="281"/>
  <c r="V118" i="280"/>
  <c r="K69" i="283"/>
  <c r="L96" i="468"/>
  <c r="W33" i="282"/>
  <c r="R34" i="278"/>
  <c r="J130" i="284"/>
  <c r="W65" i="278"/>
  <c r="J121" i="281"/>
  <c r="K128" i="280"/>
  <c r="P63" i="281"/>
  <c r="J124" i="275"/>
  <c r="R113" i="280"/>
  <c r="U119" i="278"/>
  <c r="M49" i="279"/>
  <c r="N14" i="281"/>
  <c r="R132" i="282"/>
  <c r="W48" i="278"/>
  <c r="X84" i="286"/>
  <c r="K116" i="282"/>
  <c r="U5" i="280"/>
  <c r="N129" i="468"/>
  <c r="X49" i="279"/>
  <c r="M16" i="468"/>
  <c r="T18" i="282"/>
  <c r="U45" i="279"/>
  <c r="L90" i="468"/>
  <c r="W111" i="279"/>
  <c r="P126" i="283"/>
  <c r="X138" i="284"/>
  <c r="O128" i="283"/>
  <c r="K45" i="278"/>
  <c r="S124" i="282"/>
  <c r="N44" i="468"/>
  <c r="N107" i="282"/>
  <c r="U116" i="283"/>
  <c r="U115" i="275"/>
  <c r="O66" i="194"/>
  <c r="X40" i="468"/>
  <c r="M48" i="280"/>
  <c r="V129" i="283"/>
  <c r="J24" i="282"/>
  <c r="S111" i="282"/>
  <c r="M34" i="468"/>
  <c r="L98" i="281"/>
  <c r="M60" i="279"/>
  <c r="O56" i="275"/>
  <c r="L10" i="468"/>
  <c r="V122" i="279"/>
  <c r="J14" i="280"/>
  <c r="W50" i="281"/>
  <c r="L119" i="468"/>
  <c r="X123" i="281"/>
  <c r="V35" i="282"/>
  <c r="J97" i="275"/>
  <c r="W8" i="278"/>
  <c r="L104" i="278"/>
  <c r="J3" i="281"/>
  <c r="V22" i="468"/>
  <c r="R27" i="468"/>
  <c r="X67" i="275"/>
  <c r="T101" i="284"/>
  <c r="K111" i="275"/>
  <c r="L9" i="280"/>
  <c r="X44" i="468"/>
  <c r="V32" i="280"/>
  <c r="U48" i="284"/>
  <c r="O75" i="278"/>
  <c r="S32" i="468"/>
  <c r="P64" i="280"/>
  <c r="N103" i="279"/>
  <c r="O39" i="278"/>
  <c r="O99" i="281"/>
  <c r="W44" i="283"/>
  <c r="L67" i="281"/>
  <c r="J63" i="194"/>
  <c r="P38" i="283"/>
  <c r="J138" i="280"/>
  <c r="L41" i="280"/>
  <c r="X81" i="286"/>
  <c r="U34" i="279"/>
  <c r="X107" i="283"/>
  <c r="V119" i="279"/>
  <c r="W45" i="283"/>
  <c r="R21" i="468"/>
  <c r="U103" i="275"/>
  <c r="O21" i="468"/>
  <c r="S16" i="280"/>
  <c r="O117" i="278"/>
  <c r="K123" i="278"/>
  <c r="T12" i="275"/>
  <c r="X19" i="468"/>
  <c r="P26" i="282"/>
  <c r="W51" i="282"/>
  <c r="R36" i="275"/>
  <c r="J20" i="194"/>
  <c r="U27" i="280"/>
  <c r="R53" i="278"/>
  <c r="L29" i="468"/>
  <c r="T135" i="281"/>
  <c r="N121" i="284"/>
  <c r="P76" i="283"/>
  <c r="T35" i="468"/>
  <c r="P111" i="275"/>
  <c r="T64" i="275"/>
  <c r="R43" i="468"/>
  <c r="M50" i="278"/>
  <c r="L15" i="284"/>
  <c r="X119" i="286"/>
  <c r="O17" i="283"/>
  <c r="V126" i="278"/>
  <c r="T140" i="280"/>
  <c r="M38" i="280"/>
  <c r="J76" i="278"/>
  <c r="L115" i="278"/>
  <c r="J37" i="280"/>
  <c r="R29" i="281"/>
  <c r="K118" i="281"/>
  <c r="O22" i="282"/>
  <c r="R67" i="282"/>
  <c r="X64" i="286"/>
  <c r="N44" i="282"/>
  <c r="R44" i="279"/>
  <c r="U5" i="278"/>
  <c r="K19" i="278"/>
  <c r="W16" i="279"/>
  <c r="P62" i="282"/>
  <c r="S25" i="281"/>
  <c r="O38" i="275"/>
  <c r="M54" i="283"/>
  <c r="V127" i="282"/>
  <c r="V25" i="468"/>
  <c r="K33" i="278"/>
  <c r="K64" i="275"/>
  <c r="J16" i="281"/>
  <c r="R3" i="283"/>
  <c r="T53" i="281"/>
  <c r="P41" i="281"/>
  <c r="M6" i="280"/>
  <c r="W123" i="279"/>
  <c r="S133" i="280"/>
  <c r="V63" i="278"/>
  <c r="U53" i="279"/>
  <c r="M88" i="468"/>
  <c r="V15" i="275"/>
  <c r="W30" i="468"/>
  <c r="V105" i="275"/>
  <c r="P4" i="275"/>
  <c r="N51" i="282"/>
  <c r="T40" i="279"/>
  <c r="T100" i="281"/>
  <c r="S4" i="275"/>
  <c r="W35" i="278"/>
  <c r="O68" i="275"/>
  <c r="T20" i="280"/>
  <c r="J12" i="280"/>
  <c r="X112" i="468"/>
  <c r="V53" i="275"/>
  <c r="U107" i="280"/>
  <c r="N128" i="281"/>
  <c r="V11" i="279"/>
  <c r="J133" i="278"/>
  <c r="U67" i="194"/>
  <c r="X25" i="278"/>
  <c r="P65" i="282"/>
  <c r="M138" i="275"/>
  <c r="N127" i="282"/>
  <c r="W111" i="468"/>
  <c r="M48" i="278"/>
  <c r="M140" i="282"/>
  <c r="R135" i="281"/>
  <c r="K98" i="282"/>
  <c r="T130" i="468"/>
  <c r="P20" i="279"/>
  <c r="J138" i="282"/>
  <c r="J62" i="468"/>
  <c r="U8" i="283"/>
  <c r="L27" i="283"/>
  <c r="M15" i="279"/>
  <c r="M7" i="275"/>
  <c r="L53" i="281"/>
  <c r="R79" i="468"/>
  <c r="K74" i="468"/>
  <c r="W86" i="468"/>
  <c r="K30" i="279"/>
  <c r="P3" i="278"/>
  <c r="L116" i="281"/>
  <c r="P23" i="278"/>
  <c r="S141" i="281"/>
  <c r="O10" i="283"/>
  <c r="S38" i="468"/>
  <c r="L34" i="279"/>
  <c r="X23" i="286"/>
  <c r="T137" i="284"/>
  <c r="W47" i="468"/>
  <c r="V117" i="284"/>
  <c r="U20" i="468"/>
  <c r="R3" i="280"/>
  <c r="K22" i="278"/>
  <c r="W34" i="280"/>
  <c r="X121" i="281"/>
  <c r="R17" i="281"/>
  <c r="O38" i="278"/>
  <c r="T43" i="275"/>
  <c r="V20" i="280"/>
  <c r="L128" i="279"/>
  <c r="J131" i="282"/>
  <c r="M35" i="282"/>
  <c r="S29" i="280"/>
  <c r="K52" i="275"/>
  <c r="N23" i="278"/>
  <c r="O37" i="279"/>
  <c r="X52" i="284"/>
  <c r="X34" i="468"/>
  <c r="X74" i="275"/>
  <c r="K23" i="279"/>
  <c r="O34" i="278"/>
  <c r="M51" i="282"/>
  <c r="T25" i="282"/>
  <c r="S129" i="275"/>
  <c r="K24" i="283"/>
  <c r="O50" i="279"/>
  <c r="X78" i="286"/>
  <c r="P30" i="279"/>
  <c r="N71" i="468"/>
  <c r="K138" i="468"/>
  <c r="W138" i="468"/>
  <c r="V60" i="279"/>
  <c r="U115" i="468"/>
  <c r="L135" i="278"/>
  <c r="V63" i="279"/>
  <c r="S118" i="275"/>
  <c r="M70" i="275"/>
  <c r="N77" i="468"/>
  <c r="W27" i="275"/>
  <c r="S13" i="282"/>
  <c r="R16" i="468"/>
  <c r="S24" i="468"/>
  <c r="P6" i="194"/>
  <c r="O62" i="283"/>
  <c r="R30" i="283"/>
  <c r="P60" i="281"/>
  <c r="W74" i="194"/>
  <c r="T121" i="281"/>
  <c r="V124" i="279"/>
  <c r="N34" i="278"/>
  <c r="R106" i="279"/>
  <c r="L42" i="278"/>
  <c r="K140" i="280"/>
  <c r="V124" i="280"/>
  <c r="P31" i="280"/>
  <c r="P17" i="283"/>
  <c r="T110" i="282"/>
  <c r="S117" i="278"/>
  <c r="P62" i="284"/>
  <c r="S116" i="278"/>
  <c r="O15" i="279"/>
  <c r="T42" i="279"/>
  <c r="X7" i="278"/>
  <c r="T63" i="281"/>
  <c r="X82" i="281"/>
  <c r="V122" i="275"/>
  <c r="M34" i="281"/>
  <c r="U71" i="279"/>
  <c r="W26" i="279"/>
  <c r="O100" i="278"/>
  <c r="N32" i="281"/>
  <c r="T32" i="275"/>
  <c r="K63" i="284"/>
  <c r="R33" i="278"/>
  <c r="L25" i="281"/>
  <c r="U120" i="282"/>
  <c r="J70" i="278"/>
  <c r="R104" i="279"/>
  <c r="K113" i="278"/>
  <c r="K85" i="282"/>
  <c r="U128" i="283"/>
  <c r="U41" i="282"/>
  <c r="X80" i="286"/>
  <c r="V26" i="278"/>
  <c r="L39" i="468"/>
  <c r="K64" i="282"/>
  <c r="W71" i="282"/>
  <c r="S7" i="280"/>
  <c r="P127" i="468"/>
  <c r="K108" i="284"/>
  <c r="W135" i="279"/>
  <c r="U28" i="281"/>
  <c r="M117" i="279"/>
  <c r="W15" i="278"/>
  <c r="J12" i="468"/>
  <c r="V108" i="278"/>
  <c r="U60" i="281"/>
  <c r="N111" i="275"/>
  <c r="X92" i="278"/>
  <c r="T113" i="468"/>
  <c r="J127" i="280"/>
  <c r="R38" i="280"/>
  <c r="T73" i="194"/>
  <c r="M118" i="280"/>
  <c r="M69" i="280"/>
  <c r="V30" i="280"/>
  <c r="U11" i="280"/>
  <c r="V73" i="283"/>
  <c r="X13" i="275"/>
  <c r="V51" i="283"/>
  <c r="U26" i="278"/>
  <c r="P62" i="283"/>
  <c r="K21" i="282"/>
  <c r="W18" i="283"/>
  <c r="W127" i="282"/>
  <c r="R9" i="279"/>
  <c r="P70" i="281"/>
  <c r="W7" i="281"/>
  <c r="L42" i="283"/>
  <c r="P58" i="284"/>
  <c r="T108" i="278"/>
  <c r="X115" i="281"/>
  <c r="S127" i="284"/>
  <c r="X94" i="286"/>
  <c r="T30" i="278"/>
  <c r="K8" i="282"/>
  <c r="R23" i="284"/>
  <c r="R21" i="284"/>
  <c r="N140" i="282"/>
  <c r="V53" i="281"/>
  <c r="J39" i="468"/>
  <c r="X139" i="275"/>
  <c r="X138" i="468"/>
  <c r="P110" i="275"/>
  <c r="R38" i="284"/>
  <c r="W121" i="468"/>
  <c r="M134" i="278"/>
  <c r="M63" i="468"/>
  <c r="L70" i="282"/>
  <c r="M64" i="284"/>
  <c r="W10" i="468"/>
  <c r="O12" i="283"/>
  <c r="M16" i="283"/>
  <c r="W43" i="281"/>
  <c r="L8" i="278"/>
  <c r="P116" i="279"/>
  <c r="W3" i="275"/>
  <c r="N134" i="278"/>
  <c r="X100" i="275"/>
  <c r="T138" i="281"/>
  <c r="X30" i="286"/>
  <c r="L133" i="283"/>
  <c r="L104" i="275"/>
  <c r="W111" i="280"/>
  <c r="S71" i="275"/>
  <c r="J52" i="275"/>
  <c r="W122" i="280"/>
  <c r="L6" i="282"/>
  <c r="J42" i="468"/>
  <c r="W96" i="280"/>
  <c r="P11" i="282"/>
  <c r="O129" i="281"/>
  <c r="S45" i="281"/>
  <c r="R123" i="468"/>
  <c r="V35" i="278"/>
  <c r="U44" i="280"/>
  <c r="M7" i="468"/>
  <c r="W113" i="278"/>
  <c r="W29" i="279"/>
  <c r="T12" i="279"/>
  <c r="N127" i="468"/>
  <c r="P95" i="194"/>
  <c r="P52" i="275"/>
  <c r="R108" i="278"/>
  <c r="J103" i="284"/>
  <c r="N61" i="275"/>
  <c r="O114" i="284"/>
  <c r="V127" i="278"/>
  <c r="O119" i="281"/>
  <c r="V120" i="281"/>
  <c r="P109" i="275"/>
  <c r="N32" i="283"/>
  <c r="N13" i="275"/>
  <c r="P59" i="194"/>
  <c r="R128" i="278"/>
  <c r="N52" i="275"/>
  <c r="M20" i="280"/>
  <c r="W66" i="278"/>
  <c r="V30" i="282"/>
  <c r="R136" i="281"/>
  <c r="M32" i="284"/>
  <c r="P127" i="275"/>
  <c r="T112" i="281"/>
  <c r="N65" i="283"/>
  <c r="W76" i="283"/>
  <c r="V121" i="275"/>
  <c r="O73" i="278"/>
  <c r="S107" i="283"/>
  <c r="V113" i="284"/>
  <c r="K58" i="280"/>
  <c r="S138" i="282"/>
  <c r="M67" i="280"/>
  <c r="S6" i="280"/>
  <c r="T117" i="275"/>
  <c r="R45" i="278"/>
  <c r="R129" i="282"/>
  <c r="S53" i="278"/>
  <c r="M20" i="278"/>
  <c r="M18" i="468"/>
  <c r="L32" i="275"/>
  <c r="W46" i="282"/>
  <c r="L64" i="281"/>
  <c r="W22" i="284"/>
  <c r="J82" i="282"/>
  <c r="R10" i="275"/>
  <c r="V116" i="275"/>
  <c r="N54" i="279"/>
  <c r="R24" i="194"/>
  <c r="W26" i="283"/>
  <c r="K100" i="275"/>
  <c r="U106" i="279"/>
  <c r="X108" i="468"/>
  <c r="T46" i="280"/>
  <c r="S69" i="283"/>
  <c r="W40" i="283"/>
  <c r="V33" i="275"/>
  <c r="P134" i="279"/>
  <c r="T5" i="275"/>
  <c r="P48" i="284"/>
  <c r="R20" i="280"/>
  <c r="T4" i="275"/>
  <c r="V29" i="281"/>
  <c r="M103" i="194"/>
  <c r="U59" i="279"/>
  <c r="U110" i="468"/>
  <c r="S63" i="280"/>
  <c r="R121" i="278"/>
  <c r="O115" i="279"/>
  <c r="T97" i="283"/>
  <c r="K109" i="282"/>
  <c r="V36" i="275"/>
  <c r="K3" i="470"/>
  <c r="O64" i="281"/>
  <c r="S29" i="279"/>
  <c r="S138" i="278"/>
  <c r="L9" i="468"/>
  <c r="O4" i="278"/>
  <c r="R75" i="279"/>
  <c r="S60" i="279"/>
  <c r="R45" i="279"/>
  <c r="O67" i="275"/>
  <c r="J74" i="278"/>
  <c r="N18" i="283"/>
  <c r="T45" i="282"/>
  <c r="K115" i="280"/>
  <c r="N20" i="283"/>
  <c r="M18" i="275"/>
  <c r="J135" i="279"/>
  <c r="R102" i="280"/>
  <c r="X31" i="286"/>
  <c r="P128" i="281"/>
  <c r="K135" i="281"/>
  <c r="M10" i="284"/>
  <c r="R64" i="280"/>
  <c r="O65" i="280"/>
  <c r="U73" i="278"/>
  <c r="W131" i="468"/>
  <c r="P131" i="275"/>
  <c r="R101" i="275"/>
  <c r="U25" i="278"/>
  <c r="N114" i="282"/>
  <c r="R115" i="279"/>
  <c r="S44" i="468"/>
  <c r="K29" i="278"/>
  <c r="L7" i="468"/>
  <c r="X68" i="286"/>
  <c r="N61" i="281"/>
  <c r="P75" i="284"/>
  <c r="S109" i="279"/>
  <c r="P130" i="281"/>
  <c r="N106" i="279"/>
  <c r="L25" i="283"/>
  <c r="J123" i="280"/>
  <c r="U94" i="468"/>
  <c r="X22" i="275"/>
  <c r="R46" i="278"/>
  <c r="O19" i="280"/>
  <c r="P129" i="281"/>
  <c r="J21" i="284"/>
  <c r="M122" i="468"/>
  <c r="N122" i="279"/>
  <c r="J105" i="468"/>
  <c r="V43" i="283"/>
  <c r="R130" i="278"/>
  <c r="L18" i="275"/>
  <c r="R59" i="282"/>
  <c r="M26" i="279"/>
  <c r="T30" i="284"/>
  <c r="V44" i="280"/>
  <c r="N13" i="280"/>
  <c r="J136" i="281"/>
  <c r="N114" i="283"/>
  <c r="K27" i="278"/>
  <c r="J17" i="275"/>
  <c r="J12" i="283"/>
  <c r="R42" i="283"/>
  <c r="W18" i="468"/>
  <c r="P116" i="281"/>
  <c r="N42" i="275"/>
  <c r="R37" i="278"/>
  <c r="K37" i="279"/>
  <c r="X39" i="286"/>
  <c r="U31" i="283"/>
  <c r="S44" i="281"/>
  <c r="X140" i="283"/>
  <c r="X38" i="275"/>
  <c r="M136" i="468"/>
  <c r="R130" i="282"/>
  <c r="J101" i="275"/>
  <c r="S108" i="468"/>
  <c r="S118" i="279"/>
  <c r="V133" i="283"/>
  <c r="W62" i="280"/>
  <c r="L138" i="278"/>
  <c r="W140" i="279"/>
  <c r="U132" i="281"/>
  <c r="M41" i="278"/>
  <c r="K131" i="279"/>
  <c r="R26" i="278"/>
  <c r="T132" i="280"/>
  <c r="V87" i="283"/>
  <c r="W66" i="468"/>
  <c r="L111" i="279"/>
  <c r="W128" i="275"/>
  <c r="M137" i="284"/>
  <c r="S66" i="280"/>
  <c r="O67" i="278"/>
  <c r="R134" i="468"/>
  <c r="X125" i="286"/>
  <c r="R59" i="283"/>
  <c r="N53" i="278"/>
  <c r="P53" i="278"/>
  <c r="K28" i="282"/>
  <c r="L136" i="275"/>
  <c r="R68" i="283"/>
  <c r="K120" i="279"/>
  <c r="W17" i="468"/>
  <c r="J36" i="280"/>
  <c r="U136" i="194"/>
  <c r="R98" i="280"/>
  <c r="X15" i="278"/>
  <c r="M102" i="283"/>
  <c r="X33" i="280"/>
  <c r="U20" i="282"/>
  <c r="S70" i="278"/>
  <c r="P134" i="284"/>
  <c r="N25" i="281"/>
  <c r="K114" i="283"/>
  <c r="U109" i="278"/>
  <c r="R65" i="278"/>
  <c r="J68" i="281"/>
  <c r="S139" i="279"/>
  <c r="W81" i="468"/>
  <c r="R119" i="281"/>
  <c r="X56" i="284"/>
  <c r="X129" i="280"/>
  <c r="J66" i="279"/>
  <c r="X20" i="284"/>
  <c r="T118" i="279"/>
  <c r="N39" i="283"/>
  <c r="T61" i="284"/>
  <c r="K51" i="278"/>
  <c r="M112" i="281"/>
  <c r="J134" i="281"/>
  <c r="U21" i="281"/>
  <c r="V90" i="468"/>
  <c r="M121" i="468"/>
  <c r="M27" i="278"/>
  <c r="V104" i="282"/>
  <c r="X96" i="286"/>
  <c r="U126" i="468"/>
  <c r="S136" i="282"/>
  <c r="T4" i="280"/>
  <c r="P23" i="280"/>
  <c r="S100" i="283"/>
  <c r="W40" i="468"/>
  <c r="T96" i="283"/>
  <c r="K34" i="282"/>
  <c r="M129" i="275"/>
  <c r="P8" i="279"/>
  <c r="X3" i="468"/>
  <c r="N82" i="280"/>
  <c r="T21" i="281"/>
  <c r="U38" i="279"/>
  <c r="J19" i="278"/>
  <c r="M82" i="282"/>
  <c r="X30" i="194"/>
  <c r="N10" i="279"/>
  <c r="T116" i="275"/>
  <c r="L121" i="281"/>
  <c r="S33" i="282"/>
  <c r="J93" i="278"/>
  <c r="W129" i="282"/>
  <c r="W109" i="281"/>
  <c r="N41" i="468"/>
  <c r="W100" i="279"/>
  <c r="R74" i="280"/>
  <c r="O31" i="283"/>
  <c r="J24" i="280"/>
  <c r="J10" i="284"/>
  <c r="K4" i="286"/>
  <c r="K26" i="283"/>
  <c r="N22" i="279"/>
  <c r="T63" i="278"/>
  <c r="K114" i="284"/>
  <c r="U91" i="281"/>
  <c r="J41" i="275"/>
  <c r="L42" i="279"/>
  <c r="M13" i="283"/>
  <c r="K107" i="468"/>
  <c r="U67" i="284"/>
  <c r="M62" i="468"/>
  <c r="X17" i="468"/>
  <c r="O119" i="280"/>
  <c r="M29" i="275"/>
  <c r="O105" i="279"/>
  <c r="V44" i="283"/>
  <c r="V21" i="278"/>
  <c r="U71" i="284"/>
  <c r="T45" i="275"/>
  <c r="L38" i="284"/>
  <c r="T48" i="275"/>
  <c r="L25" i="284"/>
  <c r="M48" i="468"/>
  <c r="U46" i="281"/>
  <c r="U117" i="280"/>
  <c r="U64" i="278"/>
  <c r="V120" i="283"/>
  <c r="U130" i="280"/>
  <c r="P58" i="278"/>
  <c r="V70" i="284"/>
  <c r="S128" i="284"/>
  <c r="K101" i="280"/>
  <c r="V113" i="282"/>
  <c r="O7" i="282"/>
  <c r="L118" i="282"/>
  <c r="J52" i="280"/>
  <c r="O13" i="279"/>
  <c r="P50" i="282"/>
  <c r="T62" i="280"/>
  <c r="R58" i="468"/>
  <c r="U7" i="284"/>
  <c r="R66" i="284"/>
  <c r="M131" i="194"/>
  <c r="V18" i="278"/>
  <c r="L137" i="280"/>
  <c r="M120" i="468"/>
  <c r="V126" i="281"/>
  <c r="V114" i="281"/>
  <c r="W112" i="278"/>
  <c r="O25" i="279"/>
  <c r="X6" i="280"/>
  <c r="T52" i="279"/>
  <c r="X135" i="279"/>
  <c r="S25" i="278"/>
  <c r="K67" i="281"/>
  <c r="R24" i="280"/>
  <c r="R137" i="279"/>
  <c r="R3" i="194"/>
  <c r="P12" i="275"/>
  <c r="W59" i="279"/>
  <c r="P31" i="468"/>
  <c r="V36" i="282"/>
  <c r="V11" i="281"/>
  <c r="L74" i="468"/>
  <c r="L10" i="194"/>
  <c r="J25" i="283"/>
  <c r="L44" i="282"/>
  <c r="U108" i="468"/>
  <c r="U61" i="281"/>
  <c r="X58" i="279"/>
  <c r="J113" i="283"/>
  <c r="X115" i="468"/>
  <c r="W108" i="275"/>
  <c r="O125" i="281"/>
  <c r="L8" i="282"/>
  <c r="S31" i="280"/>
  <c r="O17" i="279"/>
  <c r="U6" i="279"/>
  <c r="M25" i="278"/>
  <c r="V16" i="280"/>
  <c r="W131" i="282"/>
  <c r="M106" i="468"/>
  <c r="O56" i="279"/>
  <c r="J108" i="282"/>
  <c r="K112" i="468"/>
  <c r="X59" i="284"/>
  <c r="K42" i="279"/>
  <c r="M26" i="284"/>
  <c r="O64" i="278"/>
  <c r="O42" i="281"/>
  <c r="U135" i="278"/>
  <c r="U51" i="280"/>
  <c r="K117" i="278"/>
  <c r="T49" i="275"/>
  <c r="P44" i="279"/>
  <c r="R68" i="279"/>
  <c r="T69" i="279"/>
  <c r="W110" i="279"/>
  <c r="S110" i="279"/>
  <c r="T116" i="280"/>
  <c r="X106" i="275"/>
  <c r="P57" i="283"/>
  <c r="T132" i="284"/>
  <c r="W29" i="280"/>
  <c r="X39" i="281"/>
  <c r="P18" i="468"/>
  <c r="J122" i="281"/>
  <c r="L5" i="282"/>
  <c r="U12" i="279"/>
  <c r="S73" i="281"/>
  <c r="K40" i="468"/>
  <c r="X58" i="283"/>
  <c r="T25" i="281"/>
  <c r="R62" i="280"/>
  <c r="U26" i="281"/>
  <c r="S108" i="282"/>
  <c r="L98" i="468"/>
  <c r="M65" i="281"/>
  <c r="P135" i="194"/>
  <c r="J61" i="282"/>
  <c r="N78" i="468"/>
  <c r="L33" i="280"/>
  <c r="K139" i="279"/>
  <c r="U33" i="281"/>
  <c r="J32" i="283"/>
  <c r="P59" i="282"/>
  <c r="P112" i="275"/>
  <c r="X80" i="279"/>
  <c r="N44" i="284"/>
  <c r="X22" i="281"/>
  <c r="O138" i="279"/>
  <c r="J27" i="282"/>
  <c r="L42" i="281"/>
  <c r="U44" i="275"/>
  <c r="N103" i="275"/>
  <c r="S105" i="468"/>
  <c r="V50" i="283"/>
  <c r="O111" i="284"/>
  <c r="L3" i="194"/>
  <c r="T75" i="275"/>
  <c r="K19" i="194"/>
  <c r="R137" i="283"/>
  <c r="T114" i="284"/>
  <c r="T34" i="284"/>
  <c r="N16" i="279"/>
  <c r="J45" i="275"/>
  <c r="U133" i="275"/>
  <c r="V110" i="278"/>
  <c r="M23" i="282"/>
  <c r="R5" i="279"/>
  <c r="J41" i="279"/>
  <c r="W96" i="468"/>
  <c r="N42" i="280"/>
  <c r="X14" i="279"/>
  <c r="T107" i="284"/>
  <c r="M64" i="275"/>
  <c r="X56" i="286"/>
  <c r="O125" i="279"/>
  <c r="P123" i="282"/>
  <c r="P4" i="282"/>
  <c r="R21" i="281"/>
  <c r="V112" i="283"/>
  <c r="L3" i="280"/>
  <c r="W61" i="468"/>
  <c r="T37" i="279"/>
  <c r="U103" i="284"/>
  <c r="L131" i="468"/>
  <c r="V54" i="283"/>
  <c r="L76" i="281"/>
  <c r="P58" i="275"/>
  <c r="V65" i="282"/>
  <c r="J107" i="275"/>
  <c r="V133" i="278"/>
  <c r="P45" i="275"/>
  <c r="S129" i="468"/>
  <c r="K124" i="284"/>
  <c r="M64" i="279"/>
  <c r="U108" i="283"/>
  <c r="K110" i="280"/>
  <c r="P72" i="278"/>
  <c r="S41" i="284"/>
  <c r="L13" i="278"/>
  <c r="W134" i="279"/>
  <c r="T70" i="283"/>
  <c r="T37" i="194"/>
  <c r="O32" i="278"/>
  <c r="W69" i="275"/>
  <c r="U14" i="279"/>
  <c r="T43" i="281"/>
  <c r="K23" i="281"/>
  <c r="S115" i="282"/>
  <c r="W44" i="468"/>
  <c r="N126" i="284"/>
  <c r="T71" i="284"/>
  <c r="X87" i="284"/>
  <c r="S99" i="275"/>
  <c r="M132" i="281"/>
  <c r="R66" i="468"/>
  <c r="J69" i="280"/>
  <c r="K75" i="278"/>
  <c r="S116" i="284"/>
  <c r="U75" i="275"/>
  <c r="S38" i="280"/>
  <c r="T36" i="194"/>
  <c r="N91" i="278"/>
  <c r="U72" i="283"/>
  <c r="P44" i="468"/>
  <c r="R73" i="282"/>
  <c r="N4" i="468"/>
  <c r="N8" i="283"/>
  <c r="M5" i="284"/>
  <c r="X59" i="282"/>
  <c r="N37" i="283"/>
  <c r="V60" i="194"/>
  <c r="N99" i="281"/>
  <c r="U102" i="468"/>
  <c r="S21" i="468"/>
  <c r="W17" i="281"/>
  <c r="V95" i="275"/>
  <c r="V91" i="283"/>
  <c r="M49" i="468"/>
  <c r="W11" i="278"/>
  <c r="L120" i="282"/>
  <c r="X94" i="275"/>
  <c r="K67" i="280"/>
  <c r="T73" i="279"/>
  <c r="V48" i="279"/>
  <c r="V43" i="282"/>
  <c r="U139" i="280"/>
  <c r="O137" i="280"/>
  <c r="R3" i="278"/>
  <c r="R56" i="282"/>
  <c r="O17" i="468"/>
  <c r="K131" i="281"/>
  <c r="P110" i="283"/>
  <c r="P121" i="283"/>
  <c r="W72" i="468"/>
  <c r="O12" i="282"/>
  <c r="J138" i="279"/>
  <c r="O24" i="284"/>
  <c r="W10" i="282"/>
  <c r="P10" i="282"/>
  <c r="X24" i="194"/>
  <c r="W48" i="282"/>
  <c r="R121" i="281"/>
  <c r="V130" i="279"/>
  <c r="W24" i="278"/>
  <c r="M134" i="468"/>
  <c r="W125" i="468"/>
  <c r="U27" i="281"/>
  <c r="X113" i="275"/>
  <c r="T123" i="278"/>
  <c r="V34" i="280"/>
  <c r="U39" i="282"/>
  <c r="U124" i="281"/>
  <c r="O116" i="282"/>
  <c r="M14" i="284"/>
  <c r="U107" i="275"/>
  <c r="T19" i="280"/>
  <c r="L77" i="468"/>
  <c r="J115" i="275"/>
  <c r="W58" i="279"/>
  <c r="O122" i="281"/>
  <c r="K59" i="278"/>
  <c r="K110" i="284"/>
  <c r="W56" i="281"/>
  <c r="W26" i="468"/>
  <c r="M29" i="282"/>
  <c r="R37" i="281"/>
  <c r="M65" i="284"/>
  <c r="W40" i="279"/>
  <c r="N49" i="275"/>
  <c r="K24" i="278"/>
  <c r="J26" i="283"/>
  <c r="L39" i="282"/>
  <c r="M8" i="280"/>
  <c r="O4" i="282"/>
  <c r="W133" i="275"/>
  <c r="M103" i="280"/>
  <c r="W30" i="284"/>
  <c r="W75" i="282"/>
  <c r="S125" i="278"/>
  <c r="W39" i="284"/>
  <c r="V61" i="280"/>
  <c r="T34" i="468"/>
  <c r="P114" i="284"/>
  <c r="U70" i="278"/>
  <c r="S5" i="468"/>
  <c r="S9" i="281"/>
  <c r="V99" i="468"/>
  <c r="O128" i="278"/>
  <c r="U41" i="281"/>
  <c r="L106" i="284"/>
  <c r="W32" i="275"/>
  <c r="S105" i="280"/>
  <c r="T130" i="281"/>
  <c r="W134" i="284"/>
  <c r="P112" i="194"/>
  <c r="N16" i="282"/>
  <c r="P40" i="279"/>
  <c r="U61" i="278"/>
  <c r="W102" i="280"/>
  <c r="T68" i="275"/>
  <c r="J60" i="275"/>
  <c r="V36" i="468"/>
  <c r="P71" i="275"/>
  <c r="K65" i="468"/>
  <c r="T63" i="468"/>
  <c r="P40" i="284"/>
  <c r="O34" i="282"/>
  <c r="M37" i="468"/>
  <c r="M118" i="282"/>
  <c r="S5" i="280"/>
  <c r="L19" i="279"/>
  <c r="T100" i="280"/>
  <c r="M21" i="275"/>
  <c r="X118" i="286"/>
  <c r="P12" i="468"/>
  <c r="R20" i="281"/>
  <c r="N9" i="468"/>
  <c r="W108" i="468"/>
  <c r="O53" i="281"/>
  <c r="M110" i="280"/>
  <c r="S36" i="279"/>
  <c r="X62" i="282"/>
  <c r="S109" i="468"/>
  <c r="U13" i="275"/>
  <c r="X9" i="281"/>
  <c r="X72" i="284"/>
  <c r="X54" i="280"/>
  <c r="W48" i="280"/>
  <c r="V108" i="280"/>
  <c r="K35" i="281"/>
  <c r="S79" i="278"/>
  <c r="J18" i="279"/>
  <c r="K5" i="468"/>
  <c r="N85" i="194"/>
  <c r="T108" i="283"/>
  <c r="X121" i="283"/>
  <c r="P103" i="282"/>
  <c r="O31" i="282"/>
  <c r="R106" i="283"/>
  <c r="T128" i="468"/>
  <c r="J33" i="278"/>
  <c r="W133" i="284"/>
  <c r="N41" i="278"/>
  <c r="R115" i="281"/>
  <c r="L124" i="280"/>
  <c r="U118" i="283"/>
  <c r="U139" i="279"/>
  <c r="U25" i="280"/>
  <c r="K19" i="275"/>
  <c r="S129" i="280"/>
  <c r="T117" i="280"/>
  <c r="S12" i="284"/>
  <c r="O40" i="278"/>
  <c r="N50" i="283"/>
  <c r="N35" i="275"/>
  <c r="O140" i="468"/>
  <c r="L35" i="279"/>
  <c r="O119" i="278"/>
  <c r="M10" i="282"/>
  <c r="J126" i="281"/>
  <c r="O80" i="468"/>
  <c r="J116" i="279"/>
  <c r="W124" i="468"/>
  <c r="M45" i="281"/>
  <c r="W32" i="283"/>
  <c r="V52" i="278"/>
  <c r="T99" i="194"/>
  <c r="S40" i="282"/>
  <c r="U124" i="280"/>
  <c r="N116" i="280"/>
  <c r="R30" i="281"/>
  <c r="M93" i="468"/>
  <c r="T111" i="280"/>
  <c r="K68" i="468"/>
  <c r="X23" i="278"/>
  <c r="R123" i="284"/>
  <c r="L99" i="278"/>
  <c r="J59" i="280"/>
  <c r="O126" i="468"/>
  <c r="R112" i="283"/>
  <c r="W17" i="275"/>
  <c r="T137" i="468"/>
  <c r="R130" i="468"/>
  <c r="O93" i="468"/>
  <c r="L28" i="279"/>
  <c r="W72" i="275"/>
  <c r="X108" i="282"/>
  <c r="J53" i="280"/>
  <c r="W54" i="282"/>
  <c r="X23" i="281"/>
  <c r="W65" i="283"/>
  <c r="R12" i="278"/>
  <c r="K44" i="275"/>
  <c r="P81" i="468"/>
  <c r="U97" i="468"/>
  <c r="O112" i="278"/>
  <c r="J131" i="281"/>
  <c r="M106" i="284"/>
  <c r="R107" i="275"/>
  <c r="J81" i="468"/>
  <c r="V100" i="468"/>
  <c r="V84" i="468"/>
  <c r="K12" i="281"/>
  <c r="T129" i="279"/>
  <c r="W69" i="278"/>
  <c r="M130" i="280"/>
  <c r="T3" i="281"/>
  <c r="N72" i="278"/>
  <c r="R114" i="275"/>
  <c r="R136" i="284"/>
  <c r="V36" i="284"/>
  <c r="L69" i="468"/>
  <c r="X124" i="275"/>
  <c r="L60" i="281"/>
  <c r="X8" i="284"/>
  <c r="U58" i="284"/>
  <c r="J43" i="278"/>
  <c r="K50" i="468"/>
  <c r="R50" i="279"/>
  <c r="U140" i="275"/>
  <c r="M108" i="468"/>
  <c r="P29" i="281"/>
  <c r="P61" i="281"/>
  <c r="P3" i="468"/>
  <c r="S67" i="468"/>
  <c r="K67" i="468"/>
  <c r="W34" i="279"/>
  <c r="N42" i="282"/>
  <c r="P15" i="278"/>
  <c r="U36" i="275"/>
  <c r="S55" i="284"/>
  <c r="W134" i="282"/>
  <c r="U28" i="282"/>
  <c r="S106" i="279"/>
  <c r="S43" i="283"/>
  <c r="N92" i="284"/>
  <c r="U64" i="284"/>
  <c r="S102" i="279"/>
  <c r="L54" i="275"/>
  <c r="W19" i="275"/>
  <c r="T3" i="278"/>
  <c r="T7" i="284"/>
  <c r="L31" i="279"/>
  <c r="R27" i="282"/>
  <c r="M34" i="280"/>
  <c r="O23" i="283"/>
  <c r="V134" i="282"/>
  <c r="R104" i="283"/>
  <c r="L133" i="282"/>
  <c r="L122" i="283"/>
  <c r="O25" i="280"/>
  <c r="P107" i="279"/>
  <c r="V135" i="279"/>
  <c r="J44" i="284"/>
  <c r="L63" i="280"/>
  <c r="V36" i="283"/>
  <c r="U13" i="282"/>
  <c r="U124" i="468"/>
  <c r="X118" i="194"/>
  <c r="S137" i="284"/>
  <c r="R70" i="281"/>
  <c r="R99" i="279"/>
  <c r="M86" i="468"/>
  <c r="R130" i="283"/>
  <c r="K48" i="281"/>
  <c r="T66" i="281"/>
  <c r="O130" i="278"/>
  <c r="U52" i="275"/>
  <c r="O53" i="284"/>
  <c r="S133" i="279"/>
  <c r="P138" i="281"/>
  <c r="T57" i="283"/>
  <c r="U48" i="275"/>
  <c r="L73" i="282"/>
  <c r="K47" i="468"/>
  <c r="W65" i="281"/>
  <c r="K106" i="282"/>
  <c r="P37" i="468"/>
  <c r="J20" i="281"/>
  <c r="W60" i="278"/>
  <c r="S58" i="284"/>
  <c r="N63" i="283"/>
  <c r="P112" i="281"/>
  <c r="W99" i="279"/>
  <c r="V131" i="279"/>
  <c r="W135" i="468"/>
  <c r="P101" i="279"/>
  <c r="K13" i="278"/>
  <c r="M51" i="280"/>
  <c r="P35" i="283"/>
  <c r="N59" i="468"/>
  <c r="J128" i="281"/>
  <c r="O30" i="283"/>
  <c r="S120" i="281"/>
  <c r="N53" i="281"/>
  <c r="W72" i="281"/>
  <c r="J6" i="278"/>
  <c r="W52" i="468"/>
  <c r="N28" i="468"/>
  <c r="J68" i="278"/>
  <c r="X103" i="284"/>
  <c r="X45" i="275"/>
  <c r="R104" i="278"/>
  <c r="T127" i="468"/>
  <c r="P36" i="278"/>
  <c r="U110" i="282"/>
  <c r="M114" i="275"/>
  <c r="K129" i="194"/>
  <c r="N35" i="468"/>
  <c r="U18" i="282"/>
  <c r="O36" i="278"/>
  <c r="W27" i="284"/>
  <c r="U108" i="284"/>
  <c r="T113" i="283"/>
  <c r="K102" i="281"/>
  <c r="U23" i="468"/>
  <c r="U101" i="275"/>
  <c r="N128" i="284"/>
  <c r="O116" i="284"/>
  <c r="K3" i="282"/>
  <c r="T32" i="284"/>
  <c r="M18" i="284"/>
  <c r="N17" i="282"/>
  <c r="P38" i="282"/>
  <c r="S31" i="283"/>
  <c r="O42" i="284"/>
  <c r="U133" i="278"/>
  <c r="S57" i="282"/>
  <c r="X75" i="279"/>
  <c r="T16" i="280"/>
  <c r="N110" i="283"/>
  <c r="K116" i="468"/>
  <c r="N78" i="283"/>
  <c r="R8" i="278"/>
  <c r="L33" i="278"/>
  <c r="P46" i="468"/>
  <c r="T100" i="279"/>
  <c r="V62" i="194"/>
  <c r="K63" i="279"/>
  <c r="O107" i="194"/>
  <c r="X10" i="468"/>
  <c r="W6" i="468"/>
  <c r="S115" i="279"/>
  <c r="W24" i="282"/>
  <c r="O69" i="468"/>
  <c r="V103" i="280"/>
  <c r="W62" i="279"/>
  <c r="U50" i="468"/>
  <c r="L112" i="282"/>
  <c r="T107" i="278"/>
  <c r="J110" i="468"/>
  <c r="M36" i="280"/>
  <c r="S135" i="468"/>
  <c r="V29" i="275"/>
  <c r="X73" i="286"/>
  <c r="X5" i="286"/>
  <c r="M134" i="280"/>
  <c r="P132" i="280"/>
  <c r="T54" i="279"/>
  <c r="N91" i="280"/>
  <c r="X136" i="280"/>
  <c r="T127" i="275"/>
  <c r="X9" i="279"/>
  <c r="R110" i="279"/>
  <c r="O83" i="194"/>
  <c r="K50" i="281"/>
  <c r="K41" i="280"/>
  <c r="M6" i="283"/>
  <c r="X30" i="468"/>
  <c r="S85" i="468"/>
  <c r="M102" i="282"/>
  <c r="O35" i="284"/>
  <c r="K9" i="275"/>
  <c r="U136" i="468"/>
  <c r="U66" i="468"/>
  <c r="X119" i="278"/>
  <c r="V17" i="282"/>
  <c r="N39" i="281"/>
  <c r="R101" i="284"/>
  <c r="L69" i="279"/>
  <c r="M30" i="283"/>
  <c r="V125" i="279"/>
  <c r="L43" i="284"/>
  <c r="K48" i="283"/>
  <c r="U104" i="283"/>
  <c r="W115" i="282"/>
  <c r="X17" i="280"/>
  <c r="W26" i="281"/>
  <c r="N111" i="278"/>
  <c r="L52" i="275"/>
  <c r="J33" i="281"/>
  <c r="W138" i="275"/>
  <c r="P46" i="279"/>
  <c r="M40" i="278"/>
  <c r="X112" i="286"/>
  <c r="P21" i="283"/>
  <c r="J64" i="281"/>
  <c r="K118" i="280"/>
  <c r="M123" i="282"/>
  <c r="S28" i="279"/>
  <c r="N37" i="275"/>
  <c r="J73" i="278"/>
  <c r="U5" i="282"/>
  <c r="V65" i="281"/>
  <c r="W128" i="279"/>
  <c r="K75" i="283"/>
  <c r="J4" i="280"/>
  <c r="X91" i="283"/>
  <c r="V14" i="280"/>
  <c r="S53" i="280"/>
  <c r="M15" i="281"/>
  <c r="L23" i="283"/>
  <c r="W61" i="279"/>
  <c r="L58" i="280"/>
  <c r="X74" i="468"/>
  <c r="S103" i="280"/>
  <c r="O133" i="278"/>
  <c r="P45" i="284"/>
  <c r="R140" i="283"/>
  <c r="V22" i="281"/>
  <c r="O43" i="280"/>
  <c r="T137" i="279"/>
  <c r="K37" i="468"/>
  <c r="M128" i="284"/>
  <c r="R118" i="282"/>
  <c r="M132" i="280"/>
  <c r="L9" i="282"/>
  <c r="P67" i="283"/>
  <c r="R123" i="194"/>
  <c r="S23" i="279"/>
  <c r="S21" i="284"/>
  <c r="S9" i="278"/>
  <c r="M37" i="278"/>
  <c r="L32" i="278"/>
  <c r="M8" i="281"/>
  <c r="T46" i="468"/>
  <c r="W137" i="278"/>
  <c r="T11" i="284"/>
  <c r="U60" i="282"/>
  <c r="S68" i="281"/>
  <c r="M114" i="283"/>
  <c r="W127" i="278"/>
  <c r="J30" i="468"/>
  <c r="L54" i="283"/>
  <c r="X3" i="280"/>
  <c r="L58" i="278"/>
  <c r="K74" i="282"/>
  <c r="M127" i="279"/>
  <c r="K73" i="282"/>
  <c r="U133" i="279"/>
  <c r="V92" i="468"/>
  <c r="W84" i="282"/>
  <c r="L75" i="275"/>
  <c r="N123" i="280"/>
  <c r="S74" i="283"/>
  <c r="S34" i="280"/>
  <c r="V59" i="468"/>
  <c r="X131" i="281"/>
  <c r="N72" i="280"/>
  <c r="L18" i="280"/>
  <c r="J132" i="280"/>
  <c r="P26" i="281"/>
  <c r="M128" i="280"/>
  <c r="U4" i="275"/>
  <c r="R48" i="279"/>
  <c r="L72" i="468"/>
  <c r="N108" i="468"/>
  <c r="L91" i="468"/>
  <c r="U23" i="280"/>
  <c r="R70" i="468"/>
  <c r="O64" i="275"/>
  <c r="M140" i="284"/>
  <c r="U134" i="279"/>
  <c r="N102" i="279"/>
  <c r="X89" i="283"/>
  <c r="N106" i="284"/>
  <c r="T20" i="278"/>
  <c r="M71" i="283"/>
  <c r="J96" i="284"/>
  <c r="R113" i="279"/>
  <c r="S63" i="468"/>
  <c r="J116" i="284"/>
  <c r="S23" i="282"/>
  <c r="R33" i="275"/>
  <c r="W108" i="194"/>
  <c r="K81" i="284"/>
  <c r="U108" i="280"/>
  <c r="T39" i="278"/>
  <c r="M94" i="281"/>
  <c r="J80" i="279"/>
  <c r="V17" i="280"/>
  <c r="V29" i="279"/>
  <c r="X4" i="282"/>
  <c r="W40" i="282"/>
  <c r="X114" i="280"/>
  <c r="V43" i="279"/>
  <c r="M22" i="280"/>
  <c r="M17" i="281"/>
  <c r="K120" i="282"/>
  <c r="K111" i="278"/>
  <c r="M42" i="282"/>
  <c r="U55" i="468"/>
  <c r="U107" i="468"/>
  <c r="P31" i="281"/>
  <c r="S26" i="283"/>
  <c r="V124" i="284"/>
  <c r="L11" i="279"/>
  <c r="P65" i="283"/>
  <c r="W71" i="279"/>
  <c r="R45" i="284"/>
  <c r="L15" i="282"/>
  <c r="W136" i="283"/>
  <c r="U32" i="281"/>
  <c r="O103" i="275"/>
  <c r="M72" i="468"/>
  <c r="R122" i="284"/>
  <c r="P11" i="468"/>
  <c r="J48" i="278"/>
  <c r="X66" i="468"/>
  <c r="K46" i="468"/>
  <c r="U38" i="284"/>
  <c r="S10" i="280"/>
  <c r="M30" i="278"/>
  <c r="K25" i="278"/>
  <c r="W55" i="282"/>
  <c r="S26" i="194"/>
  <c r="V135" i="194"/>
  <c r="N15" i="468"/>
  <c r="W125" i="279"/>
  <c r="J21" i="275"/>
  <c r="P28" i="284"/>
  <c r="K91" i="468"/>
  <c r="X15" i="275"/>
  <c r="X24" i="279"/>
  <c r="T41" i="280"/>
  <c r="S62" i="468"/>
  <c r="P16" i="283"/>
  <c r="N26" i="280"/>
  <c r="R13" i="279"/>
  <c r="X6" i="281"/>
  <c r="N134" i="279"/>
  <c r="V33" i="281"/>
  <c r="S21" i="279"/>
  <c r="K11" i="280"/>
  <c r="J56" i="282"/>
  <c r="X19" i="281"/>
  <c r="V128" i="275"/>
  <c r="L29" i="280"/>
  <c r="L50" i="281"/>
  <c r="K112" i="284"/>
  <c r="N110" i="275"/>
  <c r="K104" i="280"/>
  <c r="K90" i="468"/>
  <c r="O70" i="284"/>
  <c r="V52" i="275"/>
  <c r="V98" i="278"/>
  <c r="N139" i="280"/>
  <c r="M81" i="468"/>
  <c r="J119" i="281"/>
  <c r="L10" i="281"/>
  <c r="S60" i="281"/>
  <c r="X16" i="284"/>
  <c r="O8" i="283"/>
  <c r="U32" i="283"/>
  <c r="S34" i="283"/>
  <c r="P67" i="278"/>
  <c r="N49" i="282"/>
  <c r="M122" i="280"/>
  <c r="X122" i="283"/>
  <c r="O21" i="280"/>
  <c r="L94" i="283"/>
  <c r="U12" i="280"/>
  <c r="U53" i="280"/>
  <c r="S85" i="194"/>
  <c r="O102" i="468"/>
  <c r="O109" i="284"/>
  <c r="S26" i="278"/>
  <c r="M68" i="278"/>
  <c r="V120" i="468"/>
  <c r="K139" i="280"/>
  <c r="V82" i="279"/>
  <c r="P27" i="280"/>
  <c r="M136" i="280"/>
  <c r="X63" i="286"/>
  <c r="X100" i="279"/>
  <c r="W21" i="275"/>
  <c r="P28" i="280"/>
  <c r="L73" i="279"/>
  <c r="X30" i="279"/>
  <c r="K79" i="280"/>
  <c r="N137" i="281"/>
  <c r="W8" i="279"/>
  <c r="M114" i="194"/>
  <c r="O114" i="278"/>
  <c r="L108" i="281"/>
  <c r="U68" i="279"/>
  <c r="K115" i="283"/>
  <c r="L116" i="468"/>
  <c r="O138" i="282"/>
  <c r="S126" i="281"/>
  <c r="N126" i="280"/>
  <c r="W30" i="283"/>
  <c r="S123" i="275"/>
  <c r="W21" i="282"/>
  <c r="K62" i="284"/>
  <c r="V49" i="284"/>
  <c r="L120" i="280"/>
  <c r="K136" i="194"/>
  <c r="J92" i="283"/>
  <c r="K138" i="282"/>
  <c r="K132" i="281"/>
  <c r="N13" i="281"/>
  <c r="J94" i="275"/>
  <c r="X53" i="468"/>
  <c r="N58" i="284"/>
  <c r="V24" i="284"/>
  <c r="X132" i="275"/>
  <c r="N131" i="194"/>
  <c r="O38" i="281"/>
  <c r="R51" i="281"/>
  <c r="J108" i="281"/>
  <c r="V129" i="281"/>
  <c r="U128" i="275"/>
  <c r="O6" i="281"/>
  <c r="L137" i="279"/>
  <c r="N22" i="281"/>
  <c r="W51" i="275"/>
  <c r="U122" i="281"/>
  <c r="W18" i="278"/>
  <c r="O86" i="278"/>
  <c r="T122" i="280"/>
  <c r="M77" i="282"/>
  <c r="T72" i="279"/>
  <c r="N37" i="284"/>
  <c r="V68" i="284"/>
  <c r="V116" i="280"/>
  <c r="O29" i="281"/>
  <c r="V138" i="468"/>
  <c r="K73" i="275"/>
  <c r="R117" i="275"/>
  <c r="X63" i="281"/>
  <c r="X29" i="275"/>
  <c r="P46" i="278"/>
  <c r="N49" i="468"/>
  <c r="O121" i="284"/>
  <c r="K37" i="281"/>
  <c r="V19" i="275"/>
  <c r="W76" i="284"/>
  <c r="N136" i="284"/>
  <c r="N10" i="282"/>
  <c r="N120" i="279"/>
  <c r="V6" i="468"/>
  <c r="L130" i="280"/>
  <c r="J60" i="283"/>
  <c r="S35" i="279"/>
  <c r="W58" i="278"/>
  <c r="R64" i="281"/>
  <c r="M71" i="275"/>
  <c r="J98" i="279"/>
  <c r="K50" i="278"/>
  <c r="X44" i="275"/>
  <c r="N129" i="275"/>
  <c r="P105" i="275"/>
  <c r="P91" i="280"/>
  <c r="S82" i="468"/>
  <c r="P125" i="282"/>
  <c r="P41" i="468"/>
  <c r="T46" i="275"/>
  <c r="V64" i="194"/>
  <c r="S92" i="468"/>
  <c r="M54" i="275"/>
  <c r="M6" i="278"/>
  <c r="W75" i="278"/>
  <c r="L129" i="468"/>
  <c r="T102" i="275"/>
  <c r="W9" i="281"/>
  <c r="S64" i="275"/>
  <c r="S31" i="468"/>
  <c r="U134" i="278"/>
  <c r="N70" i="284"/>
  <c r="P104" i="278"/>
  <c r="L102" i="279"/>
  <c r="J133" i="468"/>
  <c r="T107" i="281"/>
  <c r="U46" i="279"/>
  <c r="M3" i="194"/>
  <c r="T70" i="275"/>
  <c r="X116" i="284"/>
  <c r="U22" i="283"/>
  <c r="S103" i="281"/>
  <c r="U112" i="281"/>
  <c r="L104" i="280"/>
  <c r="N52" i="279"/>
  <c r="U58" i="282"/>
  <c r="V43" i="284"/>
  <c r="X18" i="283"/>
  <c r="N133" i="279"/>
  <c r="K77" i="275"/>
  <c r="N26" i="283"/>
  <c r="S96" i="283"/>
  <c r="N130" i="281"/>
  <c r="L76" i="194"/>
  <c r="J122" i="194"/>
  <c r="O129" i="194"/>
  <c r="T115" i="279"/>
  <c r="K126" i="282"/>
  <c r="W101" i="282"/>
  <c r="N104" i="280"/>
  <c r="R75" i="284"/>
  <c r="K14" i="279"/>
  <c r="X72" i="194"/>
  <c r="W22" i="280"/>
  <c r="U45" i="278"/>
  <c r="U28" i="275"/>
  <c r="P12" i="281"/>
  <c r="V61" i="283"/>
  <c r="W10" i="284"/>
  <c r="T116" i="283"/>
  <c r="J137" i="468"/>
  <c r="X117" i="468"/>
  <c r="T95" i="281"/>
  <c r="T22" i="284"/>
  <c r="S109" i="280"/>
  <c r="P43" i="283"/>
  <c r="P53" i="275"/>
  <c r="U138" i="280"/>
  <c r="N15" i="279"/>
  <c r="T68" i="282"/>
  <c r="V38" i="281"/>
  <c r="S53" i="282"/>
  <c r="O35" i="468"/>
  <c r="W137" i="281"/>
  <c r="R111" i="278"/>
  <c r="T33" i="283"/>
  <c r="J61" i="278"/>
  <c r="V71" i="284"/>
  <c r="T122" i="283"/>
  <c r="M56" i="194"/>
  <c r="M31" i="278"/>
  <c r="N118" i="279"/>
  <c r="K113" i="282"/>
  <c r="K75" i="280"/>
  <c r="O46" i="283"/>
  <c r="V72" i="281"/>
  <c r="W129" i="283"/>
  <c r="N37" i="281"/>
  <c r="N129" i="282"/>
  <c r="W112" i="280"/>
  <c r="V100" i="281"/>
  <c r="R75" i="275"/>
  <c r="W104" i="468"/>
  <c r="N16" i="468"/>
  <c r="O22" i="281"/>
  <c r="N116" i="468"/>
  <c r="K62" i="468"/>
  <c r="K123" i="281"/>
  <c r="U15" i="281"/>
  <c r="N42" i="278"/>
  <c r="U119" i="281"/>
  <c r="S137" i="282"/>
  <c r="S19" i="284"/>
  <c r="N116" i="275"/>
  <c r="O59" i="468"/>
  <c r="K117" i="281"/>
  <c r="U50" i="278"/>
  <c r="T38" i="468"/>
  <c r="S140" i="275"/>
  <c r="R86" i="468"/>
  <c r="L33" i="279"/>
  <c r="J53" i="282"/>
  <c r="S122" i="279"/>
  <c r="W100" i="275"/>
  <c r="U37" i="280"/>
  <c r="U11" i="281"/>
  <c r="V48" i="282"/>
  <c r="X50" i="279"/>
  <c r="R43" i="275"/>
  <c r="M68" i="275"/>
  <c r="P130" i="275"/>
  <c r="L52" i="278"/>
  <c r="S75" i="282"/>
  <c r="X69" i="279"/>
  <c r="U62" i="281"/>
  <c r="M47" i="468"/>
  <c r="X121" i="279"/>
  <c r="N60" i="278"/>
  <c r="L57" i="282"/>
  <c r="X43" i="194"/>
  <c r="K89" i="279"/>
  <c r="V110" i="281"/>
  <c r="L29" i="275"/>
  <c r="K127" i="468"/>
  <c r="J99" i="468"/>
  <c r="J122" i="283"/>
  <c r="X136" i="282"/>
  <c r="X42" i="275"/>
  <c r="M74" i="284"/>
  <c r="M59" i="281"/>
  <c r="T9" i="280"/>
  <c r="V117" i="280"/>
  <c r="X26" i="280"/>
  <c r="O5" i="279"/>
  <c r="X46" i="284"/>
  <c r="X107" i="280"/>
  <c r="L74" i="280"/>
  <c r="X36" i="194"/>
  <c r="K118" i="283"/>
  <c r="R109" i="284"/>
  <c r="R119" i="283"/>
  <c r="J46" i="278"/>
  <c r="R119" i="282"/>
  <c r="U46" i="468"/>
  <c r="K133" i="468"/>
  <c r="R7" i="282"/>
  <c r="L25" i="280"/>
  <c r="N139" i="278"/>
  <c r="U65" i="279"/>
  <c r="U32" i="278"/>
  <c r="L87" i="278"/>
  <c r="X34" i="286"/>
  <c r="S58" i="468"/>
  <c r="U69" i="279"/>
  <c r="W101" i="275"/>
  <c r="M54" i="278"/>
  <c r="L29" i="278"/>
  <c r="S41" i="278"/>
  <c r="N133" i="284"/>
  <c r="J59" i="284"/>
  <c r="T4" i="278"/>
  <c r="V79" i="275"/>
  <c r="M16" i="275"/>
  <c r="N51" i="283"/>
  <c r="V3" i="279"/>
  <c r="R100" i="281"/>
  <c r="N36" i="284"/>
  <c r="J42" i="281"/>
  <c r="R21" i="275"/>
  <c r="V13" i="278"/>
  <c r="X126" i="279"/>
  <c r="X68" i="279"/>
  <c r="V55" i="468"/>
  <c r="N18" i="275"/>
  <c r="X112" i="281"/>
  <c r="W114" i="282"/>
  <c r="W37" i="283"/>
  <c r="M52" i="275"/>
  <c r="W91" i="279"/>
  <c r="K33" i="282"/>
  <c r="R121" i="282"/>
  <c r="N25" i="275"/>
  <c r="J140" i="468"/>
  <c r="M72" i="280"/>
  <c r="R107" i="280"/>
  <c r="L124" i="275"/>
  <c r="V35" i="284"/>
  <c r="K127" i="275"/>
  <c r="N102" i="278"/>
  <c r="P48" i="279"/>
  <c r="S3" i="275"/>
  <c r="J27" i="279"/>
  <c r="S62" i="275"/>
  <c r="P132" i="284"/>
  <c r="J29" i="282"/>
  <c r="X39" i="283"/>
  <c r="U107" i="283"/>
  <c r="R29" i="279"/>
  <c r="R122" i="468"/>
  <c r="M120" i="283"/>
  <c r="X131" i="194"/>
  <c r="T60" i="284"/>
  <c r="R116" i="468"/>
  <c r="M22" i="468"/>
  <c r="P101" i="275"/>
  <c r="S44" i="278"/>
  <c r="N11" i="278"/>
  <c r="V118" i="278"/>
  <c r="P67" i="281"/>
  <c r="R101" i="278"/>
  <c r="T29" i="282"/>
  <c r="M63" i="284"/>
  <c r="S4" i="281"/>
  <c r="V32" i="278"/>
  <c r="K61" i="280"/>
  <c r="X99" i="280"/>
  <c r="X135" i="278"/>
  <c r="L15" i="281"/>
  <c r="L99" i="282"/>
  <c r="O18" i="468"/>
  <c r="X116" i="286"/>
  <c r="L5" i="284"/>
  <c r="O118" i="284"/>
  <c r="V28" i="282"/>
  <c r="T105" i="278"/>
  <c r="N28" i="279"/>
  <c r="U71" i="280"/>
  <c r="X8" i="283"/>
  <c r="R128" i="275"/>
  <c r="P52" i="468"/>
  <c r="V89" i="282"/>
  <c r="U111" i="284"/>
  <c r="L70" i="283"/>
  <c r="S5" i="281"/>
  <c r="U24" i="282"/>
  <c r="V138" i="279"/>
  <c r="W85" i="282"/>
  <c r="L29" i="281"/>
  <c r="O135" i="279"/>
  <c r="W103" i="279"/>
  <c r="T41" i="278"/>
  <c r="P50" i="468"/>
  <c r="M61" i="284"/>
  <c r="W94" i="468"/>
  <c r="L3" i="283"/>
  <c r="S33" i="280"/>
  <c r="W119" i="283"/>
  <c r="V53" i="283"/>
  <c r="W100" i="282"/>
  <c r="R51" i="279"/>
  <c r="V39" i="279"/>
  <c r="O9" i="282"/>
  <c r="V28" i="278"/>
  <c r="J62" i="281"/>
  <c r="L59" i="280"/>
  <c r="K123" i="275"/>
  <c r="O57" i="284"/>
  <c r="U91" i="468"/>
  <c r="L7" i="284"/>
  <c r="K116" i="281"/>
  <c r="T18" i="279"/>
  <c r="J23" i="275"/>
  <c r="O66" i="278"/>
  <c r="S116" i="279"/>
  <c r="R105" i="282"/>
  <c r="T78" i="468"/>
  <c r="S43" i="468"/>
  <c r="M49" i="194"/>
  <c r="W63" i="282"/>
  <c r="R60" i="194"/>
  <c r="U127" i="282"/>
  <c r="W20" i="282"/>
  <c r="J73" i="275"/>
  <c r="L17" i="284"/>
  <c r="W98" i="280"/>
  <c r="T9" i="281"/>
  <c r="S75" i="280"/>
  <c r="T121" i="279"/>
  <c r="R40" i="278"/>
  <c r="R129" i="279"/>
  <c r="P106" i="282"/>
  <c r="T45" i="279"/>
  <c r="W36" i="468"/>
  <c r="X57" i="282"/>
  <c r="T70" i="278"/>
  <c r="S53" i="284"/>
  <c r="W70" i="279"/>
  <c r="R85" i="278"/>
  <c r="N60" i="279"/>
  <c r="O117" i="279"/>
  <c r="T51" i="280"/>
  <c r="P75" i="283"/>
  <c r="M136" i="284"/>
  <c r="L127" i="283"/>
  <c r="T114" i="283"/>
  <c r="L21" i="280"/>
  <c r="U20" i="284"/>
  <c r="W31" i="284"/>
  <c r="X70" i="281"/>
  <c r="X51" i="282"/>
  <c r="J101" i="278"/>
  <c r="L105" i="283"/>
  <c r="K44" i="468"/>
  <c r="T137" i="280"/>
  <c r="S113" i="468"/>
  <c r="K134" i="275"/>
  <c r="P49" i="278"/>
  <c r="L38" i="282"/>
  <c r="L137" i="281"/>
  <c r="O101" i="279"/>
  <c r="P118" i="284"/>
  <c r="R40" i="275"/>
  <c r="K35" i="280"/>
  <c r="W104" i="284"/>
  <c r="W119" i="280"/>
  <c r="S44" i="275"/>
  <c r="U14" i="280"/>
  <c r="J72" i="283"/>
  <c r="R23" i="283"/>
  <c r="N25" i="278"/>
  <c r="N40" i="468"/>
  <c r="J48" i="283"/>
  <c r="P139" i="280"/>
  <c r="J73" i="283"/>
  <c r="K4" i="278"/>
  <c r="O45" i="468"/>
  <c r="J105" i="281"/>
  <c r="P101" i="283"/>
  <c r="N69" i="278"/>
  <c r="S110" i="282"/>
  <c r="N130" i="279"/>
  <c r="T134" i="283"/>
  <c r="S53" i="279"/>
  <c r="L125" i="468"/>
  <c r="U118" i="278"/>
  <c r="P67" i="275"/>
  <c r="X122" i="280"/>
  <c r="N38" i="281"/>
  <c r="U97" i="281"/>
  <c r="J11" i="279"/>
  <c r="J104" i="280"/>
  <c r="N103" i="284"/>
  <c r="U115" i="278"/>
  <c r="U41" i="468"/>
  <c r="W122" i="468"/>
  <c r="L40" i="282"/>
  <c r="W34" i="281"/>
  <c r="W102" i="281"/>
  <c r="R95" i="278"/>
  <c r="M112" i="279"/>
  <c r="T102" i="284"/>
  <c r="M105" i="280"/>
  <c r="S139" i="282"/>
  <c r="J28" i="283"/>
  <c r="R67" i="283"/>
  <c r="L130" i="468"/>
  <c r="R21" i="283"/>
  <c r="W102" i="275"/>
  <c r="L64" i="280"/>
  <c r="W133" i="283"/>
  <c r="U81" i="280"/>
  <c r="U42" i="282"/>
  <c r="K99" i="468"/>
  <c r="U92" i="281"/>
  <c r="S4" i="286"/>
  <c r="K103" i="284"/>
  <c r="W35" i="284"/>
  <c r="M16" i="194"/>
  <c r="J100" i="278"/>
  <c r="R72" i="275"/>
  <c r="O20" i="281"/>
  <c r="S27" i="279"/>
  <c r="P19" i="284"/>
  <c r="S131" i="284"/>
  <c r="M114" i="468"/>
  <c r="P49" i="468"/>
  <c r="J133" i="282"/>
  <c r="N76" i="279"/>
  <c r="J25" i="280"/>
  <c r="O12" i="280"/>
  <c r="R63" i="282"/>
  <c r="O135" i="283"/>
  <c r="J120" i="281"/>
  <c r="P10" i="279"/>
  <c r="U50" i="281"/>
  <c r="T44" i="278"/>
  <c r="V111" i="282"/>
  <c r="S5" i="194"/>
  <c r="N44" i="283"/>
  <c r="P14" i="281"/>
  <c r="N4" i="284"/>
  <c r="V3" i="282"/>
  <c r="L124" i="284"/>
  <c r="P34" i="468"/>
  <c r="R81" i="468"/>
  <c r="T84" i="194"/>
  <c r="P133" i="468"/>
  <c r="K133" i="194"/>
  <c r="J108" i="468"/>
  <c r="S6" i="279"/>
  <c r="J76" i="468"/>
  <c r="P20" i="280"/>
  <c r="X44" i="281"/>
  <c r="M49" i="275"/>
  <c r="W36" i="278"/>
  <c r="J34" i="279"/>
  <c r="L53" i="280"/>
  <c r="S5" i="282"/>
  <c r="W129" i="275"/>
  <c r="V24" i="275"/>
  <c r="R99" i="468"/>
  <c r="N32" i="278"/>
  <c r="S67" i="275"/>
  <c r="M66" i="275"/>
  <c r="T24" i="280"/>
  <c r="J41" i="468"/>
  <c r="K64" i="284"/>
  <c r="O53" i="279"/>
  <c r="U109" i="283"/>
  <c r="V11" i="278"/>
  <c r="L13" i="284"/>
  <c r="N46" i="280"/>
  <c r="O3" i="468"/>
  <c r="J12" i="278"/>
  <c r="M33" i="275"/>
  <c r="R31" i="284"/>
  <c r="V33" i="468"/>
  <c r="K66" i="279"/>
  <c r="X43" i="275"/>
  <c r="T61" i="279"/>
  <c r="K75" i="468"/>
  <c r="M13" i="284"/>
  <c r="T129" i="468"/>
  <c r="L9" i="275"/>
  <c r="J66" i="281"/>
  <c r="O26" i="280"/>
  <c r="T10" i="280"/>
  <c r="S125" i="282"/>
  <c r="O134" i="282"/>
  <c r="V116" i="284"/>
  <c r="S21" i="282"/>
  <c r="U105" i="280"/>
  <c r="V41" i="283"/>
  <c r="J50" i="283"/>
  <c r="U5" i="468"/>
  <c r="M17" i="282"/>
  <c r="R121" i="280"/>
  <c r="O69" i="278"/>
  <c r="V121" i="281"/>
  <c r="O60" i="280"/>
  <c r="L116" i="283"/>
  <c r="T113" i="280"/>
  <c r="R12" i="275"/>
  <c r="X68" i="281"/>
  <c r="U6" i="284"/>
  <c r="X62" i="286"/>
  <c r="S105" i="283"/>
  <c r="U53" i="275"/>
  <c r="P19" i="278"/>
  <c r="R11" i="278"/>
  <c r="J113" i="278"/>
  <c r="N17" i="275"/>
  <c r="L131" i="278"/>
  <c r="S126" i="283"/>
  <c r="R60" i="468"/>
  <c r="P133" i="281"/>
  <c r="T52" i="282"/>
  <c r="N46" i="278"/>
  <c r="X140" i="279"/>
  <c r="O50" i="468"/>
  <c r="V54" i="275"/>
  <c r="P51" i="275"/>
  <c r="X125" i="278"/>
  <c r="R103" i="468"/>
  <c r="V122" i="468"/>
  <c r="M6" i="468"/>
  <c r="W74" i="280"/>
  <c r="K117" i="279"/>
  <c r="T91" i="279"/>
  <c r="M14" i="468"/>
  <c r="P36" i="468"/>
  <c r="S38" i="281"/>
  <c r="U138" i="281"/>
  <c r="O113" i="284"/>
  <c r="P7" i="281"/>
  <c r="O116" i="279"/>
  <c r="N24" i="194"/>
  <c r="U76" i="281"/>
  <c r="M42" i="468"/>
  <c r="U13" i="468"/>
  <c r="U111" i="282"/>
  <c r="M61" i="282"/>
  <c r="S4" i="283"/>
  <c r="W36" i="279"/>
  <c r="X51" i="279"/>
  <c r="O36" i="275"/>
  <c r="V52" i="280"/>
  <c r="W140" i="282"/>
  <c r="T12" i="284"/>
  <c r="L134" i="279"/>
  <c r="S27" i="468"/>
  <c r="R74" i="281"/>
  <c r="O109" i="279"/>
  <c r="N8" i="284"/>
  <c r="O118" i="279"/>
  <c r="K19" i="282"/>
  <c r="S121" i="279"/>
  <c r="L129" i="278"/>
  <c r="R20" i="282"/>
  <c r="N113" i="194"/>
  <c r="O117" i="280"/>
  <c r="S7" i="284"/>
  <c r="O4" i="281"/>
  <c r="J3" i="275"/>
  <c r="L96" i="279"/>
  <c r="X35" i="278"/>
  <c r="R112" i="281"/>
  <c r="X27" i="280"/>
  <c r="P25" i="281"/>
  <c r="K113" i="284"/>
  <c r="J45" i="279"/>
  <c r="K33" i="468"/>
  <c r="U4" i="282"/>
  <c r="U63" i="283"/>
  <c r="P103" i="279"/>
  <c r="M60" i="278"/>
  <c r="V66" i="281"/>
  <c r="U100" i="275"/>
  <c r="L90" i="275"/>
  <c r="O98" i="279"/>
  <c r="X67" i="468"/>
  <c r="W58" i="280"/>
  <c r="R98" i="278"/>
  <c r="W103" i="468"/>
  <c r="K96" i="283"/>
  <c r="M93" i="283"/>
  <c r="T74" i="280"/>
  <c r="P54" i="280"/>
  <c r="K72" i="278"/>
  <c r="T140" i="281"/>
  <c r="M50" i="281"/>
  <c r="L11" i="278"/>
  <c r="J27" i="283"/>
  <c r="J106" i="280"/>
  <c r="R125" i="282"/>
  <c r="W12" i="281"/>
  <c r="K87" i="279"/>
  <c r="W113" i="282"/>
  <c r="V26" i="468"/>
  <c r="J15" i="279"/>
  <c r="T84" i="468"/>
  <c r="X73" i="278"/>
  <c r="N86" i="468"/>
  <c r="N72" i="282"/>
  <c r="S63" i="283"/>
  <c r="U70" i="279"/>
  <c r="N59" i="282"/>
  <c r="U48" i="468"/>
  <c r="V103" i="468"/>
  <c r="M63" i="275"/>
  <c r="U134" i="281"/>
  <c r="M35" i="279"/>
  <c r="M4" i="283"/>
  <c r="O3" i="194"/>
  <c r="S30" i="279"/>
  <c r="R35" i="468"/>
  <c r="R101" i="279"/>
  <c r="R110" i="468"/>
  <c r="O129" i="280"/>
  <c r="M139" i="275"/>
  <c r="U117" i="281"/>
  <c r="V9" i="280"/>
  <c r="J26" i="279"/>
  <c r="O14" i="278"/>
  <c r="K6" i="284"/>
  <c r="X25" i="280"/>
  <c r="V75" i="281"/>
  <c r="X77" i="278"/>
  <c r="L116" i="275"/>
  <c r="W115" i="278"/>
  <c r="O139" i="194"/>
  <c r="S133" i="275"/>
  <c r="R74" i="278"/>
  <c r="J140" i="278"/>
  <c r="M57" i="194"/>
  <c r="X113" i="283"/>
  <c r="R30" i="279"/>
  <c r="K74" i="275"/>
  <c r="S98" i="468"/>
  <c r="J51" i="283"/>
  <c r="J127" i="194"/>
  <c r="T5" i="283"/>
  <c r="P34" i="281"/>
  <c r="J68" i="468"/>
  <c r="O106" i="468"/>
  <c r="X37" i="275"/>
  <c r="N107" i="281"/>
  <c r="W136" i="468"/>
  <c r="R9" i="278"/>
  <c r="W14" i="279"/>
  <c r="U95" i="468"/>
  <c r="R25" i="283"/>
  <c r="N119" i="280"/>
  <c r="M44" i="284"/>
  <c r="N75" i="275"/>
  <c r="J104" i="282"/>
  <c r="P112" i="283"/>
  <c r="M23" i="281"/>
  <c r="O7" i="281"/>
  <c r="P18" i="278"/>
  <c r="L44" i="283"/>
  <c r="U22" i="468"/>
  <c r="V35" i="281"/>
  <c r="S83" i="468"/>
  <c r="T57" i="281"/>
  <c r="X93" i="278"/>
  <c r="T110" i="275"/>
  <c r="U24" i="279"/>
  <c r="U135" i="468"/>
  <c r="T135" i="278"/>
  <c r="S7" i="282"/>
  <c r="X119" i="281"/>
  <c r="T131" i="468"/>
  <c r="U113" i="280"/>
  <c r="M26" i="275"/>
  <c r="R60" i="280"/>
  <c r="K86" i="468"/>
  <c r="N132" i="468"/>
  <c r="X124" i="468"/>
  <c r="V119" i="468"/>
  <c r="V35" i="280"/>
  <c r="M102" i="468"/>
  <c r="X97" i="279"/>
  <c r="V53" i="278"/>
  <c r="K45" i="284"/>
  <c r="L126" i="284"/>
  <c r="X126" i="286"/>
  <c r="L139" i="281"/>
  <c r="L34" i="468"/>
  <c r="S120" i="275"/>
  <c r="M115" i="194"/>
  <c r="L118" i="279"/>
  <c r="M103" i="279"/>
  <c r="R72" i="278"/>
  <c r="M111" i="194"/>
  <c r="S35" i="278"/>
  <c r="X19" i="275"/>
  <c r="P128" i="279"/>
  <c r="K129" i="281"/>
  <c r="T93" i="468"/>
  <c r="K52" i="194"/>
  <c r="V109" i="282"/>
  <c r="J41" i="281"/>
  <c r="P46" i="281"/>
  <c r="P39" i="282"/>
  <c r="S55" i="468"/>
  <c r="W4" i="468"/>
  <c r="T11" i="279"/>
  <c r="X14" i="278"/>
  <c r="W43" i="275"/>
  <c r="T83" i="281"/>
  <c r="U15" i="278"/>
  <c r="S17" i="275"/>
  <c r="T43" i="282"/>
  <c r="S3" i="282"/>
  <c r="W75" i="468"/>
  <c r="K78" i="468"/>
  <c r="M66" i="282"/>
  <c r="V102" i="279"/>
  <c r="T35" i="283"/>
  <c r="K12" i="279"/>
  <c r="O45" i="283"/>
  <c r="P24" i="275"/>
  <c r="O89" i="468"/>
  <c r="K35" i="468"/>
  <c r="S65" i="282"/>
  <c r="O138" i="278"/>
  <c r="P41" i="284"/>
  <c r="K32" i="281"/>
  <c r="P37" i="278"/>
  <c r="J82" i="468"/>
  <c r="O125" i="275"/>
  <c r="P31" i="278"/>
  <c r="K136" i="281"/>
  <c r="P105" i="280"/>
  <c r="L45" i="284"/>
  <c r="J112" i="275"/>
  <c r="O51" i="275"/>
  <c r="N55" i="282"/>
  <c r="O50" i="281"/>
  <c r="X72" i="468"/>
  <c r="J28" i="275"/>
  <c r="O114" i="468"/>
  <c r="O72" i="468"/>
  <c r="V97" i="468"/>
  <c r="U95" i="194"/>
  <c r="T140" i="279"/>
  <c r="O108" i="280"/>
  <c r="X94" i="468"/>
  <c r="T68" i="468"/>
  <c r="O26" i="279"/>
  <c r="O22" i="468"/>
  <c r="O24" i="278"/>
  <c r="T13" i="279"/>
  <c r="L48" i="281"/>
  <c r="O5" i="280"/>
  <c r="N44" i="279"/>
  <c r="J46" i="279"/>
  <c r="J101" i="279"/>
  <c r="M16" i="279"/>
  <c r="S54" i="280"/>
  <c r="P37" i="275"/>
  <c r="S32" i="279"/>
  <c r="L72" i="284"/>
  <c r="X54" i="279"/>
  <c r="R28" i="284"/>
  <c r="X60" i="280"/>
  <c r="V48" i="278"/>
  <c r="P37" i="280"/>
  <c r="O71" i="278"/>
  <c r="V69" i="283"/>
  <c r="S110" i="284"/>
  <c r="L119" i="279"/>
  <c r="O74" i="278"/>
  <c r="L137" i="282"/>
  <c r="S36" i="281"/>
  <c r="J13" i="278"/>
  <c r="X129" i="279"/>
  <c r="X136" i="275"/>
  <c r="O101" i="275"/>
  <c r="N13" i="278"/>
  <c r="W65" i="468"/>
  <c r="J139" i="281"/>
  <c r="U102" i="275"/>
  <c r="W130" i="280"/>
  <c r="X3" i="278"/>
  <c r="T127" i="194"/>
  <c r="W80" i="280"/>
  <c r="L23" i="278"/>
  <c r="K68" i="278"/>
  <c r="X64" i="468"/>
  <c r="X27" i="284"/>
  <c r="S134" i="278"/>
  <c r="P39" i="278"/>
  <c r="T123" i="280"/>
  <c r="L84" i="284"/>
  <c r="L98" i="275"/>
  <c r="L60" i="279"/>
  <c r="K43" i="275"/>
  <c r="X34" i="280"/>
  <c r="S87" i="278"/>
  <c r="X135" i="280"/>
  <c r="O131" i="282"/>
  <c r="X52" i="275"/>
  <c r="S101" i="278"/>
  <c r="N43" i="284"/>
  <c r="K4" i="280"/>
  <c r="J110" i="278"/>
  <c r="V41" i="284"/>
  <c r="L30" i="280"/>
  <c r="P63" i="275"/>
  <c r="L65" i="275"/>
  <c r="J140" i="284"/>
  <c r="P119" i="284"/>
  <c r="T114" i="282"/>
  <c r="P132" i="468"/>
  <c r="R63" i="280"/>
  <c r="U81" i="468"/>
  <c r="S54" i="279"/>
  <c r="V28" i="468"/>
  <c r="N24" i="468"/>
  <c r="P131" i="468"/>
  <c r="X52" i="283"/>
  <c r="S10" i="282"/>
  <c r="U104" i="279"/>
  <c r="J125" i="281"/>
  <c r="W114" i="283"/>
  <c r="N70" i="283"/>
  <c r="N36" i="468"/>
  <c r="S34" i="468"/>
  <c r="P115" i="284"/>
  <c r="K123" i="279"/>
  <c r="L61" i="283"/>
  <c r="V117" i="468"/>
  <c r="P116" i="282"/>
  <c r="U18" i="278"/>
  <c r="R71" i="278"/>
  <c r="R112" i="468"/>
  <c r="V110" i="282"/>
  <c r="U3" i="275"/>
  <c r="S75" i="281"/>
  <c r="T33" i="468"/>
  <c r="L115" i="275"/>
  <c r="V48" i="280"/>
  <c r="R105" i="281"/>
  <c r="T115" i="280"/>
  <c r="U117" i="194"/>
  <c r="N125" i="468"/>
  <c r="N103" i="468"/>
  <c r="V28" i="280"/>
  <c r="U137" i="283"/>
  <c r="N10" i="278"/>
  <c r="T52" i="468"/>
  <c r="M5" i="281"/>
  <c r="U7" i="278"/>
  <c r="P105" i="279"/>
  <c r="P21" i="282"/>
  <c r="P40" i="281"/>
  <c r="O30" i="468"/>
  <c r="P39" i="280"/>
  <c r="O71" i="468"/>
  <c r="N50" i="282"/>
  <c r="M65" i="279"/>
  <c r="L117" i="280"/>
  <c r="J39" i="283"/>
  <c r="K7" i="283"/>
  <c r="P23" i="275"/>
  <c r="W26" i="194"/>
  <c r="W83" i="468"/>
  <c r="N6" i="278"/>
  <c r="N30" i="281"/>
  <c r="O31" i="278"/>
  <c r="M98" i="279"/>
  <c r="T121" i="280"/>
  <c r="T48" i="279"/>
  <c r="L104" i="282"/>
  <c r="J71" i="275"/>
  <c r="T65" i="278"/>
  <c r="J137" i="282"/>
  <c r="T13" i="281"/>
  <c r="S131" i="279"/>
  <c r="P55" i="281"/>
  <c r="X123" i="275"/>
  <c r="L108" i="468"/>
  <c r="S72" i="280"/>
  <c r="L26" i="282"/>
  <c r="W34" i="275"/>
  <c r="T11" i="282"/>
  <c r="V102" i="468"/>
  <c r="X16" i="282"/>
  <c r="X122" i="281"/>
  <c r="V30" i="275"/>
  <c r="L134" i="284"/>
  <c r="T136" i="279"/>
  <c r="S9" i="282"/>
  <c r="W106" i="468"/>
  <c r="O103" i="281"/>
  <c r="R104" i="280"/>
  <c r="O6" i="279"/>
  <c r="J11" i="278"/>
  <c r="T109" i="281"/>
  <c r="K6" i="281"/>
  <c r="V16" i="468"/>
  <c r="N10" i="283"/>
  <c r="M119" i="468"/>
  <c r="W126" i="281"/>
  <c r="O112" i="194"/>
  <c r="R105" i="280"/>
  <c r="S64" i="284"/>
  <c r="X113" i="284"/>
  <c r="R56" i="194"/>
  <c r="U29" i="281"/>
  <c r="P15" i="468"/>
  <c r="R73" i="280"/>
  <c r="V8" i="282"/>
  <c r="J35" i="278"/>
  <c r="W54" i="278"/>
  <c r="K22" i="468"/>
  <c r="J76" i="281"/>
  <c r="T49" i="278"/>
  <c r="N63" i="281"/>
  <c r="S20" i="283"/>
  <c r="N122" i="280"/>
  <c r="T99" i="280"/>
  <c r="J37" i="281"/>
  <c r="V138" i="278"/>
  <c r="W69" i="283"/>
  <c r="L102" i="280"/>
  <c r="M20" i="275"/>
  <c r="K93" i="468"/>
  <c r="J111" i="279"/>
  <c r="S56" i="284"/>
  <c r="V121" i="279"/>
  <c r="S28" i="282"/>
  <c r="R105" i="283"/>
  <c r="O33" i="280"/>
  <c r="S75" i="279"/>
  <c r="X3" i="194"/>
  <c r="V23" i="279"/>
  <c r="J63" i="284"/>
  <c r="N112" i="281"/>
  <c r="S84" i="468"/>
  <c r="P60" i="275"/>
  <c r="J43" i="279"/>
  <c r="O100" i="275"/>
  <c r="O107" i="282"/>
  <c r="N114" i="281"/>
  <c r="O46" i="282"/>
  <c r="O44" i="280"/>
  <c r="N35" i="284"/>
  <c r="X86" i="286"/>
  <c r="U49" i="278"/>
  <c r="K111" i="281"/>
  <c r="M21" i="279"/>
  <c r="L134" i="280"/>
  <c r="W139" i="280"/>
  <c r="X81" i="468"/>
  <c r="U109" i="280"/>
  <c r="X37" i="282"/>
  <c r="M23" i="468"/>
  <c r="O16" i="275"/>
  <c r="J33" i="282"/>
  <c r="N98" i="468"/>
  <c r="O44" i="468"/>
  <c r="J55" i="283"/>
  <c r="L50" i="280"/>
  <c r="L35" i="468"/>
  <c r="R7" i="279"/>
  <c r="M33" i="282"/>
  <c r="U139" i="282"/>
  <c r="R18" i="468"/>
  <c r="M127" i="468"/>
  <c r="J17" i="279"/>
  <c r="T103" i="194"/>
  <c r="M101" i="275"/>
  <c r="P78" i="468"/>
  <c r="L109" i="275"/>
  <c r="S73" i="468"/>
  <c r="U61" i="275"/>
  <c r="L52" i="468"/>
  <c r="R52" i="279"/>
  <c r="R104" i="468"/>
  <c r="U54" i="281"/>
  <c r="K30" i="282"/>
  <c r="U118" i="280"/>
  <c r="U10" i="282"/>
  <c r="M17" i="280"/>
  <c r="N62" i="279"/>
  <c r="O13" i="281"/>
  <c r="K115" i="281"/>
  <c r="T45" i="468"/>
  <c r="N67" i="280"/>
  <c r="L95" i="279"/>
  <c r="V16" i="281"/>
  <c r="P21" i="275"/>
  <c r="T36" i="279"/>
  <c r="U7" i="279"/>
  <c r="S48" i="468"/>
  <c r="V73" i="282"/>
  <c r="X115" i="275"/>
  <c r="K16" i="278"/>
  <c r="X115" i="280"/>
  <c r="L72" i="280"/>
  <c r="U24" i="281"/>
  <c r="S99" i="280"/>
  <c r="J121" i="282"/>
  <c r="R48" i="281"/>
  <c r="K49" i="278"/>
  <c r="M22" i="275"/>
  <c r="X126" i="281"/>
  <c r="K10" i="194"/>
  <c r="P42" i="281"/>
  <c r="U82" i="468"/>
  <c r="U19" i="283"/>
  <c r="O6" i="278"/>
  <c r="R63" i="275"/>
  <c r="S125" i="468"/>
  <c r="J103" i="468"/>
  <c r="M95" i="468"/>
  <c r="V132" i="279"/>
  <c r="M12" i="278"/>
  <c r="K128" i="281"/>
  <c r="T59" i="468"/>
  <c r="X87" i="468"/>
  <c r="N73" i="283"/>
  <c r="V108" i="275"/>
  <c r="K73" i="278"/>
  <c r="N39" i="279"/>
  <c r="J96" i="468"/>
  <c r="T136" i="282"/>
  <c r="M11" i="282"/>
  <c r="T30" i="468"/>
  <c r="N16" i="275"/>
  <c r="N85" i="468"/>
  <c r="X98" i="283"/>
  <c r="R8" i="280"/>
  <c r="O99" i="275"/>
  <c r="U109" i="284"/>
  <c r="O61" i="282"/>
  <c r="V77" i="468"/>
  <c r="S32" i="284"/>
  <c r="P46" i="280"/>
  <c r="P140" i="284"/>
  <c r="X15" i="279"/>
  <c r="K79" i="279"/>
  <c r="X9" i="283"/>
  <c r="M4" i="286"/>
  <c r="N65" i="275"/>
  <c r="S137" i="281"/>
  <c r="J116" i="281"/>
  <c r="W129" i="468"/>
  <c r="U113" i="283"/>
  <c r="U70" i="281"/>
  <c r="R126" i="284"/>
  <c r="U64" i="281"/>
  <c r="L27" i="282"/>
  <c r="L24" i="279"/>
  <c r="N89" i="283"/>
  <c r="X8" i="278"/>
  <c r="W63" i="468"/>
  <c r="M121" i="278"/>
  <c r="W22" i="281"/>
  <c r="P123" i="275"/>
  <c r="R30" i="275"/>
  <c r="L130" i="283"/>
  <c r="N120" i="468"/>
  <c r="V45" i="284"/>
  <c r="U45" i="282"/>
  <c r="J131" i="283"/>
  <c r="J8" i="275"/>
  <c r="W111" i="278"/>
  <c r="U20" i="283"/>
  <c r="L43" i="279"/>
  <c r="J7" i="283"/>
  <c r="M115" i="278"/>
  <c r="X118" i="280"/>
  <c r="M79" i="468"/>
  <c r="M60" i="275"/>
  <c r="O118" i="282"/>
  <c r="J87" i="284"/>
  <c r="M117" i="283"/>
  <c r="N61" i="279"/>
  <c r="W3" i="280"/>
  <c r="W106" i="278"/>
  <c r="P98" i="468"/>
  <c r="O45" i="275"/>
  <c r="K99" i="278"/>
  <c r="L57" i="283"/>
  <c r="W17" i="279"/>
  <c r="K122" i="279"/>
  <c r="M5" i="279"/>
  <c r="L106" i="281"/>
  <c r="S51" i="282"/>
  <c r="O106" i="278"/>
  <c r="O35" i="282"/>
  <c r="W46" i="281"/>
  <c r="X3" i="285"/>
  <c r="U68" i="468"/>
  <c r="O4" i="275"/>
  <c r="O109" i="275"/>
  <c r="J127" i="275"/>
  <c r="K66" i="282"/>
  <c r="K48" i="282"/>
  <c r="W115" i="281"/>
  <c r="K29" i="468"/>
  <c r="O94" i="275"/>
  <c r="K104" i="281"/>
  <c r="W118" i="279"/>
  <c r="T50" i="280"/>
  <c r="P64" i="275"/>
  <c r="X50" i="281"/>
  <c r="W139" i="468"/>
  <c r="W44" i="284"/>
  <c r="J5" i="280"/>
  <c r="R27" i="284"/>
  <c r="L100" i="283"/>
  <c r="U130" i="284"/>
  <c r="J128" i="194"/>
  <c r="S135" i="278"/>
  <c r="N124" i="279"/>
  <c r="J97" i="468"/>
  <c r="S52" i="280"/>
  <c r="L48" i="284"/>
  <c r="R66" i="278"/>
  <c r="U60" i="283"/>
  <c r="O63" i="275"/>
  <c r="J93" i="284"/>
  <c r="K128" i="279"/>
  <c r="M71" i="280"/>
  <c r="J35" i="283"/>
  <c r="M56" i="283"/>
  <c r="R126" i="275"/>
  <c r="N126" i="282"/>
  <c r="R95" i="468"/>
  <c r="L65" i="468"/>
  <c r="K107" i="278"/>
  <c r="J3" i="470"/>
  <c r="N123" i="468"/>
  <c r="P125" i="279"/>
  <c r="N4" i="283"/>
  <c r="T67" i="468"/>
  <c r="M110" i="279"/>
  <c r="R8" i="275"/>
  <c r="X30" i="283"/>
  <c r="M114" i="280"/>
  <c r="N96" i="278"/>
  <c r="L97" i="282"/>
  <c r="P66" i="278"/>
  <c r="T54" i="275"/>
  <c r="O132" i="281"/>
  <c r="S21" i="280"/>
  <c r="J83" i="468"/>
  <c r="U58" i="283"/>
  <c r="K138" i="281"/>
  <c r="O130" i="282"/>
  <c r="T111" i="278"/>
  <c r="K109" i="280"/>
  <c r="P108" i="283"/>
  <c r="P136" i="281"/>
  <c r="W80" i="281"/>
  <c r="U14" i="275"/>
  <c r="T49" i="279"/>
  <c r="M101" i="280"/>
  <c r="J8" i="284"/>
  <c r="M25" i="279"/>
  <c r="U16" i="281"/>
  <c r="M46" i="280"/>
  <c r="U114" i="283"/>
  <c r="X50" i="286"/>
  <c r="T117" i="283"/>
  <c r="T75" i="279"/>
  <c r="O10" i="194"/>
  <c r="X13" i="286"/>
  <c r="L70" i="281"/>
  <c r="N76" i="281"/>
  <c r="L7" i="194"/>
  <c r="M46" i="278"/>
  <c r="R64" i="279"/>
  <c r="R131" i="281"/>
  <c r="N46" i="283"/>
  <c r="L30" i="468"/>
  <c r="T124" i="279"/>
  <c r="R69" i="280"/>
  <c r="N87" i="468"/>
  <c r="N32" i="279"/>
  <c r="K112" i="281"/>
  <c r="N32" i="282"/>
  <c r="S130" i="278"/>
  <c r="W117" i="468"/>
  <c r="O82" i="194"/>
  <c r="N73" i="278"/>
  <c r="X102" i="284"/>
  <c r="T131" i="281"/>
  <c r="N98" i="284"/>
  <c r="X14" i="281"/>
  <c r="K138" i="283"/>
  <c r="N62" i="278"/>
  <c r="N117" i="275"/>
  <c r="U115" i="283"/>
  <c r="P134" i="282"/>
  <c r="R77" i="275"/>
  <c r="V56" i="280"/>
  <c r="M125" i="281"/>
  <c r="M139" i="279"/>
  <c r="T69" i="281"/>
  <c r="R107" i="284"/>
  <c r="J6" i="280"/>
  <c r="P26" i="284"/>
  <c r="T8" i="284"/>
  <c r="K32" i="284"/>
  <c r="X3" i="470"/>
  <c r="L20" i="468"/>
  <c r="U42" i="278"/>
  <c r="M63" i="279"/>
  <c r="J111" i="468"/>
  <c r="L43" i="281"/>
  <c r="R40" i="282"/>
  <c r="N132" i="281"/>
  <c r="T103" i="282"/>
  <c r="W8" i="282"/>
  <c r="L136" i="278"/>
  <c r="X59" i="281"/>
  <c r="U75" i="281"/>
  <c r="S8" i="468"/>
  <c r="N25" i="283"/>
  <c r="V112" i="279"/>
  <c r="K100" i="279"/>
  <c r="S33" i="281"/>
  <c r="N19" i="281"/>
  <c r="T34" i="280"/>
  <c r="L133" i="278"/>
  <c r="J120" i="282"/>
  <c r="O22" i="283"/>
  <c r="O65" i="275"/>
  <c r="T74" i="282"/>
  <c r="M42" i="275"/>
  <c r="V131" i="275"/>
  <c r="T50" i="275"/>
  <c r="U37" i="282"/>
  <c r="X26" i="283"/>
  <c r="J71" i="280"/>
  <c r="J23" i="280"/>
  <c r="R50" i="282"/>
  <c r="L55" i="283"/>
  <c r="W37" i="282"/>
  <c r="N61" i="468"/>
  <c r="L75" i="282"/>
  <c r="N93" i="468"/>
  <c r="W90" i="279"/>
  <c r="R20" i="468"/>
  <c r="P52" i="278"/>
  <c r="O76" i="283"/>
  <c r="J8" i="281"/>
  <c r="M29" i="468"/>
  <c r="X50" i="280"/>
  <c r="L69" i="275"/>
  <c r="M6" i="281"/>
  <c r="W141" i="281"/>
  <c r="J32" i="278"/>
  <c r="W31" i="283"/>
  <c r="U35" i="282"/>
  <c r="K7" i="281"/>
  <c r="S109" i="281"/>
  <c r="R27" i="279"/>
  <c r="P58" i="282"/>
  <c r="S52" i="194"/>
  <c r="J93" i="468"/>
  <c r="J14" i="284"/>
  <c r="L74" i="282"/>
  <c r="W75" i="280"/>
  <c r="L113" i="280"/>
  <c r="V103" i="194"/>
  <c r="X133" i="468"/>
  <c r="J113" i="468"/>
  <c r="R120" i="283"/>
  <c r="S109" i="275"/>
  <c r="K108" i="275"/>
  <c r="K28" i="283"/>
  <c r="X73" i="275"/>
  <c r="O44" i="278"/>
  <c r="J138" i="281"/>
  <c r="T26" i="275"/>
  <c r="L28" i="278"/>
  <c r="L10" i="279"/>
  <c r="T104" i="275"/>
  <c r="N33" i="281"/>
  <c r="S10" i="283"/>
  <c r="R108" i="281"/>
  <c r="L38" i="279"/>
  <c r="P121" i="282"/>
  <c r="O90" i="468"/>
  <c r="J40" i="468"/>
  <c r="X123" i="468"/>
  <c r="J89" i="468"/>
  <c r="W17" i="284"/>
  <c r="O122" i="278"/>
  <c r="T15" i="468"/>
  <c r="U72" i="280"/>
  <c r="S63" i="282"/>
  <c r="T109" i="468"/>
  <c r="U126" i="280"/>
  <c r="P128" i="278"/>
  <c r="J7" i="280"/>
  <c r="T47" i="194"/>
  <c r="R42" i="278"/>
  <c r="S26" i="281"/>
  <c r="J60" i="281"/>
  <c r="L88" i="468"/>
  <c r="S19" i="283"/>
  <c r="U90" i="468"/>
  <c r="V4" i="283"/>
  <c r="N23" i="281"/>
  <c r="T19" i="282"/>
  <c r="P119" i="283"/>
  <c r="O67" i="279"/>
  <c r="L46" i="275"/>
  <c r="K5" i="280"/>
  <c r="L28" i="281"/>
  <c r="P50" i="284"/>
  <c r="R118" i="275"/>
  <c r="V49" i="281"/>
  <c r="S8" i="281"/>
  <c r="O136" i="280"/>
  <c r="U16" i="278"/>
  <c r="W139" i="283"/>
  <c r="X96" i="468"/>
  <c r="K58" i="468"/>
  <c r="S6" i="284"/>
  <c r="W69" i="468"/>
  <c r="X114" i="281"/>
  <c r="K14" i="280"/>
  <c r="U33" i="283"/>
  <c r="W87" i="275"/>
  <c r="V36" i="280"/>
  <c r="N118" i="281"/>
  <c r="R25" i="278"/>
  <c r="M19" i="283"/>
  <c r="P74" i="468"/>
  <c r="K27" i="283"/>
  <c r="X28" i="284"/>
  <c r="L11" i="275"/>
  <c r="P10" i="281"/>
  <c r="U6" i="281"/>
  <c r="R88" i="284"/>
  <c r="U38" i="280"/>
  <c r="X99" i="286"/>
  <c r="T26" i="281"/>
  <c r="O104" i="283"/>
  <c r="U21" i="282"/>
  <c r="V102" i="280"/>
  <c r="X109" i="468"/>
  <c r="N17" i="280"/>
  <c r="S66" i="468"/>
  <c r="T76" i="280"/>
  <c r="X35" i="283"/>
  <c r="J107" i="278"/>
  <c r="X115" i="286"/>
  <c r="T50" i="283"/>
  <c r="U118" i="282"/>
  <c r="P124" i="279"/>
  <c r="R22" i="468"/>
  <c r="T75" i="468"/>
  <c r="L45" i="278"/>
  <c r="T30" i="282"/>
  <c r="U113" i="468"/>
  <c r="L63" i="278"/>
  <c r="T110" i="279"/>
  <c r="X14" i="468"/>
  <c r="U15" i="282"/>
  <c r="M71" i="468"/>
  <c r="P4" i="281"/>
  <c r="O139" i="279"/>
  <c r="L23" i="280"/>
  <c r="J79" i="468"/>
  <c r="N129" i="280"/>
  <c r="R34" i="279"/>
  <c r="T104" i="283"/>
  <c r="X139" i="282"/>
  <c r="J42" i="283"/>
  <c r="K50" i="275"/>
  <c r="P9" i="275"/>
  <c r="X20" i="279"/>
  <c r="R120" i="468"/>
  <c r="W4" i="275"/>
  <c r="U72" i="468"/>
  <c r="K89" i="468"/>
  <c r="K49" i="280"/>
  <c r="J72" i="280"/>
  <c r="X11" i="284"/>
  <c r="T17" i="275"/>
  <c r="L68" i="284"/>
  <c r="U69" i="284"/>
  <c r="W138" i="278"/>
  <c r="U111" i="283"/>
  <c r="R107" i="278"/>
  <c r="U10" i="279"/>
  <c r="R7" i="283"/>
  <c r="T26" i="468"/>
  <c r="X98" i="275"/>
  <c r="P110" i="280"/>
  <c r="M122" i="279"/>
  <c r="X19" i="282"/>
  <c r="T8" i="283"/>
  <c r="V31" i="280"/>
  <c r="N18" i="278"/>
  <c r="K114" i="468"/>
  <c r="X23" i="468"/>
  <c r="V134" i="275"/>
  <c r="K103" i="275"/>
  <c r="X101" i="286"/>
  <c r="U30" i="468"/>
  <c r="O110" i="283"/>
  <c r="R23" i="280"/>
  <c r="P45" i="278"/>
  <c r="W12" i="278"/>
  <c r="J116" i="278"/>
  <c r="M135" i="281"/>
  <c r="W22" i="282"/>
  <c r="P3" i="470"/>
  <c r="M105" i="281"/>
  <c r="L26" i="280"/>
  <c r="U121" i="275"/>
  <c r="O46" i="468"/>
  <c r="M37" i="275"/>
  <c r="U49" i="275"/>
  <c r="N31" i="279"/>
  <c r="O21" i="279"/>
  <c r="L124" i="279"/>
  <c r="T139" i="280"/>
  <c r="V65" i="284"/>
  <c r="L103" i="281"/>
  <c r="O86" i="284"/>
  <c r="P21" i="281"/>
  <c r="U46" i="282"/>
  <c r="O139" i="275"/>
  <c r="V61" i="275"/>
  <c r="X139" i="281"/>
  <c r="W70" i="275"/>
  <c r="O21" i="275"/>
  <c r="J68" i="280"/>
  <c r="N124" i="278"/>
  <c r="S44" i="280"/>
  <c r="N80" i="284"/>
  <c r="S62" i="280"/>
  <c r="J139" i="194"/>
  <c r="K15" i="275"/>
  <c r="U44" i="278"/>
  <c r="M43" i="468"/>
  <c r="T69" i="275"/>
  <c r="S34" i="278"/>
  <c r="N68" i="284"/>
  <c r="N75" i="279"/>
  <c r="R44" i="468"/>
  <c r="N49" i="279"/>
  <c r="S58" i="283"/>
  <c r="S3" i="470"/>
  <c r="V19" i="281"/>
  <c r="W16" i="275"/>
  <c r="T61" i="283"/>
  <c r="R32" i="282"/>
  <c r="V56" i="283"/>
  <c r="W17" i="280"/>
  <c r="P124" i="278"/>
  <c r="R71" i="281"/>
  <c r="N104" i="281"/>
  <c r="L102" i="282"/>
  <c r="O73" i="282"/>
  <c r="K34" i="275"/>
  <c r="J64" i="279"/>
  <c r="O39" i="281"/>
  <c r="O32" i="275"/>
  <c r="X70" i="286"/>
  <c r="M72" i="278"/>
  <c r="U7" i="283"/>
  <c r="W96" i="283"/>
  <c r="P126" i="279"/>
  <c r="P56" i="283"/>
  <c r="J60" i="468"/>
  <c r="L73" i="275"/>
  <c r="O113" i="279"/>
  <c r="R129" i="275"/>
  <c r="S11" i="280"/>
  <c r="M106" i="279"/>
  <c r="U60" i="279"/>
  <c r="J36" i="281"/>
  <c r="K118" i="278"/>
  <c r="V69" i="281"/>
  <c r="S75" i="468"/>
  <c r="K116" i="279"/>
  <c r="W12" i="468"/>
  <c r="M4" i="278"/>
  <c r="O115" i="275"/>
  <c r="X31" i="281"/>
  <c r="W37" i="284"/>
  <c r="P76" i="281"/>
  <c r="P70" i="279"/>
  <c r="L26" i="275"/>
  <c r="L19" i="282"/>
  <c r="X31" i="468"/>
  <c r="R60" i="275"/>
  <c r="W71" i="284"/>
  <c r="O20" i="279"/>
  <c r="M67" i="468"/>
  <c r="L132" i="275"/>
  <c r="X132" i="468"/>
  <c r="K115" i="278"/>
  <c r="S27" i="281"/>
  <c r="M130" i="278"/>
  <c r="X69" i="286"/>
  <c r="W103" i="280"/>
  <c r="O35" i="283"/>
  <c r="W64" i="284"/>
  <c r="X17" i="278"/>
  <c r="W105" i="279"/>
  <c r="V38" i="282"/>
  <c r="O132" i="275"/>
  <c r="S58" i="279"/>
  <c r="T53" i="278"/>
  <c r="T123" i="281"/>
  <c r="J36" i="282"/>
  <c r="X106" i="284"/>
  <c r="J21" i="280"/>
  <c r="U25" i="282"/>
  <c r="V17" i="468"/>
  <c r="M121" i="284"/>
  <c r="S70" i="281"/>
  <c r="O114" i="281"/>
  <c r="P29" i="280"/>
  <c r="N67" i="278"/>
  <c r="O10" i="280"/>
  <c r="R61" i="275"/>
  <c r="X127" i="283"/>
  <c r="W73" i="278"/>
  <c r="L3" i="286"/>
  <c r="W132" i="280"/>
  <c r="O72" i="282"/>
  <c r="K97" i="468"/>
  <c r="K39" i="280"/>
  <c r="X8" i="286"/>
  <c r="J62" i="275"/>
  <c r="J127" i="281"/>
  <c r="J69" i="275"/>
  <c r="J98" i="283"/>
  <c r="M100" i="281"/>
  <c r="U40" i="280"/>
  <c r="N40" i="278"/>
  <c r="M118" i="278"/>
  <c r="X46" i="283"/>
  <c r="W5" i="283"/>
  <c r="J8" i="283"/>
  <c r="O3" i="470"/>
  <c r="N131" i="468"/>
  <c r="U101" i="281"/>
  <c r="U23" i="284"/>
  <c r="L101" i="283"/>
  <c r="V15" i="468"/>
  <c r="P62" i="468"/>
  <c r="N102" i="468"/>
  <c r="K7" i="280"/>
  <c r="V72" i="275"/>
  <c r="S130" i="275"/>
  <c r="M52" i="282"/>
  <c r="P62" i="278"/>
  <c r="K124" i="279"/>
  <c r="V113" i="279"/>
  <c r="X98" i="468"/>
  <c r="O10" i="284"/>
  <c r="J121" i="284"/>
  <c r="S124" i="275"/>
  <c r="K119" i="281"/>
  <c r="K11" i="284"/>
  <c r="L64" i="275"/>
  <c r="M101" i="283"/>
  <c r="P126" i="275"/>
  <c r="M63" i="280"/>
  <c r="N67" i="468"/>
  <c r="R57" i="283"/>
  <c r="P43" i="279"/>
  <c r="T16" i="275"/>
  <c r="L63" i="282"/>
  <c r="S6" i="275"/>
  <c r="X51" i="275"/>
  <c r="O58" i="468"/>
  <c r="S133" i="468"/>
  <c r="N114" i="279"/>
  <c r="S91" i="468"/>
  <c r="M109" i="280"/>
  <c r="R115" i="283"/>
  <c r="U138" i="278"/>
  <c r="N104" i="275"/>
  <c r="K5" i="284"/>
  <c r="L104" i="279"/>
  <c r="R115" i="468"/>
  <c r="V123" i="278"/>
  <c r="M43" i="280"/>
  <c r="R99" i="275"/>
  <c r="P40" i="468"/>
  <c r="N64" i="278"/>
  <c r="P7" i="282"/>
  <c r="J80" i="284"/>
  <c r="O123" i="281"/>
  <c r="W63" i="281"/>
  <c r="X111" i="283"/>
  <c r="O103" i="468"/>
  <c r="R27" i="283"/>
  <c r="W32" i="282"/>
  <c r="R13" i="275"/>
  <c r="L120" i="278"/>
  <c r="M49" i="280"/>
  <c r="W27" i="282"/>
  <c r="S114" i="279"/>
  <c r="M25" i="284"/>
  <c r="R34" i="283"/>
  <c r="R56" i="275"/>
  <c r="M56" i="280"/>
  <c r="J136" i="283"/>
  <c r="S73" i="283"/>
  <c r="N101" i="280"/>
  <c r="M79" i="280"/>
  <c r="O63" i="278"/>
  <c r="N92" i="283"/>
  <c r="W123" i="280"/>
  <c r="W27" i="281"/>
  <c r="O65" i="468"/>
  <c r="S70" i="284"/>
  <c r="N91" i="279"/>
  <c r="M99" i="468"/>
  <c r="P20" i="278"/>
  <c r="M7" i="278"/>
  <c r="T21" i="468"/>
  <c r="T139" i="281"/>
  <c r="U116" i="278"/>
  <c r="R11" i="283"/>
  <c r="J4" i="286"/>
  <c r="P43" i="281"/>
  <c r="S132" i="468"/>
  <c r="L62" i="275"/>
  <c r="P53" i="280"/>
  <c r="W31" i="279"/>
  <c r="S74" i="279"/>
  <c r="P59" i="275"/>
  <c r="O36" i="280"/>
  <c r="R5" i="284"/>
  <c r="K128" i="468"/>
  <c r="O75" i="282"/>
  <c r="W66" i="283"/>
  <c r="M112" i="280"/>
  <c r="P13" i="275"/>
  <c r="V100" i="275"/>
  <c r="J96" i="280"/>
  <c r="O81" i="468"/>
  <c r="N101" i="281"/>
  <c r="K15" i="281"/>
  <c r="X140" i="468"/>
  <c r="V122" i="280"/>
  <c r="S131" i="275"/>
  <c r="J114" i="468"/>
  <c r="U65" i="275"/>
  <c r="L10" i="275"/>
  <c r="X31" i="280"/>
  <c r="N17" i="468"/>
  <c r="J117" i="282"/>
  <c r="S27" i="282"/>
  <c r="M80" i="468"/>
  <c r="N115" i="278"/>
  <c r="K49" i="468"/>
  <c r="M131" i="275"/>
  <c r="S77" i="468"/>
  <c r="U66" i="279"/>
  <c r="T6" i="283"/>
  <c r="U48" i="279"/>
  <c r="R137" i="278"/>
  <c r="L109" i="282"/>
  <c r="N80" i="280"/>
  <c r="N43" i="278"/>
  <c r="R36" i="278"/>
  <c r="W98" i="278"/>
  <c r="J111" i="280"/>
  <c r="X120" i="286"/>
  <c r="N65" i="281"/>
  <c r="V134" i="278"/>
  <c r="J117" i="279"/>
  <c r="W74" i="278"/>
  <c r="P18" i="282"/>
  <c r="N122" i="275"/>
  <c r="U26" i="275"/>
  <c r="R40" i="468"/>
  <c r="L60" i="468"/>
  <c r="U34" i="284"/>
  <c r="M96" i="278"/>
  <c r="L96" i="281"/>
  <c r="J44" i="280"/>
  <c r="J31" i="275"/>
  <c r="T25" i="280"/>
  <c r="W107" i="278"/>
  <c r="O74" i="468"/>
  <c r="J105" i="280"/>
  <c r="V107" i="282"/>
  <c r="M137" i="280"/>
  <c r="S112" i="279"/>
  <c r="X116" i="468"/>
  <c r="V52" i="279"/>
  <c r="U15" i="280"/>
  <c r="L62" i="280"/>
  <c r="K35" i="283"/>
  <c r="T54" i="280"/>
  <c r="U26" i="282"/>
  <c r="V120" i="282"/>
  <c r="U13" i="278"/>
  <c r="P19" i="468"/>
  <c r="P68" i="275"/>
  <c r="J3" i="280"/>
  <c r="J28" i="278"/>
  <c r="O97" i="468"/>
  <c r="N133" i="282"/>
  <c r="U53" i="468"/>
  <c r="K19" i="284"/>
  <c r="X127" i="468"/>
  <c r="O11" i="278"/>
  <c r="T95" i="468"/>
  <c r="T106" i="283"/>
  <c r="T71" i="468"/>
  <c r="V88" i="468"/>
  <c r="X101" i="275"/>
  <c r="S3" i="285"/>
  <c r="L54" i="278"/>
  <c r="O33" i="283"/>
  <c r="W138" i="283"/>
  <c r="R68" i="280"/>
  <c r="P5" i="284"/>
  <c r="X4" i="278"/>
  <c r="O3" i="275"/>
  <c r="X123" i="286"/>
  <c r="K82" i="468"/>
  <c r="L118" i="278"/>
  <c r="N113" i="281"/>
  <c r="L133" i="284"/>
  <c r="L95" i="468"/>
  <c r="S59" i="468"/>
  <c r="O104" i="278"/>
  <c r="L71" i="468"/>
  <c r="P4" i="279"/>
  <c r="L32" i="468"/>
  <c r="J11" i="280"/>
  <c r="M113" i="282"/>
  <c r="K137" i="279"/>
  <c r="O126" i="282"/>
  <c r="O126" i="279"/>
  <c r="X102" i="281"/>
  <c r="W63" i="284"/>
  <c r="O62" i="278"/>
  <c r="S73" i="275"/>
  <c r="W26" i="280"/>
  <c r="U22" i="282"/>
  <c r="J39" i="278"/>
  <c r="S68" i="468"/>
  <c r="V11" i="275"/>
  <c r="K137" i="282"/>
  <c r="R28" i="468"/>
  <c r="N35" i="282"/>
  <c r="M110" i="275"/>
  <c r="T111" i="283"/>
  <c r="K106" i="275"/>
  <c r="U32" i="468"/>
  <c r="P93" i="468"/>
  <c r="J132" i="279"/>
  <c r="V21" i="282"/>
  <c r="P138" i="280"/>
  <c r="N13" i="468"/>
  <c r="V59" i="281"/>
  <c r="R91" i="284"/>
  <c r="S102" i="280"/>
  <c r="W124" i="275"/>
  <c r="N135" i="468"/>
  <c r="S105" i="281"/>
  <c r="S15" i="281"/>
  <c r="S31" i="281"/>
  <c r="M103" i="281"/>
  <c r="P39" i="284"/>
  <c r="K138" i="279"/>
  <c r="W70" i="278"/>
  <c r="V110" i="280"/>
  <c r="N61" i="278"/>
  <c r="P108" i="281"/>
  <c r="O59" i="278"/>
  <c r="V64" i="280"/>
  <c r="V34" i="283"/>
  <c r="M130" i="275"/>
  <c r="U129" i="468"/>
  <c r="P117" i="275"/>
  <c r="O16" i="282"/>
  <c r="S13" i="279"/>
  <c r="L75" i="278"/>
  <c r="U9" i="468"/>
  <c r="U121" i="279"/>
  <c r="J43" i="281"/>
  <c r="O120" i="283"/>
  <c r="K117" i="194"/>
  <c r="J104" i="468"/>
  <c r="O20" i="282"/>
  <c r="R63" i="468"/>
  <c r="W48" i="275"/>
  <c r="V73" i="284"/>
  <c r="M55" i="283"/>
  <c r="U68" i="282"/>
  <c r="V80" i="283"/>
  <c r="V132" i="468"/>
  <c r="P54" i="284"/>
  <c r="J38" i="280"/>
  <c r="M27" i="275"/>
  <c r="N67" i="279"/>
  <c r="L43" i="280"/>
  <c r="S35" i="275"/>
  <c r="V101" i="282"/>
  <c r="W134" i="468"/>
  <c r="W25" i="279"/>
  <c r="M64" i="278"/>
  <c r="S16" i="275"/>
  <c r="R139" i="282"/>
  <c r="P30" i="278"/>
  <c r="N67" i="281"/>
  <c r="J13" i="284"/>
  <c r="J29" i="468"/>
  <c r="N117" i="278"/>
  <c r="K17" i="283"/>
  <c r="N112" i="279"/>
  <c r="R27" i="280"/>
  <c r="V138" i="280"/>
  <c r="W41" i="279"/>
  <c r="W107" i="282"/>
  <c r="X100" i="281"/>
  <c r="K105" i="281"/>
  <c r="U8" i="468"/>
  <c r="J4" i="282"/>
  <c r="R18" i="281"/>
  <c r="S114" i="278"/>
  <c r="S18" i="275"/>
  <c r="O131" i="279"/>
  <c r="O21" i="281"/>
  <c r="K49" i="284"/>
  <c r="R106" i="282"/>
  <c r="N53" i="282"/>
  <c r="N66" i="278"/>
  <c r="X47" i="286"/>
  <c r="L140" i="279"/>
  <c r="R64" i="468"/>
  <c r="X8" i="275"/>
  <c r="T27" i="282"/>
  <c r="V16" i="282"/>
  <c r="N54" i="283"/>
  <c r="T62" i="275"/>
  <c r="O13" i="275"/>
  <c r="T4" i="279"/>
  <c r="K10" i="282"/>
  <c r="P72" i="282"/>
  <c r="M138" i="468"/>
  <c r="X132" i="278"/>
  <c r="O28" i="284"/>
  <c r="J125" i="282"/>
  <c r="K44" i="278"/>
  <c r="R50" i="275"/>
  <c r="L138" i="279"/>
  <c r="X42" i="281"/>
  <c r="U40" i="279"/>
  <c r="P98" i="279"/>
  <c r="K60" i="275"/>
  <c r="R35" i="281"/>
  <c r="M48" i="279"/>
  <c r="K23" i="282"/>
  <c r="S119" i="282"/>
  <c r="J48" i="280"/>
  <c r="R49" i="278"/>
  <c r="P99" i="468"/>
  <c r="O122" i="275"/>
  <c r="X130" i="282"/>
  <c r="M24" i="278"/>
  <c r="P132" i="282"/>
  <c r="P130" i="283"/>
  <c r="S65" i="280"/>
  <c r="T14" i="275"/>
  <c r="N31" i="281"/>
  <c r="S30" i="280"/>
  <c r="V132" i="275"/>
  <c r="O134" i="275"/>
  <c r="S117" i="281"/>
  <c r="J70" i="283"/>
  <c r="O31" i="279"/>
  <c r="J53" i="275"/>
  <c r="W3" i="284"/>
  <c r="V50" i="468"/>
  <c r="V124" i="281"/>
  <c r="L17" i="280"/>
  <c r="T51" i="282"/>
  <c r="R44" i="280"/>
  <c r="O139" i="280"/>
  <c r="M102" i="278"/>
  <c r="V112" i="275"/>
  <c r="R50" i="283"/>
  <c r="U124" i="275"/>
  <c r="W79" i="468"/>
  <c r="N121" i="468"/>
  <c r="M130" i="194"/>
  <c r="X110" i="284"/>
  <c r="K96" i="282"/>
  <c r="K37" i="275"/>
  <c r="U30" i="282"/>
  <c r="O120" i="278"/>
  <c r="S116" i="281"/>
  <c r="K125" i="275"/>
  <c r="X110" i="286"/>
  <c r="V121" i="280"/>
  <c r="X4" i="280"/>
  <c r="J36" i="284"/>
  <c r="J29" i="281"/>
  <c r="U30" i="279"/>
  <c r="K133" i="280"/>
  <c r="N107" i="468"/>
  <c r="T59" i="283"/>
  <c r="K100" i="282"/>
  <c r="O138" i="275"/>
  <c r="P135" i="279"/>
  <c r="M124" i="279"/>
  <c r="V14" i="468"/>
  <c r="K39" i="468"/>
  <c r="V19" i="468"/>
  <c r="J64" i="275"/>
  <c r="P84" i="278"/>
  <c r="R23" i="281"/>
  <c r="P13" i="283"/>
  <c r="U33" i="468"/>
  <c r="V138" i="283"/>
  <c r="K53" i="281"/>
  <c r="J120" i="278"/>
  <c r="J35" i="275"/>
  <c r="W111" i="283"/>
  <c r="S75" i="278"/>
  <c r="K70" i="278"/>
  <c r="X11" i="281"/>
  <c r="U73" i="280"/>
  <c r="L13" i="281"/>
  <c r="J9" i="278"/>
  <c r="O98" i="282"/>
  <c r="V5" i="281"/>
  <c r="L4" i="283"/>
  <c r="J16" i="278"/>
  <c r="X76" i="286"/>
  <c r="V31" i="284"/>
  <c r="X105" i="275"/>
  <c r="L63" i="275"/>
  <c r="N5" i="280"/>
  <c r="M113" i="468"/>
  <c r="N69" i="281"/>
  <c r="X19" i="278"/>
  <c r="V140" i="281"/>
  <c r="O22" i="278"/>
  <c r="K132" i="468"/>
  <c r="T111" i="279"/>
  <c r="O50" i="278"/>
  <c r="P4" i="283"/>
  <c r="W32" i="279"/>
  <c r="S46" i="279"/>
  <c r="P50" i="281"/>
  <c r="S8" i="280"/>
  <c r="S119" i="468"/>
  <c r="S5" i="278"/>
  <c r="M119" i="284"/>
  <c r="M106" i="282"/>
  <c r="X3" i="279"/>
  <c r="J23" i="468"/>
  <c r="R61" i="280"/>
  <c r="L36" i="281"/>
  <c r="S30" i="282"/>
  <c r="S9" i="468"/>
  <c r="U49" i="284"/>
  <c r="R129" i="468"/>
  <c r="T90" i="468"/>
  <c r="P16" i="280"/>
  <c r="N104" i="278"/>
  <c r="R111" i="279"/>
  <c r="W130" i="278"/>
  <c r="V67" i="284"/>
  <c r="P139" i="468"/>
  <c r="V57" i="282"/>
  <c r="P12" i="282"/>
  <c r="R46" i="282"/>
  <c r="W62" i="281"/>
  <c r="W97" i="468"/>
  <c r="R11" i="275"/>
  <c r="S37" i="279"/>
  <c r="V121" i="283"/>
  <c r="M104" i="279"/>
  <c r="K60" i="280"/>
  <c r="U47" i="468"/>
  <c r="X99" i="282"/>
  <c r="W136" i="275"/>
  <c r="R109" i="282"/>
  <c r="O13" i="284"/>
  <c r="J125" i="280"/>
  <c r="N127" i="279"/>
  <c r="J131" i="275"/>
  <c r="T17" i="280"/>
  <c r="S15" i="279"/>
  <c r="V107" i="468"/>
  <c r="T74" i="284"/>
  <c r="J46" i="468"/>
  <c r="J52" i="279"/>
  <c r="K136" i="280"/>
  <c r="M136" i="278"/>
  <c r="M58" i="278"/>
  <c r="O118" i="275"/>
  <c r="V17" i="281"/>
  <c r="M28" i="281"/>
  <c r="T129" i="282"/>
  <c r="M29" i="279"/>
  <c r="O121" i="283"/>
  <c r="P76" i="468"/>
  <c r="P33" i="280"/>
  <c r="R12" i="282"/>
  <c r="K105" i="275"/>
  <c r="K126" i="468"/>
  <c r="J101" i="281"/>
  <c r="L102" i="468"/>
  <c r="J117" i="275"/>
  <c r="L21" i="278"/>
  <c r="X95" i="468"/>
  <c r="T122" i="275"/>
  <c r="K11" i="275"/>
  <c r="S51" i="284"/>
  <c r="W27" i="468"/>
  <c r="M116" i="278"/>
  <c r="K135" i="282"/>
  <c r="P102" i="275"/>
  <c r="J137" i="279"/>
  <c r="P140" i="468"/>
  <c r="V25" i="279"/>
  <c r="M49" i="284"/>
  <c r="M64" i="280"/>
  <c r="J86" i="468"/>
  <c r="S62" i="284"/>
  <c r="O49" i="280"/>
  <c r="S16" i="283"/>
  <c r="O32" i="282"/>
  <c r="K15" i="468"/>
  <c r="P27" i="281"/>
  <c r="M99" i="281"/>
  <c r="K121" i="279"/>
  <c r="V32" i="279"/>
  <c r="W43" i="468"/>
  <c r="W7" i="275"/>
  <c r="J27" i="281"/>
  <c r="X138" i="281"/>
  <c r="S127" i="279"/>
  <c r="K44" i="279"/>
  <c r="U135" i="275"/>
  <c r="T12" i="278"/>
  <c r="U133" i="468"/>
  <c r="N26" i="468"/>
  <c r="T46" i="278"/>
  <c r="J30" i="278"/>
  <c r="O17" i="278"/>
  <c r="R101" i="468"/>
  <c r="P67" i="282"/>
  <c r="O59" i="281"/>
  <c r="O140" i="278"/>
  <c r="X111" i="468"/>
  <c r="R32" i="468"/>
  <c r="X108" i="280"/>
  <c r="L65" i="278"/>
  <c r="T18" i="283"/>
  <c r="U35" i="275"/>
  <c r="X46" i="279"/>
  <c r="L109" i="468"/>
  <c r="S40" i="278"/>
  <c r="J44" i="278"/>
  <c r="O78" i="468"/>
  <c r="P106" i="279"/>
  <c r="L140" i="284"/>
  <c r="X36" i="286"/>
  <c r="P107" i="278"/>
  <c r="N3" i="280"/>
  <c r="O4" i="284"/>
  <c r="J100" i="468"/>
  <c r="M18" i="283"/>
  <c r="R115" i="275"/>
  <c r="N41" i="275"/>
  <c r="J126" i="275"/>
  <c r="J35" i="279"/>
  <c r="J72" i="278"/>
  <c r="R104" i="281"/>
  <c r="K59" i="281"/>
  <c r="P42" i="275"/>
  <c r="J114" i="280"/>
  <c r="M116" i="282"/>
  <c r="X3" i="275"/>
  <c r="K9" i="194"/>
  <c r="T83" i="468"/>
  <c r="T3" i="280"/>
  <c r="V129" i="280"/>
  <c r="K105" i="280"/>
  <c r="K111" i="468"/>
  <c r="T107" i="280"/>
  <c r="S134" i="280"/>
  <c r="L26" i="279"/>
  <c r="V111" i="278"/>
  <c r="K38" i="278"/>
  <c r="N128" i="468"/>
  <c r="K128" i="278"/>
  <c r="S27" i="278"/>
  <c r="V72" i="279"/>
  <c r="V108" i="282"/>
  <c r="T51" i="194"/>
  <c r="V109" i="275"/>
  <c r="M123" i="275"/>
  <c r="X34" i="279"/>
  <c r="U71" i="282"/>
  <c r="R94" i="194"/>
  <c r="T81" i="468"/>
  <c r="S33" i="283"/>
  <c r="X28" i="275"/>
  <c r="P128" i="280"/>
  <c r="U34" i="280"/>
  <c r="J26" i="275"/>
  <c r="K141" i="281"/>
  <c r="U123" i="280"/>
  <c r="T71" i="279"/>
  <c r="L126" i="468"/>
  <c r="M116" i="283"/>
  <c r="W106" i="279"/>
  <c r="T98" i="468"/>
  <c r="M67" i="275"/>
  <c r="X11" i="468"/>
  <c r="L12" i="279"/>
  <c r="J134" i="284"/>
  <c r="N60" i="468"/>
  <c r="M19" i="281"/>
  <c r="W46" i="278"/>
  <c r="L66" i="275"/>
  <c r="S15" i="278"/>
  <c r="T5" i="468"/>
  <c r="N139" i="284"/>
  <c r="X133" i="281"/>
  <c r="U65" i="278"/>
  <c r="J58" i="275"/>
  <c r="U112" i="275"/>
  <c r="S11" i="275"/>
  <c r="T25" i="278"/>
  <c r="R91" i="468"/>
  <c r="L89" i="468"/>
  <c r="W60" i="282"/>
  <c r="W30" i="279"/>
  <c r="W54" i="279"/>
  <c r="J5" i="281"/>
  <c r="L36" i="275"/>
  <c r="J99" i="282"/>
  <c r="T108" i="468"/>
  <c r="R37" i="279"/>
  <c r="P95" i="284"/>
  <c r="N9" i="284"/>
  <c r="N44" i="275"/>
  <c r="W37" i="468"/>
  <c r="S122" i="468"/>
  <c r="T112" i="280"/>
  <c r="N53" i="279"/>
  <c r="W15" i="282"/>
  <c r="N79" i="280"/>
  <c r="R100" i="275"/>
  <c r="O44" i="275"/>
  <c r="S68" i="284"/>
  <c r="S113" i="278"/>
  <c r="S99" i="468"/>
  <c r="R135" i="275"/>
  <c r="P100" i="283"/>
  <c r="V11" i="468"/>
  <c r="N20" i="282"/>
  <c r="R127" i="284"/>
  <c r="O72" i="284"/>
  <c r="V41" i="278"/>
  <c r="W61" i="275"/>
  <c r="P114" i="275"/>
  <c r="J24" i="468"/>
  <c r="V108" i="284"/>
  <c r="O107" i="275"/>
  <c r="R102" i="281"/>
  <c r="X137" i="279"/>
  <c r="T76" i="281"/>
  <c r="R43" i="279"/>
  <c r="M23" i="279"/>
  <c r="P130" i="282"/>
  <c r="O116" i="278"/>
  <c r="U116" i="275"/>
  <c r="M6" i="279"/>
  <c r="L60" i="284"/>
  <c r="X26" i="282"/>
  <c r="O83" i="468"/>
  <c r="T22" i="280"/>
  <c r="J119" i="468"/>
  <c r="M133" i="280"/>
  <c r="T36" i="278"/>
  <c r="R44" i="282"/>
  <c r="R124" i="278"/>
  <c r="V34" i="278"/>
  <c r="K116" i="278"/>
  <c r="U107" i="281"/>
  <c r="K18" i="275"/>
  <c r="O91" i="275"/>
  <c r="T94" i="468"/>
  <c r="X12" i="468"/>
  <c r="X38" i="468"/>
  <c r="S116" i="275"/>
  <c r="K23" i="280"/>
  <c r="X138" i="278"/>
  <c r="T139" i="275"/>
  <c r="K139" i="278"/>
  <c r="M40" i="281"/>
  <c r="O61" i="468"/>
  <c r="O59" i="279"/>
  <c r="M109" i="283"/>
  <c r="P102" i="283"/>
  <c r="N119" i="283"/>
  <c r="V132" i="284"/>
  <c r="S48" i="278"/>
  <c r="P48" i="281"/>
  <c r="M13" i="281"/>
  <c r="X65" i="468"/>
  <c r="U116" i="279"/>
  <c r="W45" i="275"/>
  <c r="N67" i="284"/>
  <c r="S62" i="281"/>
  <c r="J4" i="279"/>
  <c r="U101" i="468"/>
  <c r="M39" i="283"/>
  <c r="S103" i="468"/>
  <c r="S16" i="468"/>
  <c r="M135" i="283"/>
  <c r="K5" i="283"/>
  <c r="U111" i="468"/>
  <c r="K112" i="282"/>
  <c r="J119" i="275"/>
  <c r="R39" i="278"/>
  <c r="X90" i="281"/>
  <c r="P106" i="280"/>
  <c r="T127" i="278"/>
  <c r="K133" i="275"/>
  <c r="T58" i="278"/>
  <c r="O45" i="278"/>
  <c r="X121" i="275"/>
  <c r="J17" i="278"/>
  <c r="J13" i="275"/>
  <c r="W113" i="280"/>
  <c r="T31" i="279"/>
  <c r="L99" i="468"/>
  <c r="J139" i="279"/>
  <c r="K102" i="280"/>
  <c r="O106" i="279"/>
  <c r="O40" i="279"/>
  <c r="N105" i="280"/>
  <c r="X90" i="286"/>
  <c r="K105" i="278"/>
  <c r="W80" i="284"/>
  <c r="T18" i="468"/>
  <c r="T126" i="275"/>
  <c r="N38" i="275"/>
  <c r="W120" i="275"/>
  <c r="U137" i="282"/>
  <c r="W120" i="278"/>
  <c r="X49" i="280"/>
  <c r="X133" i="280"/>
  <c r="K26" i="282"/>
  <c r="R124" i="275"/>
  <c r="R65" i="279"/>
  <c r="W9" i="284"/>
  <c r="J85" i="468"/>
  <c r="P34" i="278"/>
  <c r="T9" i="279"/>
  <c r="X100" i="282"/>
  <c r="R116" i="281"/>
  <c r="N136" i="278"/>
  <c r="S108" i="280"/>
  <c r="X24" i="283"/>
  <c r="W49" i="468"/>
  <c r="O8" i="280"/>
  <c r="X71" i="468"/>
  <c r="K86" i="284"/>
  <c r="R109" i="278"/>
  <c r="M110" i="282"/>
  <c r="N100" i="275"/>
  <c r="S65" i="279"/>
  <c r="P108" i="280"/>
  <c r="S4" i="280"/>
  <c r="L64" i="282"/>
  <c r="R3" i="279"/>
  <c r="X106" i="281"/>
  <c r="W40" i="281"/>
  <c r="L51" i="283"/>
  <c r="W23" i="275"/>
  <c r="K63" i="282"/>
  <c r="W15" i="280"/>
  <c r="S32" i="281"/>
  <c r="V5" i="280"/>
  <c r="N81" i="468"/>
  <c r="U25" i="275"/>
  <c r="P119" i="279"/>
  <c r="X119" i="279"/>
  <c r="L7" i="281"/>
  <c r="L16" i="284"/>
  <c r="W13" i="468"/>
  <c r="K98" i="278"/>
  <c r="W13" i="275"/>
  <c r="J117" i="280"/>
  <c r="R122" i="278"/>
  <c r="M74" i="275"/>
  <c r="S122" i="278"/>
  <c r="U72" i="279"/>
  <c r="S17" i="280"/>
  <c r="X9" i="278"/>
  <c r="O54" i="279"/>
  <c r="S137" i="280"/>
  <c r="P109" i="283"/>
  <c r="L100" i="279"/>
  <c r="V8" i="275"/>
  <c r="U36" i="279"/>
  <c r="W95" i="468"/>
  <c r="K139" i="468"/>
  <c r="W59" i="278"/>
  <c r="T3" i="279"/>
  <c r="U132" i="280"/>
  <c r="X7" i="282"/>
  <c r="N33" i="279"/>
  <c r="T30" i="281"/>
  <c r="J12" i="281"/>
  <c r="T138" i="283"/>
  <c r="K7" i="468"/>
  <c r="V68" i="279"/>
  <c r="S90" i="468"/>
  <c r="J39" i="281"/>
  <c r="T11" i="275"/>
  <c r="S48" i="281"/>
  <c r="P33" i="468"/>
  <c r="K48" i="279"/>
  <c r="W44" i="281"/>
  <c r="P38" i="275"/>
  <c r="P9" i="279"/>
  <c r="V35" i="283"/>
  <c r="J113" i="275"/>
  <c r="T5" i="280"/>
  <c r="V9" i="283"/>
  <c r="K123" i="280"/>
  <c r="X12" i="278"/>
  <c r="R33" i="281"/>
  <c r="N71" i="282"/>
  <c r="L118" i="281"/>
  <c r="K107" i="283"/>
  <c r="X31" i="284"/>
  <c r="T30" i="275"/>
  <c r="S106" i="283"/>
  <c r="S3" i="279"/>
  <c r="P113" i="282"/>
  <c r="J138" i="468"/>
  <c r="N21" i="284"/>
  <c r="O42" i="280"/>
  <c r="O71" i="283"/>
  <c r="K8" i="468"/>
  <c r="X100" i="468"/>
  <c r="U84" i="278"/>
  <c r="R75" i="468"/>
  <c r="X20" i="286"/>
  <c r="M8" i="282"/>
  <c r="W111" i="284"/>
  <c r="N54" i="278"/>
  <c r="S113" i="283"/>
  <c r="P28" i="275"/>
  <c r="M74" i="281"/>
  <c r="W19" i="284"/>
  <c r="L31" i="468"/>
  <c r="J62" i="284"/>
  <c r="K64" i="280"/>
  <c r="R13" i="284"/>
  <c r="N74" i="468"/>
  <c r="W71" i="468"/>
  <c r="V65" i="194"/>
  <c r="T106" i="278"/>
  <c r="P138" i="275"/>
  <c r="V133" i="282"/>
  <c r="O99" i="280"/>
  <c r="L112" i="283"/>
  <c r="V137" i="194"/>
  <c r="J113" i="282"/>
  <c r="V7" i="280"/>
  <c r="V126" i="283"/>
  <c r="P68" i="282"/>
  <c r="J67" i="468"/>
  <c r="M129" i="280"/>
  <c r="L14" i="279"/>
  <c r="X103" i="278"/>
  <c r="U122" i="282"/>
  <c r="O114" i="279"/>
  <c r="K50" i="279"/>
  <c r="O119" i="282"/>
  <c r="T120" i="281"/>
  <c r="P117" i="468"/>
  <c r="X115" i="279"/>
  <c r="S98" i="284"/>
  <c r="T37" i="281"/>
  <c r="L28" i="280"/>
  <c r="P118" i="279"/>
  <c r="P120" i="278"/>
  <c r="N133" i="283"/>
  <c r="X70" i="283"/>
  <c r="T110" i="468"/>
  <c r="V61" i="278"/>
  <c r="U112" i="279"/>
  <c r="R35" i="194"/>
  <c r="K139" i="283"/>
  <c r="M95" i="279"/>
  <c r="R98" i="284"/>
  <c r="V17" i="283"/>
  <c r="X53" i="281"/>
  <c r="O69" i="279"/>
  <c r="M43" i="275"/>
  <c r="K60" i="278"/>
  <c r="K40" i="280"/>
  <c r="O66" i="284"/>
  <c r="K106" i="281"/>
  <c r="P6" i="282"/>
  <c r="P45" i="282"/>
  <c r="R10" i="468"/>
  <c r="V20" i="279"/>
  <c r="N69" i="282"/>
  <c r="T59" i="280"/>
  <c r="J119" i="278"/>
  <c r="T54" i="282"/>
  <c r="O124" i="284"/>
  <c r="W35" i="468"/>
  <c r="W9" i="283"/>
  <c r="P129" i="275"/>
  <c r="S98" i="279"/>
  <c r="T52" i="278"/>
  <c r="X116" i="279"/>
  <c r="T61" i="281"/>
  <c r="R17" i="282"/>
  <c r="V41" i="275"/>
  <c r="P113" i="275"/>
  <c r="M75" i="282"/>
  <c r="K105" i="468"/>
  <c r="X106" i="286"/>
  <c r="N115" i="284"/>
  <c r="S71" i="468"/>
  <c r="O35" i="281"/>
  <c r="S49" i="282"/>
  <c r="J60" i="282"/>
  <c r="X17" i="282"/>
  <c r="U75" i="280"/>
  <c r="K53" i="283"/>
  <c r="S134" i="281"/>
  <c r="U92" i="194"/>
  <c r="K18" i="278"/>
  <c r="L38" i="280"/>
  <c r="M21" i="280"/>
  <c r="N109" i="279"/>
  <c r="R79" i="280"/>
  <c r="T128" i="275"/>
  <c r="S124" i="468"/>
  <c r="L8" i="275"/>
  <c r="N3" i="194"/>
  <c r="X33" i="279"/>
  <c r="M127" i="284"/>
  <c r="K140" i="279"/>
  <c r="R54" i="282"/>
  <c r="K122" i="278"/>
  <c r="O133" i="468"/>
  <c r="P70" i="278"/>
  <c r="X72" i="286"/>
  <c r="K52" i="278"/>
  <c r="N51" i="275"/>
  <c r="W132" i="278"/>
  <c r="T132" i="275"/>
  <c r="K109" i="468"/>
  <c r="P106" i="281"/>
  <c r="O133" i="279"/>
  <c r="W115" i="468"/>
  <c r="K133" i="279"/>
  <c r="T51" i="275"/>
  <c r="J138" i="275"/>
  <c r="K131" i="283"/>
  <c r="J15" i="278"/>
  <c r="P25" i="282"/>
  <c r="J42" i="284"/>
  <c r="X10" i="283"/>
  <c r="T21" i="275"/>
  <c r="T69" i="284"/>
  <c r="R120" i="194"/>
  <c r="K40" i="275"/>
  <c r="J61" i="468"/>
  <c r="U74" i="275"/>
  <c r="M45" i="278"/>
  <c r="X39" i="468"/>
  <c r="R34" i="468"/>
  <c r="T39" i="468"/>
  <c r="N118" i="280"/>
  <c r="T53" i="284"/>
  <c r="V74" i="275"/>
  <c r="P72" i="281"/>
  <c r="N41" i="279"/>
  <c r="M15" i="280"/>
  <c r="R24" i="283"/>
  <c r="M113" i="281"/>
  <c r="W97" i="279"/>
  <c r="N140" i="279"/>
  <c r="P130" i="468"/>
  <c r="L12" i="282"/>
  <c r="R111" i="283"/>
  <c r="O89" i="280"/>
  <c r="M140" i="279"/>
  <c r="J126" i="279"/>
  <c r="M28" i="282"/>
  <c r="T113" i="278"/>
  <c r="U22" i="194"/>
  <c r="O138" i="281"/>
  <c r="X38" i="281"/>
  <c r="R107" i="281"/>
  <c r="S114" i="283"/>
  <c r="M137" i="278"/>
  <c r="V33" i="278"/>
  <c r="W6" i="284"/>
  <c r="P115" i="275"/>
  <c r="T132" i="278"/>
  <c r="K8" i="283"/>
  <c r="L100" i="468"/>
  <c r="M138" i="282"/>
  <c r="U102" i="282"/>
  <c r="S50" i="280"/>
  <c r="N15" i="278"/>
  <c r="V131" i="468"/>
  <c r="X124" i="279"/>
  <c r="O66" i="281"/>
  <c r="P10" i="278"/>
  <c r="V23" i="278"/>
  <c r="W49" i="278"/>
  <c r="X75" i="275"/>
  <c r="S112" i="283"/>
  <c r="S107" i="280"/>
  <c r="P24" i="279"/>
  <c r="R7" i="284"/>
  <c r="V102" i="282"/>
  <c r="X28" i="286"/>
  <c r="R60" i="283"/>
  <c r="P24" i="283"/>
  <c r="U130" i="281"/>
  <c r="M66" i="281"/>
  <c r="S114" i="280"/>
  <c r="X21" i="468"/>
  <c r="L31" i="275"/>
  <c r="W45" i="468"/>
  <c r="V12" i="279"/>
  <c r="U129" i="280"/>
  <c r="U104" i="468"/>
  <c r="O110" i="278"/>
  <c r="J13" i="468"/>
  <c r="J15" i="280"/>
  <c r="N127" i="284"/>
  <c r="J41" i="278"/>
  <c r="P27" i="278"/>
  <c r="N120" i="275"/>
  <c r="P32" i="468"/>
  <c r="L11" i="281"/>
  <c r="O5" i="283"/>
  <c r="N50" i="280"/>
  <c r="J17" i="283"/>
  <c r="S104" i="275"/>
  <c r="M44" i="275"/>
  <c r="O94" i="468"/>
  <c r="X126" i="280"/>
  <c r="M104" i="275"/>
  <c r="S18" i="279"/>
  <c r="M127" i="275"/>
  <c r="M107" i="275"/>
  <c r="W135" i="278"/>
  <c r="M52" i="284"/>
  <c r="W104" i="281"/>
  <c r="U107" i="278"/>
  <c r="X6" i="286"/>
  <c r="X84" i="468"/>
  <c r="V12" i="284"/>
  <c r="U18" i="280"/>
  <c r="W24" i="280"/>
  <c r="M91" i="468"/>
  <c r="N118" i="275"/>
  <c r="K13" i="275"/>
  <c r="K138" i="280"/>
  <c r="K111" i="279"/>
  <c r="L114" i="279"/>
  <c r="N5" i="275"/>
  <c r="P66" i="279"/>
  <c r="K34" i="468"/>
  <c r="T25" i="279"/>
  <c r="T33" i="284"/>
  <c r="X128" i="283"/>
  <c r="V66" i="280"/>
  <c r="T44" i="282"/>
  <c r="T99" i="284"/>
  <c r="K119" i="279"/>
  <c r="K39" i="281"/>
  <c r="L50" i="283"/>
  <c r="K134" i="281"/>
  <c r="T103" i="278"/>
  <c r="J7" i="281"/>
  <c r="N130" i="275"/>
  <c r="V115" i="284"/>
  <c r="V125" i="275"/>
  <c r="N31" i="468"/>
  <c r="X7" i="286"/>
  <c r="P48" i="468"/>
  <c r="P75" i="278"/>
  <c r="J51" i="280"/>
  <c r="S39" i="468"/>
  <c r="P129" i="468"/>
  <c r="S46" i="284"/>
  <c r="X12" i="282"/>
  <c r="T71" i="275"/>
  <c r="X110" i="280"/>
  <c r="L111" i="282"/>
  <c r="L33" i="283"/>
  <c r="N130" i="283"/>
  <c r="K111" i="282"/>
  <c r="K32" i="279"/>
  <c r="V133" i="280"/>
  <c r="T37" i="282"/>
  <c r="P45" i="279"/>
  <c r="L58" i="468"/>
  <c r="P61" i="275"/>
  <c r="P84" i="468"/>
  <c r="O38" i="468"/>
  <c r="V125" i="280"/>
  <c r="R108" i="275"/>
  <c r="O126" i="281"/>
  <c r="L138" i="282"/>
  <c r="V58" i="279"/>
  <c r="X74" i="286"/>
  <c r="X130" i="275"/>
  <c r="T98" i="284"/>
  <c r="M51" i="279"/>
  <c r="K133" i="281"/>
  <c r="K108" i="280"/>
  <c r="N138" i="275"/>
  <c r="T119" i="280"/>
  <c r="R38" i="468"/>
  <c r="M95" i="194"/>
  <c r="S113" i="280"/>
  <c r="R85" i="468"/>
  <c r="X137" i="283"/>
  <c r="X64" i="278"/>
  <c r="U123" i="284"/>
  <c r="W108" i="279"/>
  <c r="X32" i="275"/>
  <c r="V125" i="281"/>
  <c r="T73" i="278"/>
  <c r="S25" i="468"/>
  <c r="K7" i="282"/>
  <c r="W71" i="281"/>
  <c r="V22" i="280"/>
  <c r="K66" i="275"/>
  <c r="P69" i="279"/>
  <c r="X24" i="468"/>
  <c r="J120" i="275"/>
  <c r="L71" i="278"/>
  <c r="R33" i="282"/>
  <c r="U117" i="282"/>
  <c r="O73" i="280"/>
  <c r="N22" i="283"/>
  <c r="N127" i="278"/>
  <c r="L117" i="275"/>
  <c r="X101" i="279"/>
  <c r="U111" i="281"/>
  <c r="O43" i="282"/>
  <c r="S12" i="279"/>
  <c r="U105" i="282"/>
  <c r="R59" i="280"/>
  <c r="W52" i="279"/>
  <c r="O119" i="284"/>
  <c r="V63" i="468"/>
  <c r="X128" i="468"/>
  <c r="S60" i="282"/>
  <c r="S105" i="282"/>
  <c r="W34" i="278"/>
  <c r="N63" i="278"/>
  <c r="W110" i="280"/>
  <c r="V124" i="194"/>
  <c r="V102" i="278"/>
  <c r="V22" i="275"/>
  <c r="N95" i="284"/>
  <c r="S29" i="468"/>
  <c r="P64" i="468"/>
  <c r="R140" i="468"/>
  <c r="S101" i="275"/>
  <c r="P64" i="278"/>
  <c r="U31" i="281"/>
  <c r="R26" i="279"/>
  <c r="M75" i="284"/>
  <c r="T42" i="280"/>
  <c r="W98" i="468"/>
  <c r="V19" i="279"/>
  <c r="S140" i="282"/>
  <c r="W82" i="281"/>
  <c r="T110" i="281"/>
  <c r="K74" i="278"/>
  <c r="U133" i="280"/>
  <c r="J11" i="283"/>
  <c r="L111" i="468"/>
  <c r="J84" i="468"/>
  <c r="O102" i="281"/>
  <c r="K28" i="278"/>
  <c r="L36" i="278"/>
  <c r="K100" i="468"/>
  <c r="P36" i="282"/>
  <c r="X33" i="468"/>
  <c r="J11" i="275"/>
  <c r="N101" i="282"/>
  <c r="V124" i="282"/>
  <c r="M87" i="468"/>
  <c r="K9" i="279"/>
  <c r="V62" i="283"/>
  <c r="T106" i="280"/>
  <c r="K24" i="468"/>
  <c r="J67" i="275"/>
  <c r="S126" i="279"/>
  <c r="R14" i="280"/>
  <c r="O122" i="468"/>
  <c r="O67" i="282"/>
  <c r="W45" i="278"/>
  <c r="P35" i="284"/>
  <c r="V129" i="279"/>
  <c r="S106" i="468"/>
  <c r="N62" i="283"/>
  <c r="J32" i="280"/>
  <c r="T125" i="284"/>
  <c r="S63" i="279"/>
  <c r="S136" i="281"/>
  <c r="M133" i="468"/>
  <c r="K42" i="468"/>
  <c r="N134" i="283"/>
  <c r="P48" i="278"/>
  <c r="X99" i="279"/>
  <c r="R68" i="284"/>
  <c r="W19" i="468"/>
  <c r="R133" i="279"/>
  <c r="O132" i="468"/>
  <c r="M127" i="278"/>
  <c r="S50" i="283"/>
  <c r="J24" i="283"/>
  <c r="W38" i="275"/>
  <c r="N130" i="278"/>
  <c r="N137" i="279"/>
  <c r="K130" i="281"/>
  <c r="O43" i="279"/>
  <c r="L94" i="468"/>
  <c r="N137" i="468"/>
  <c r="J50" i="280"/>
  <c r="K130" i="279"/>
  <c r="U125" i="283"/>
  <c r="S31" i="194"/>
  <c r="O51" i="468"/>
  <c r="T27" i="468"/>
  <c r="P9" i="468"/>
  <c r="P99" i="278"/>
  <c r="W14" i="275"/>
  <c r="V30" i="468"/>
  <c r="J135" i="468"/>
  <c r="V69" i="280"/>
  <c r="L65" i="281"/>
  <c r="V43" i="281"/>
  <c r="P104" i="468"/>
  <c r="M114" i="281"/>
  <c r="K18" i="281"/>
  <c r="T140" i="275"/>
  <c r="K28" i="275"/>
  <c r="P6" i="280"/>
  <c r="N37" i="468"/>
  <c r="U134" i="283"/>
  <c r="L105" i="281"/>
  <c r="M44" i="468"/>
  <c r="W132" i="468"/>
  <c r="X53" i="278"/>
  <c r="R9" i="468"/>
  <c r="O87" i="468"/>
  <c r="V73" i="275"/>
  <c r="U99" i="279"/>
  <c r="O15" i="282"/>
  <c r="M67" i="281"/>
  <c r="X134" i="281"/>
  <c r="X8" i="280"/>
  <c r="R116" i="282"/>
  <c r="X53" i="284"/>
  <c r="V4" i="278"/>
  <c r="V112" i="278"/>
  <c r="V39" i="468"/>
  <c r="O129" i="278"/>
  <c r="L17" i="281"/>
  <c r="K19" i="468"/>
  <c r="V35" i="468"/>
  <c r="U5" i="284"/>
  <c r="R10" i="279"/>
  <c r="T37" i="278"/>
  <c r="W14" i="278"/>
  <c r="O73" i="275"/>
  <c r="N31" i="278"/>
  <c r="L101" i="282"/>
  <c r="K15" i="278"/>
  <c r="N101" i="468"/>
  <c r="R49" i="275"/>
  <c r="S100" i="279"/>
  <c r="U15" i="275"/>
  <c r="X48" i="282"/>
  <c r="J64" i="468"/>
  <c r="K8" i="281"/>
  <c r="S103" i="278"/>
  <c r="V67" i="282"/>
  <c r="V4" i="281"/>
  <c r="L30" i="283"/>
  <c r="R98" i="468"/>
  <c r="V60" i="468"/>
  <c r="T24" i="275"/>
  <c r="S58" i="275"/>
  <c r="W68" i="275"/>
  <c r="K61" i="275"/>
  <c r="T55" i="281"/>
  <c r="X8" i="281"/>
  <c r="M5" i="278"/>
  <c r="V34" i="275"/>
  <c r="T8" i="278"/>
  <c r="K16" i="468"/>
  <c r="U21" i="468"/>
  <c r="X39" i="282"/>
  <c r="T44" i="283"/>
  <c r="L15" i="283"/>
  <c r="J32" i="468"/>
  <c r="K104" i="275"/>
  <c r="P74" i="275"/>
  <c r="X24" i="278"/>
  <c r="J46" i="280"/>
  <c r="S58" i="280"/>
  <c r="O64" i="283"/>
  <c r="P32" i="283"/>
  <c r="T82" i="278"/>
  <c r="X116" i="275"/>
  <c r="K5" i="278"/>
  <c r="W5" i="275"/>
  <c r="X125" i="282"/>
  <c r="J120" i="279"/>
  <c r="R137" i="282"/>
  <c r="S16" i="278"/>
  <c r="T59" i="194"/>
  <c r="M22" i="282"/>
  <c r="X121" i="278"/>
  <c r="K135" i="279"/>
  <c r="S56" i="283"/>
  <c r="L11" i="280"/>
  <c r="R11" i="279"/>
  <c r="W9" i="282"/>
  <c r="N29" i="279"/>
  <c r="M30" i="279"/>
  <c r="S52" i="275"/>
  <c r="U95" i="284"/>
  <c r="K39" i="282"/>
  <c r="X68" i="275"/>
  <c r="W74" i="275"/>
  <c r="N8" i="278"/>
  <c r="K6" i="468"/>
  <c r="O5" i="468"/>
  <c r="V37" i="275"/>
  <c r="R27" i="281"/>
  <c r="R131" i="280"/>
  <c r="W90" i="281"/>
  <c r="X50" i="194"/>
  <c r="R105" i="468"/>
  <c r="V58" i="275"/>
  <c r="L141" i="281"/>
  <c r="P40" i="282"/>
  <c r="J19" i="468"/>
  <c r="U21" i="278"/>
  <c r="T136" i="280"/>
  <c r="S72" i="468"/>
  <c r="V116" i="278"/>
  <c r="N13" i="279"/>
  <c r="L3" i="278"/>
  <c r="U12" i="284"/>
  <c r="L104" i="284"/>
  <c r="V109" i="281"/>
  <c r="X117" i="286"/>
  <c r="J36" i="468"/>
  <c r="N30" i="279"/>
  <c r="W99" i="468"/>
  <c r="M123" i="284"/>
  <c r="T110" i="278"/>
  <c r="T29" i="278"/>
  <c r="L122" i="278"/>
  <c r="W39" i="279"/>
  <c r="N69" i="280"/>
  <c r="M140" i="281"/>
  <c r="O15" i="278"/>
  <c r="X48" i="280"/>
  <c r="V7" i="275"/>
  <c r="M35" i="275"/>
  <c r="T28" i="283"/>
  <c r="W107" i="284"/>
  <c r="K129" i="280"/>
  <c r="R50" i="468"/>
  <c r="V38" i="278"/>
  <c r="J15" i="468"/>
  <c r="J78" i="468"/>
  <c r="J51" i="278"/>
  <c r="S98" i="282"/>
  <c r="X68" i="284"/>
  <c r="X135" i="283"/>
  <c r="R18" i="284"/>
  <c r="P8" i="275"/>
  <c r="S38" i="275"/>
  <c r="X122" i="279"/>
  <c r="R78" i="194"/>
  <c r="J122" i="278"/>
  <c r="N27" i="278"/>
  <c r="M44" i="280"/>
  <c r="L35" i="278"/>
  <c r="R61" i="468"/>
  <c r="N103" i="282"/>
  <c r="N68" i="275"/>
  <c r="S30" i="283"/>
  <c r="W100" i="278"/>
  <c r="R69" i="468"/>
  <c r="J138" i="278"/>
  <c r="O5" i="281"/>
  <c r="O30" i="281"/>
  <c r="R119" i="284"/>
  <c r="P21" i="279"/>
  <c r="T28" i="468"/>
  <c r="V19" i="278"/>
  <c r="L110" i="275"/>
  <c r="U9" i="278"/>
  <c r="R24" i="278"/>
  <c r="L38" i="278"/>
  <c r="T102" i="468"/>
  <c r="R68" i="281"/>
  <c r="U33" i="284"/>
  <c r="U24" i="275"/>
  <c r="U77" i="468"/>
  <c r="J116" i="282"/>
  <c r="J135" i="275"/>
  <c r="J28" i="282"/>
  <c r="U105" i="278"/>
  <c r="O75" i="280"/>
  <c r="K36" i="468"/>
  <c r="P38" i="279"/>
  <c r="X55" i="280"/>
  <c r="P18" i="280"/>
  <c r="U101" i="279"/>
  <c r="J36" i="275"/>
  <c r="K46" i="275"/>
  <c r="O111" i="280"/>
  <c r="P5" i="468"/>
  <c r="W16" i="280"/>
  <c r="X72" i="279"/>
  <c r="N132" i="283"/>
  <c r="N54" i="282"/>
  <c r="L124" i="468"/>
  <c r="R118" i="278"/>
  <c r="J40" i="275"/>
  <c r="T135" i="275"/>
  <c r="U71" i="275"/>
  <c r="R60" i="278"/>
  <c r="W109" i="280"/>
  <c r="O102" i="275"/>
  <c r="K4" i="281"/>
  <c r="S69" i="284"/>
  <c r="N112" i="282"/>
  <c r="U117" i="284"/>
  <c r="M75" i="279"/>
  <c r="R19" i="281"/>
  <c r="T20" i="279"/>
  <c r="T94" i="279"/>
  <c r="M32" i="468"/>
  <c r="O70" i="283"/>
  <c r="S66" i="279"/>
  <c r="L68" i="280"/>
  <c r="R114" i="280"/>
  <c r="K69" i="278"/>
  <c r="X110" i="282"/>
  <c r="W41" i="278"/>
  <c r="M59" i="194"/>
  <c r="V128" i="280"/>
  <c r="W33" i="280"/>
  <c r="L41" i="468"/>
  <c r="P61" i="278"/>
  <c r="W5" i="281"/>
  <c r="S81" i="280"/>
  <c r="S127" i="281"/>
  <c r="L13" i="280"/>
  <c r="L30" i="281"/>
  <c r="L111" i="280"/>
  <c r="N43" i="279"/>
  <c r="T106" i="194"/>
  <c r="U113" i="275"/>
  <c r="J9" i="282"/>
  <c r="M7" i="280"/>
  <c r="X28" i="278"/>
  <c r="V33" i="280"/>
  <c r="M53" i="468"/>
  <c r="X42" i="468"/>
  <c r="R15" i="280"/>
  <c r="R25" i="468"/>
  <c r="N133" i="468"/>
  <c r="L126" i="278"/>
  <c r="T43" i="280"/>
  <c r="L68" i="278"/>
  <c r="U59" i="278"/>
  <c r="J5" i="275"/>
  <c r="T134" i="279"/>
  <c r="U140" i="280"/>
  <c r="R28" i="278"/>
  <c r="X100" i="286"/>
  <c r="J121" i="280"/>
  <c r="X85" i="468"/>
  <c r="S87" i="468"/>
  <c r="P111" i="282"/>
  <c r="S118" i="468"/>
  <c r="R63" i="279"/>
  <c r="T27" i="281"/>
  <c r="V68" i="275"/>
  <c r="L16" i="278"/>
  <c r="S13" i="468"/>
  <c r="K10" i="280"/>
  <c r="L60" i="282"/>
  <c r="K14" i="281"/>
  <c r="W73" i="279"/>
  <c r="K3" i="194"/>
  <c r="T102" i="280"/>
  <c r="N115" i="275"/>
  <c r="W137" i="468"/>
  <c r="W113" i="275"/>
  <c r="J28" i="468"/>
  <c r="U30" i="278"/>
  <c r="W53" i="275"/>
  <c r="X60" i="281"/>
  <c r="T114" i="278"/>
  <c r="K35" i="282"/>
  <c r="P28" i="279"/>
  <c r="K32" i="283"/>
  <c r="U63" i="284"/>
  <c r="N120" i="278"/>
  <c r="J127" i="283"/>
  <c r="L10" i="278"/>
  <c r="M59" i="279"/>
  <c r="T120" i="468"/>
  <c r="W131" i="284"/>
  <c r="R19" i="278"/>
  <c r="V115" i="279"/>
  <c r="U131" i="278"/>
  <c r="W43" i="278"/>
  <c r="V21" i="279"/>
  <c r="P126" i="468"/>
  <c r="O70" i="282"/>
  <c r="M46" i="281"/>
  <c r="P116" i="275"/>
  <c r="T59" i="284"/>
  <c r="X60" i="278"/>
  <c r="L97" i="468"/>
  <c r="J8" i="280"/>
  <c r="K117" i="282"/>
  <c r="L93" i="468"/>
  <c r="K42" i="275"/>
  <c r="W134" i="275"/>
  <c r="J111" i="278"/>
  <c r="V17" i="275"/>
  <c r="U27" i="468"/>
  <c r="U67" i="275"/>
  <c r="O35" i="280"/>
  <c r="N62" i="282"/>
  <c r="K60" i="279"/>
  <c r="W114" i="280"/>
  <c r="L113" i="281"/>
  <c r="W140" i="468"/>
  <c r="M59" i="280"/>
  <c r="U129" i="275"/>
  <c r="V20" i="281"/>
  <c r="O64" i="280"/>
  <c r="K94" i="468"/>
  <c r="N16" i="278"/>
  <c r="S111" i="194"/>
  <c r="M69" i="275"/>
  <c r="S118" i="278"/>
  <c r="N116" i="284"/>
  <c r="L136" i="281"/>
  <c r="W84" i="281"/>
  <c r="L72" i="279"/>
  <c r="T60" i="283"/>
  <c r="R68" i="278"/>
  <c r="U31" i="280"/>
  <c r="L45" i="275"/>
  <c r="M14" i="282"/>
  <c r="S99" i="283"/>
  <c r="X30" i="280"/>
  <c r="J3" i="282"/>
  <c r="J108" i="279"/>
  <c r="R5" i="278"/>
  <c r="N3" i="279"/>
  <c r="N23" i="275"/>
  <c r="W130" i="282"/>
  <c r="J42" i="280"/>
  <c r="R7" i="280"/>
  <c r="S102" i="283"/>
  <c r="L106" i="282"/>
  <c r="P49" i="282"/>
  <c r="L87" i="280"/>
  <c r="V103" i="284"/>
  <c r="K71" i="468"/>
  <c r="N29" i="275"/>
  <c r="T109" i="279"/>
  <c r="S123" i="280"/>
  <c r="M83" i="468"/>
  <c r="M44" i="283"/>
  <c r="T104" i="278"/>
  <c r="U111" i="279"/>
  <c r="J123" i="283"/>
  <c r="M67" i="283"/>
  <c r="P112" i="284"/>
  <c r="L73" i="278"/>
  <c r="L117" i="282"/>
  <c r="L18" i="284"/>
  <c r="O23" i="284"/>
  <c r="V136" i="282"/>
  <c r="M32" i="279"/>
  <c r="V32" i="275"/>
  <c r="W129" i="281"/>
  <c r="R138" i="283"/>
  <c r="X64" i="284"/>
  <c r="N6" i="279"/>
  <c r="S15" i="280"/>
  <c r="J50" i="279"/>
  <c r="N88" i="468"/>
  <c r="S20" i="280"/>
  <c r="N39" i="278"/>
  <c r="M32" i="282"/>
  <c r="P136" i="278"/>
  <c r="M74" i="282"/>
  <c r="V19" i="280"/>
  <c r="L140" i="468"/>
  <c r="O86" i="468"/>
  <c r="S131" i="283"/>
  <c r="K69" i="275"/>
  <c r="O93" i="194"/>
  <c r="M18" i="279"/>
  <c r="S99" i="281"/>
  <c r="P16" i="275"/>
  <c r="L4" i="279"/>
  <c r="O23" i="278"/>
  <c r="K112" i="275"/>
  <c r="S88" i="194"/>
  <c r="K62" i="275"/>
  <c r="T24" i="283"/>
  <c r="K81" i="468"/>
  <c r="U20" i="278"/>
  <c r="O71" i="280"/>
  <c r="J110" i="275"/>
  <c r="T39" i="284"/>
  <c r="U100" i="279"/>
  <c r="P60" i="468"/>
  <c r="W101" i="278"/>
  <c r="J26" i="278"/>
  <c r="S111" i="278"/>
  <c r="V130" i="275"/>
  <c r="K76" i="280"/>
  <c r="J125" i="468"/>
  <c r="O100" i="284"/>
  <c r="N43" i="281"/>
  <c r="U41" i="280"/>
  <c r="W61" i="280"/>
  <c r="X120" i="278"/>
  <c r="L27" i="468"/>
  <c r="P102" i="279"/>
  <c r="S55" i="282"/>
  <c r="N111" i="468"/>
  <c r="T80" i="468"/>
  <c r="V103" i="275"/>
  <c r="R35" i="278"/>
  <c r="R65" i="275"/>
  <c r="O10" i="278"/>
  <c r="R13" i="281"/>
  <c r="M100" i="282"/>
  <c r="O19" i="283"/>
  <c r="O109" i="282"/>
  <c r="O41" i="282"/>
  <c r="K13" i="283"/>
  <c r="T88" i="468"/>
  <c r="X129" i="278"/>
  <c r="V127" i="280"/>
  <c r="K136" i="468"/>
  <c r="J126" i="468"/>
  <c r="T139" i="284"/>
  <c r="L47" i="468"/>
  <c r="X21" i="283"/>
  <c r="R65" i="280"/>
  <c r="N14" i="278"/>
  <c r="L81" i="283"/>
  <c r="K130" i="284"/>
  <c r="N89" i="282"/>
  <c r="J52" i="282"/>
  <c r="X32" i="468"/>
  <c r="R46" i="279"/>
  <c r="W74" i="281"/>
  <c r="O90" i="194"/>
  <c r="O35" i="278"/>
  <c r="P124" i="275"/>
  <c r="U59" i="468"/>
  <c r="O140" i="280"/>
  <c r="M121" i="282"/>
  <c r="X134" i="280"/>
  <c r="N136" i="282"/>
  <c r="S26" i="275"/>
  <c r="M107" i="283"/>
  <c r="P96" i="468"/>
  <c r="N24" i="278"/>
  <c r="L112" i="280"/>
  <c r="L45" i="283"/>
  <c r="N6" i="194"/>
  <c r="O102" i="279"/>
  <c r="P14" i="468"/>
  <c r="N140" i="278"/>
  <c r="P132" i="283"/>
  <c r="X52" i="468"/>
  <c r="R121" i="284"/>
  <c r="S62" i="283"/>
  <c r="J34" i="282"/>
  <c r="L132" i="281"/>
  <c r="T11" i="280"/>
  <c r="X68" i="283"/>
  <c r="M116" i="281"/>
  <c r="R36" i="468"/>
  <c r="R101" i="281"/>
  <c r="K102" i="279"/>
  <c r="W112" i="275"/>
  <c r="O105" i="278"/>
  <c r="S21" i="275"/>
  <c r="U16" i="279"/>
  <c r="P75" i="468"/>
  <c r="T61" i="282"/>
  <c r="M60" i="283"/>
  <c r="K64" i="281"/>
  <c r="T39" i="281"/>
  <c r="M126" i="278"/>
  <c r="T25" i="283"/>
  <c r="N130" i="282"/>
  <c r="S28" i="280"/>
  <c r="R113" i="282"/>
  <c r="V133" i="284"/>
  <c r="N133" i="281"/>
  <c r="N109" i="282"/>
  <c r="T19" i="279"/>
  <c r="X60" i="286"/>
  <c r="X139" i="278"/>
  <c r="L64" i="468"/>
  <c r="S133" i="278"/>
  <c r="J92" i="468"/>
  <c r="N78" i="280"/>
  <c r="N10" i="468"/>
  <c r="P43" i="282"/>
  <c r="T14" i="280"/>
  <c r="P31" i="275"/>
  <c r="U60" i="278"/>
  <c r="V30" i="278"/>
  <c r="K100" i="281"/>
  <c r="P63" i="283"/>
  <c r="M36" i="275"/>
  <c r="J131" i="280"/>
  <c r="T60" i="275"/>
  <c r="U131" i="282"/>
  <c r="X106" i="468"/>
  <c r="W67" i="283"/>
  <c r="W73" i="275"/>
  <c r="L17" i="468"/>
  <c r="P135" i="283"/>
  <c r="W122" i="278"/>
  <c r="P22" i="280"/>
  <c r="W44" i="280"/>
  <c r="T38" i="279"/>
  <c r="S102" i="275"/>
  <c r="O121" i="275"/>
  <c r="R104" i="275"/>
  <c r="V43" i="278"/>
  <c r="T27" i="275"/>
  <c r="U107" i="279"/>
  <c r="M112" i="468"/>
  <c r="P14" i="282"/>
  <c r="K15" i="280"/>
  <c r="R112" i="279"/>
  <c r="O29" i="278"/>
  <c r="W117" i="282"/>
  <c r="W64" i="275"/>
  <c r="R120" i="275"/>
  <c r="X34" i="283"/>
  <c r="R42" i="282"/>
  <c r="W3" i="278"/>
  <c r="P126" i="278"/>
  <c r="U122" i="279"/>
  <c r="U19" i="275"/>
  <c r="S6" i="281"/>
  <c r="O105" i="468"/>
  <c r="S27" i="275"/>
  <c r="P39" i="275"/>
  <c r="M113" i="279"/>
  <c r="W16" i="468"/>
  <c r="L131" i="283"/>
  <c r="L39" i="280"/>
  <c r="S69" i="468"/>
  <c r="W62" i="468"/>
  <c r="J14" i="278"/>
  <c r="R132" i="280"/>
  <c r="L120" i="275"/>
  <c r="O19" i="275"/>
  <c r="S54" i="281"/>
  <c r="V60" i="283"/>
  <c r="N17" i="278"/>
  <c r="R119" i="280"/>
  <c r="U117" i="278"/>
  <c r="N29" i="278"/>
  <c r="X26" i="278"/>
  <c r="V95" i="468"/>
  <c r="J136" i="280"/>
  <c r="S47" i="468"/>
  <c r="U114" i="194"/>
  <c r="L87" i="468"/>
  <c r="W34" i="284"/>
  <c r="N32" i="284"/>
  <c r="L53" i="284"/>
  <c r="P135" i="275"/>
  <c r="V137" i="284"/>
  <c r="W71" i="278"/>
  <c r="V106" i="279"/>
  <c r="S45" i="468"/>
  <c r="P7" i="275"/>
  <c r="K132" i="278"/>
  <c r="P137" i="283"/>
  <c r="P65" i="278"/>
  <c r="R80" i="282"/>
  <c r="J15" i="284"/>
  <c r="U14" i="468"/>
  <c r="L24" i="275"/>
  <c r="R115" i="282"/>
  <c r="O18" i="278"/>
  <c r="T67" i="279"/>
  <c r="M3" i="470"/>
  <c r="T65" i="468"/>
  <c r="P43" i="468"/>
  <c r="J54" i="280"/>
  <c r="V105" i="282"/>
  <c r="N97" i="468"/>
  <c r="P80" i="468"/>
  <c r="K49" i="282"/>
  <c r="V112" i="281"/>
  <c r="S51" i="278"/>
  <c r="T16" i="282"/>
  <c r="X88" i="286"/>
  <c r="U35" i="278"/>
  <c r="X71" i="286"/>
  <c r="M34" i="284"/>
  <c r="N140" i="275"/>
  <c r="M106" i="278"/>
  <c r="X109" i="282"/>
  <c r="R123" i="278"/>
  <c r="O102" i="278"/>
  <c r="X61" i="281"/>
  <c r="M25" i="283"/>
  <c r="K103" i="279"/>
  <c r="X125" i="281"/>
  <c r="U43" i="282"/>
  <c r="P32" i="275"/>
  <c r="P108" i="279"/>
  <c r="V46" i="275"/>
  <c r="K17" i="282"/>
  <c r="S11" i="468"/>
  <c r="N110" i="280"/>
  <c r="R37" i="468"/>
  <c r="W59" i="282"/>
  <c r="N131" i="279"/>
  <c r="S101" i="280"/>
  <c r="P42" i="283"/>
  <c r="N29" i="284"/>
  <c r="S9" i="279"/>
  <c r="M126" i="282"/>
  <c r="O34" i="280"/>
  <c r="N5" i="283"/>
  <c r="W102" i="278"/>
  <c r="L29" i="282"/>
  <c r="K62" i="281"/>
  <c r="V45" i="279"/>
  <c r="S23" i="275"/>
  <c r="K37" i="280"/>
  <c r="X140" i="280"/>
  <c r="L130" i="281"/>
  <c r="T18" i="194"/>
  <c r="T106" i="468"/>
  <c r="V120" i="275"/>
  <c r="X44" i="283"/>
  <c r="L119" i="278"/>
  <c r="S32" i="278"/>
  <c r="P11" i="278"/>
  <c r="U111" i="278"/>
  <c r="S128" i="282"/>
  <c r="N104" i="279"/>
  <c r="N5" i="282"/>
  <c r="N109" i="275"/>
  <c r="L46" i="281"/>
  <c r="V68" i="468"/>
  <c r="P123" i="279"/>
  <c r="K99" i="279"/>
  <c r="X109" i="283"/>
  <c r="R64" i="275"/>
  <c r="V101" i="468"/>
  <c r="S100" i="280"/>
  <c r="M123" i="281"/>
  <c r="J116" i="275"/>
  <c r="K75" i="275"/>
  <c r="U31" i="275"/>
  <c r="X90" i="284"/>
  <c r="W34" i="283"/>
  <c r="R5" i="282"/>
  <c r="V18" i="279"/>
  <c r="X14" i="275"/>
  <c r="K72" i="275"/>
  <c r="U106" i="275"/>
  <c r="O31" i="275"/>
  <c r="S72" i="279"/>
  <c r="R10" i="278"/>
  <c r="X17" i="279"/>
  <c r="M105" i="468"/>
  <c r="R6" i="468"/>
  <c r="M16" i="282"/>
  <c r="L71" i="283"/>
  <c r="V98" i="468"/>
  <c r="S35" i="280"/>
  <c r="N135" i="278"/>
  <c r="N119" i="278"/>
  <c r="L50" i="278"/>
  <c r="X43" i="468"/>
  <c r="N3" i="283"/>
  <c r="U33" i="275"/>
  <c r="T48" i="468"/>
  <c r="J40" i="279"/>
  <c r="T6" i="278"/>
  <c r="U119" i="282"/>
  <c r="S59" i="279"/>
  <c r="U82" i="275"/>
  <c r="P110" i="468"/>
  <c r="U34" i="278"/>
  <c r="L107" i="283"/>
  <c r="V99" i="279"/>
  <c r="K108" i="282"/>
  <c r="N67" i="275"/>
  <c r="O136" i="281"/>
  <c r="T28" i="275"/>
  <c r="V101" i="284"/>
  <c r="S64" i="281"/>
  <c r="O104" i="279"/>
  <c r="P15" i="282"/>
  <c r="U112" i="280"/>
  <c r="W71" i="283"/>
  <c r="T40" i="282"/>
  <c r="X61" i="278"/>
  <c r="T123" i="275"/>
  <c r="R119" i="278"/>
  <c r="J40" i="278"/>
  <c r="K4" i="279"/>
  <c r="P103" i="284"/>
  <c r="X15" i="280"/>
  <c r="K20" i="280"/>
  <c r="T51" i="278"/>
  <c r="R118" i="468"/>
  <c r="R42" i="280"/>
  <c r="R139" i="468"/>
  <c r="S75" i="283"/>
  <c r="N18" i="468"/>
  <c r="X113" i="286"/>
  <c r="R3" i="468"/>
  <c r="P15" i="284"/>
  <c r="P135" i="280"/>
  <c r="V9" i="279"/>
  <c r="P113" i="280"/>
  <c r="P60" i="282"/>
  <c r="J31" i="468"/>
  <c r="M5" i="280"/>
  <c r="W75" i="275"/>
  <c r="M110" i="283"/>
  <c r="K122" i="282"/>
  <c r="M71" i="279"/>
  <c r="S115" i="280"/>
  <c r="W107" i="468"/>
  <c r="R136" i="275"/>
  <c r="W32" i="468"/>
  <c r="S18" i="283"/>
  <c r="T135" i="282"/>
  <c r="N71" i="278"/>
  <c r="J54" i="275"/>
  <c r="L52" i="279"/>
  <c r="W44" i="279"/>
  <c r="J55" i="281"/>
  <c r="U12" i="278"/>
  <c r="M59" i="282"/>
  <c r="S61" i="275"/>
  <c r="V119" i="275"/>
  <c r="N103" i="194"/>
  <c r="R88" i="468"/>
  <c r="M25" i="282"/>
  <c r="S33" i="468"/>
  <c r="U126" i="275"/>
  <c r="M35" i="468"/>
  <c r="T41" i="283"/>
  <c r="T59" i="278"/>
  <c r="O130" i="468"/>
  <c r="M10" i="279"/>
  <c r="N4" i="282"/>
  <c r="W24" i="468"/>
  <c r="M107" i="281"/>
  <c r="T111" i="282"/>
  <c r="W35" i="280"/>
  <c r="K11" i="281"/>
  <c r="S40" i="279"/>
  <c r="O52" i="275"/>
  <c r="V132" i="280"/>
  <c r="X15" i="283"/>
  <c r="L105" i="280"/>
  <c r="V44" i="278"/>
  <c r="S6" i="283"/>
  <c r="J5" i="283"/>
  <c r="M17" i="275"/>
  <c r="N68" i="282"/>
  <c r="S21" i="278"/>
  <c r="N60" i="280"/>
  <c r="W42" i="280"/>
  <c r="K50" i="280"/>
  <c r="X24" i="282"/>
  <c r="V118" i="275"/>
  <c r="J74" i="279"/>
  <c r="P13" i="282"/>
  <c r="M23" i="278"/>
  <c r="L102" i="275"/>
  <c r="V134" i="281"/>
  <c r="T53" i="275"/>
  <c r="V8" i="278"/>
  <c r="K75" i="279"/>
  <c r="S25" i="283"/>
  <c r="T67" i="275"/>
  <c r="S82" i="278"/>
  <c r="L3" i="468"/>
  <c r="K125" i="282"/>
  <c r="S43" i="279"/>
  <c r="X64" i="279"/>
  <c r="P135" i="281"/>
  <c r="M90" i="275"/>
  <c r="J30" i="281"/>
  <c r="T121" i="275"/>
  <c r="N80" i="468"/>
  <c r="S119" i="278"/>
  <c r="M71" i="281"/>
  <c r="T121" i="278"/>
  <c r="S51" i="275"/>
  <c r="L64" i="278"/>
  <c r="J108" i="283"/>
  <c r="N52" i="468"/>
  <c r="T47" i="468"/>
  <c r="K61" i="468"/>
  <c r="T122" i="278"/>
  <c r="K41" i="278"/>
  <c r="K30" i="275"/>
  <c r="T127" i="282"/>
  <c r="P112" i="280"/>
  <c r="S31" i="279"/>
  <c r="N140" i="280"/>
  <c r="T52" i="280"/>
  <c r="K113" i="275"/>
  <c r="S30" i="284"/>
  <c r="V96" i="275"/>
  <c r="R38" i="279"/>
  <c r="V35" i="275"/>
  <c r="K71" i="278"/>
  <c r="L14" i="278"/>
  <c r="M43" i="279"/>
  <c r="T117" i="468"/>
  <c r="K113" i="283"/>
  <c r="X9" i="275"/>
  <c r="T129" i="281"/>
  <c r="X14" i="286"/>
  <c r="R113" i="278"/>
  <c r="W91" i="468"/>
  <c r="M51" i="278"/>
  <c r="W135" i="280"/>
  <c r="L135" i="280"/>
  <c r="W105" i="284"/>
  <c r="T107" i="468"/>
  <c r="P73" i="282"/>
  <c r="L122" i="468"/>
  <c r="U132" i="278"/>
  <c r="K114" i="281"/>
  <c r="J54" i="278"/>
  <c r="K51" i="281"/>
  <c r="U68" i="280"/>
  <c r="R127" i="468"/>
  <c r="M116" i="279"/>
  <c r="O58" i="275"/>
  <c r="U72" i="282"/>
  <c r="S37" i="278"/>
  <c r="X71" i="281"/>
  <c r="X6" i="278"/>
  <c r="O11" i="468"/>
  <c r="T63" i="283"/>
  <c r="K11" i="278"/>
  <c r="L107" i="284"/>
  <c r="P15" i="279"/>
  <c r="K114" i="275"/>
  <c r="L35" i="282"/>
  <c r="P72" i="280"/>
  <c r="U80" i="468"/>
  <c r="O103" i="278"/>
  <c r="U38" i="275"/>
  <c r="N112" i="280"/>
  <c r="X126" i="278"/>
  <c r="O42" i="283"/>
  <c r="W117" i="194"/>
  <c r="L35" i="280"/>
  <c r="O13" i="278"/>
  <c r="V40" i="279"/>
  <c r="V24" i="278"/>
  <c r="V48" i="283"/>
  <c r="R24" i="279"/>
  <c r="L98" i="283"/>
  <c r="N84" i="468"/>
  <c r="L135" i="279"/>
  <c r="J65" i="278"/>
  <c r="O62" i="275"/>
  <c r="J21" i="281"/>
  <c r="S43" i="278"/>
  <c r="T131" i="275"/>
  <c r="O8" i="468"/>
  <c r="V28" i="283"/>
  <c r="O37" i="281"/>
  <c r="P25" i="279"/>
  <c r="M9" i="281"/>
  <c r="N8" i="468"/>
  <c r="M120" i="278"/>
  <c r="O125" i="278"/>
  <c r="K30" i="278"/>
  <c r="M27" i="281"/>
  <c r="J36" i="194"/>
  <c r="R51" i="468"/>
  <c r="X58" i="282"/>
  <c r="L92" i="468"/>
  <c r="X13" i="278"/>
  <c r="X53" i="280"/>
  <c r="M12" i="281"/>
  <c r="T64" i="279"/>
  <c r="U136" i="279"/>
  <c r="L51" i="468"/>
  <c r="R17" i="275"/>
  <c r="U96" i="468"/>
  <c r="O44" i="282"/>
  <c r="W112" i="279"/>
  <c r="U141" i="281"/>
  <c r="T74" i="275"/>
  <c r="W122" i="283"/>
  <c r="U26" i="468"/>
  <c r="U39" i="280"/>
  <c r="X108" i="286"/>
  <c r="R22" i="282"/>
  <c r="J109" i="275"/>
  <c r="N49" i="284"/>
  <c r="V88" i="278"/>
  <c r="X102" i="468"/>
  <c r="O68" i="278"/>
  <c r="W133" i="279"/>
  <c r="R67" i="280"/>
  <c r="W11" i="279"/>
  <c r="O95" i="280"/>
  <c r="X58" i="278"/>
  <c r="J26" i="280"/>
  <c r="O106" i="280"/>
  <c r="S65" i="278"/>
  <c r="J4" i="281"/>
  <c r="L53" i="278"/>
  <c r="R21" i="279"/>
  <c r="X111" i="275"/>
  <c r="M139" i="284"/>
  <c r="T22" i="281"/>
  <c r="O125" i="280"/>
  <c r="R130" i="281"/>
  <c r="V107" i="278"/>
  <c r="L72" i="275"/>
  <c r="M133" i="284"/>
  <c r="O98" i="275"/>
  <c r="J13" i="194"/>
  <c r="L41" i="275"/>
  <c r="K129" i="282"/>
  <c r="N19" i="279"/>
  <c r="N54" i="275"/>
  <c r="O95" i="468"/>
  <c r="J114" i="275"/>
  <c r="N75" i="278"/>
  <c r="O136" i="282"/>
  <c r="U134" i="280"/>
  <c r="O19" i="279"/>
  <c r="P64" i="281"/>
  <c r="W104" i="278"/>
  <c r="N138" i="279"/>
  <c r="M45" i="468"/>
  <c r="K41" i="468"/>
  <c r="U3" i="278"/>
  <c r="X31" i="283"/>
  <c r="J106" i="468"/>
  <c r="K20" i="278"/>
  <c r="X49" i="286"/>
  <c r="X19" i="279"/>
  <c r="J139" i="468"/>
  <c r="K107" i="275"/>
  <c r="K67" i="278"/>
  <c r="T126" i="281"/>
  <c r="T32" i="279"/>
  <c r="N11" i="275"/>
  <c r="N139" i="275"/>
  <c r="R55" i="284"/>
  <c r="S121" i="468"/>
  <c r="M98" i="280"/>
  <c r="P27" i="279"/>
  <c r="S48" i="279"/>
  <c r="K136" i="275"/>
  <c r="P26" i="280"/>
  <c r="N53" i="468"/>
  <c r="X67" i="283"/>
  <c r="X138" i="282"/>
  <c r="M38" i="284"/>
  <c r="S98" i="278"/>
  <c r="S36" i="278"/>
  <c r="J139" i="280"/>
  <c r="O63" i="283"/>
  <c r="M109" i="284"/>
  <c r="P42" i="468"/>
  <c r="J63" i="278"/>
  <c r="J21" i="282"/>
  <c r="L125" i="281"/>
  <c r="T141" i="281"/>
  <c r="O134" i="280"/>
  <c r="X41" i="286"/>
  <c r="P71" i="279"/>
  <c r="T112" i="282"/>
  <c r="X102" i="280"/>
  <c r="L3" i="279"/>
  <c r="T67" i="283"/>
  <c r="V40" i="468"/>
  <c r="P62" i="280"/>
  <c r="M27" i="280"/>
  <c r="O27" i="468"/>
  <c r="U78" i="468"/>
  <c r="X69" i="281"/>
  <c r="V57" i="284"/>
  <c r="O19" i="468"/>
  <c r="O104" i="468"/>
  <c r="X111" i="278"/>
  <c r="X48" i="286"/>
  <c r="O113" i="278"/>
  <c r="U3" i="286"/>
  <c r="T36" i="281"/>
  <c r="U53" i="284"/>
  <c r="S115" i="468"/>
  <c r="R35" i="280"/>
  <c r="W46" i="275"/>
  <c r="M65" i="280"/>
  <c r="M31" i="468"/>
  <c r="N31" i="284"/>
  <c r="N113" i="279"/>
  <c r="S50" i="468"/>
  <c r="X13" i="280"/>
  <c r="U106" i="468"/>
  <c r="N10" i="275"/>
  <c r="X40" i="283"/>
  <c r="W110" i="275"/>
  <c r="M134" i="281"/>
  <c r="X110" i="468"/>
  <c r="R107" i="468"/>
  <c r="V135" i="468"/>
  <c r="J136" i="279"/>
  <c r="T11" i="281"/>
  <c r="P72" i="283"/>
  <c r="K76" i="284"/>
  <c r="M66" i="279"/>
  <c r="K62" i="283"/>
  <c r="S50" i="279"/>
  <c r="J67" i="280"/>
  <c r="N46" i="279"/>
  <c r="M62" i="280"/>
  <c r="N3" i="286"/>
  <c r="O74" i="283"/>
  <c r="R123" i="281"/>
  <c r="J38" i="284"/>
  <c r="L17" i="275"/>
  <c r="L37" i="278"/>
  <c r="N44" i="194"/>
  <c r="T62" i="468"/>
  <c r="U31" i="278"/>
  <c r="O3" i="286"/>
  <c r="R123" i="275"/>
  <c r="U40" i="284"/>
  <c r="N30" i="275"/>
  <c r="O62" i="279"/>
  <c r="K68" i="279"/>
  <c r="X39" i="194"/>
  <c r="U45" i="275"/>
  <c r="P39" i="279"/>
  <c r="S15" i="283"/>
  <c r="T46" i="279"/>
  <c r="X55" i="283"/>
  <c r="N109" i="468"/>
  <c r="T120" i="275"/>
  <c r="S77" i="283"/>
  <c r="P120" i="279"/>
  <c r="T40" i="278"/>
  <c r="V123" i="468"/>
  <c r="O107" i="279"/>
  <c r="P123" i="278"/>
  <c r="W4" i="279"/>
  <c r="T5" i="279"/>
  <c r="V43" i="275"/>
  <c r="X68" i="282"/>
  <c r="N88" i="282"/>
  <c r="R9" i="280"/>
  <c r="K36" i="280"/>
  <c r="N70" i="275"/>
  <c r="U120" i="275"/>
  <c r="J126" i="284"/>
  <c r="L52" i="280"/>
  <c r="P131" i="282"/>
  <c r="P61" i="283"/>
  <c r="L111" i="275"/>
  <c r="J12" i="279"/>
  <c r="P59" i="468"/>
  <c r="T41" i="282"/>
  <c r="J66" i="468"/>
  <c r="U16" i="275"/>
  <c r="T21" i="284"/>
  <c r="L106" i="280"/>
  <c r="K33" i="279"/>
  <c r="P72" i="279"/>
  <c r="M7" i="281"/>
  <c r="U97" i="284"/>
  <c r="J116" i="283"/>
  <c r="P63" i="280"/>
  <c r="W101" i="280"/>
  <c r="J115" i="280"/>
  <c r="P99" i="275"/>
  <c r="U128" i="468"/>
  <c r="P40" i="280"/>
  <c r="T39" i="282"/>
  <c r="W23" i="279"/>
  <c r="X124" i="278"/>
  <c r="O23" i="468"/>
  <c r="P3" i="286"/>
  <c r="X76" i="194"/>
  <c r="M28" i="284"/>
  <c r="M100" i="275"/>
  <c r="P40" i="283"/>
  <c r="K42" i="278"/>
  <c r="X18" i="279"/>
  <c r="W51" i="468"/>
  <c r="R3" i="275"/>
  <c r="R125" i="281"/>
  <c r="R18" i="278"/>
  <c r="N7" i="280"/>
  <c r="U13" i="281"/>
  <c r="X66" i="286"/>
  <c r="X45" i="286"/>
  <c r="R59" i="468"/>
  <c r="X104" i="468"/>
  <c r="X120" i="281"/>
  <c r="P39" i="281"/>
  <c r="U66" i="281"/>
  <c r="P61" i="280"/>
  <c r="S30" i="194"/>
  <c r="L110" i="280"/>
  <c r="P100" i="279"/>
  <c r="M129" i="278"/>
  <c r="W55" i="278"/>
  <c r="V27" i="283"/>
  <c r="V9" i="282"/>
  <c r="X107" i="468"/>
  <c r="X140" i="281"/>
  <c r="O23" i="280"/>
  <c r="M73" i="281"/>
  <c r="X111" i="194"/>
  <c r="W116" i="468"/>
  <c r="K59" i="282"/>
  <c r="K131" i="284"/>
  <c r="K110" i="275"/>
  <c r="P54" i="275"/>
  <c r="U124" i="279"/>
  <c r="N119" i="282"/>
  <c r="S11" i="284"/>
  <c r="U3" i="194"/>
  <c r="N82" i="468"/>
  <c r="W120" i="468"/>
  <c r="R54" i="283"/>
  <c r="K64" i="278"/>
  <c r="R27" i="278"/>
  <c r="L69" i="278"/>
  <c r="L108" i="279"/>
  <c r="U42" i="281"/>
  <c r="T74" i="468"/>
  <c r="T105" i="281"/>
  <c r="P60" i="278"/>
  <c r="L118" i="468"/>
  <c r="O133" i="194"/>
  <c r="P14" i="279"/>
  <c r="N89" i="468"/>
  <c r="L63" i="281"/>
  <c r="P75" i="275"/>
  <c r="N101" i="283"/>
  <c r="M3" i="286"/>
  <c r="S107" i="281"/>
  <c r="L112" i="284"/>
  <c r="O25" i="281"/>
  <c r="T61" i="278"/>
  <c r="U19" i="278"/>
  <c r="U61" i="282"/>
  <c r="N110" i="279"/>
  <c r="N105" i="284"/>
  <c r="W18" i="280"/>
  <c r="L139" i="282"/>
  <c r="O84" i="468"/>
  <c r="L24" i="278"/>
  <c r="W25" i="281"/>
  <c r="J131" i="278"/>
  <c r="T58" i="280"/>
  <c r="L113" i="282"/>
  <c r="L7" i="279"/>
  <c r="P28" i="281"/>
  <c r="U137" i="468"/>
  <c r="W70" i="468"/>
  <c r="W8" i="275"/>
  <c r="S115" i="275"/>
  <c r="K113" i="281"/>
  <c r="X132" i="279"/>
  <c r="U11" i="284"/>
  <c r="V59" i="278"/>
  <c r="K131" i="278"/>
  <c r="T21" i="282"/>
  <c r="U37" i="278"/>
  <c r="V90" i="282"/>
  <c r="M10" i="275"/>
  <c r="N106" i="468"/>
  <c r="L39" i="275"/>
  <c r="L139" i="275"/>
  <c r="V34" i="281"/>
  <c r="M5" i="282"/>
  <c r="J128" i="280"/>
  <c r="P130" i="278"/>
  <c r="P5" i="275"/>
  <c r="O51" i="281"/>
  <c r="M115" i="279"/>
  <c r="S57" i="283"/>
  <c r="W68" i="279"/>
  <c r="O123" i="282"/>
  <c r="J114" i="281"/>
  <c r="J16" i="275"/>
  <c r="V134" i="280"/>
  <c r="X17" i="286"/>
  <c r="V138" i="284"/>
  <c r="X70" i="278"/>
  <c r="T19" i="281"/>
  <c r="R100" i="278"/>
  <c r="L68" i="283"/>
  <c r="P108" i="468"/>
  <c r="X46" i="286"/>
  <c r="R122" i="280"/>
  <c r="O108" i="281"/>
  <c r="P102" i="278"/>
  <c r="X128" i="278"/>
  <c r="L15" i="468"/>
  <c r="M98" i="275"/>
  <c r="X97" i="286"/>
  <c r="L139" i="468"/>
  <c r="X35" i="282"/>
  <c r="M118" i="468"/>
  <c r="K96" i="468"/>
  <c r="J55" i="284"/>
  <c r="M123" i="280"/>
  <c r="N127" i="275"/>
  <c r="J132" i="468"/>
  <c r="S43" i="282"/>
  <c r="R111" i="280"/>
  <c r="T123" i="468"/>
  <c r="N138" i="280"/>
  <c r="R15" i="275"/>
  <c r="L8" i="279"/>
  <c r="X77" i="468"/>
  <c r="R62" i="279"/>
  <c r="P22" i="275"/>
  <c r="O24" i="275"/>
  <c r="V27" i="468"/>
  <c r="L60" i="280"/>
  <c r="N105" i="278"/>
  <c r="V136" i="280"/>
  <c r="V128" i="468"/>
  <c r="T22" i="279"/>
  <c r="X80" i="468"/>
  <c r="L23" i="275"/>
  <c r="J39" i="282"/>
  <c r="T103" i="283"/>
  <c r="M78" i="275"/>
  <c r="V107" i="275"/>
  <c r="X70" i="279"/>
  <c r="J16" i="279"/>
  <c r="K98" i="275"/>
  <c r="P31" i="284"/>
  <c r="V44" i="282"/>
  <c r="V12" i="280"/>
  <c r="T120" i="282"/>
  <c r="W60" i="280"/>
  <c r="L50" i="275"/>
  <c r="L41" i="194"/>
  <c r="L30" i="279"/>
  <c r="V136" i="284"/>
  <c r="V135" i="278"/>
  <c r="L4" i="281"/>
  <c r="S62" i="279"/>
  <c r="U70" i="468"/>
  <c r="N112" i="275"/>
  <c r="T132" i="282"/>
  <c r="P30" i="281"/>
  <c r="M11" i="275"/>
  <c r="V134" i="284"/>
  <c r="S135" i="282"/>
  <c r="M59" i="278"/>
  <c r="M128" i="278"/>
  <c r="U6" i="280"/>
  <c r="W42" i="275"/>
  <c r="J108" i="278"/>
  <c r="O20" i="283"/>
  <c r="V129" i="278"/>
  <c r="P94" i="468"/>
  <c r="K5" i="275"/>
  <c r="U129" i="283"/>
  <c r="K66" i="281"/>
  <c r="K21" i="284"/>
  <c r="K125" i="468"/>
  <c r="M33" i="278"/>
  <c r="K106" i="279"/>
  <c r="K101" i="278"/>
  <c r="V110" i="284"/>
  <c r="P60" i="279"/>
  <c r="J136" i="468"/>
  <c r="X29" i="278"/>
  <c r="K122" i="281"/>
  <c r="K28" i="468"/>
  <c r="V99" i="275"/>
  <c r="S20" i="468"/>
  <c r="X3" i="286"/>
  <c r="X12" i="284"/>
  <c r="W4" i="284"/>
  <c r="K101" i="279"/>
  <c r="X43" i="281"/>
  <c r="V112" i="468"/>
  <c r="O130" i="279"/>
  <c r="S33" i="279"/>
  <c r="V66" i="279"/>
  <c r="S49" i="194"/>
  <c r="W71" i="280"/>
  <c r="K17" i="278"/>
  <c r="N27" i="282"/>
  <c r="K135" i="275"/>
  <c r="S76" i="468"/>
  <c r="S26" i="279"/>
  <c r="U10" i="275"/>
  <c r="N29" i="468"/>
  <c r="V3" i="194"/>
  <c r="K9" i="280"/>
  <c r="O67" i="284"/>
  <c r="P55" i="194"/>
  <c r="T119" i="279"/>
  <c r="M21" i="468"/>
  <c r="O70" i="468"/>
  <c r="L74" i="281"/>
  <c r="O81" i="279"/>
  <c r="J109" i="280"/>
  <c r="M35" i="283"/>
  <c r="X138" i="275"/>
  <c r="T111" i="468"/>
  <c r="T69" i="282"/>
  <c r="R45" i="275"/>
  <c r="V49" i="280"/>
  <c r="R117" i="280"/>
  <c r="J3" i="286"/>
  <c r="M20" i="468"/>
  <c r="U93" i="468"/>
  <c r="T75" i="278"/>
  <c r="L59" i="279"/>
  <c r="L139" i="284"/>
  <c r="O111" i="281"/>
  <c r="P10" i="283"/>
  <c r="U128" i="282"/>
  <c r="L45" i="280"/>
  <c r="W58" i="283"/>
  <c r="T125" i="279"/>
  <c r="W73" i="282"/>
  <c r="R27" i="275"/>
  <c r="N50" i="281"/>
  <c r="L107" i="282"/>
  <c r="S22" i="468"/>
  <c r="T22" i="275"/>
  <c r="L63" i="283"/>
  <c r="W5" i="279"/>
  <c r="N74" i="284"/>
  <c r="J119" i="283"/>
  <c r="M111" i="283"/>
  <c r="K21" i="278"/>
  <c r="O23" i="279"/>
  <c r="K108" i="281"/>
  <c r="P77" i="468"/>
  <c r="V69" i="275"/>
  <c r="J45" i="282"/>
  <c r="V27" i="279"/>
  <c r="L132" i="279"/>
  <c r="W104" i="280"/>
  <c r="X49" i="275"/>
  <c r="R84" i="275"/>
  <c r="N64" i="280"/>
  <c r="R124" i="468"/>
  <c r="R106" i="278"/>
  <c r="X90" i="468"/>
  <c r="N98" i="280"/>
  <c r="R9" i="282"/>
  <c r="L68" i="468"/>
  <c r="M66" i="278"/>
  <c r="U20" i="280"/>
  <c r="N115" i="280"/>
  <c r="M103" i="275"/>
  <c r="P109" i="280"/>
  <c r="J55" i="282"/>
  <c r="N45" i="280"/>
  <c r="J73" i="280"/>
  <c r="X133" i="283"/>
  <c r="M114" i="279"/>
  <c r="K130" i="468"/>
  <c r="P111" i="284"/>
  <c r="L71" i="280"/>
  <c r="R121" i="275"/>
  <c r="U27" i="284"/>
  <c r="J25" i="278"/>
  <c r="P53" i="279"/>
  <c r="P45" i="468"/>
  <c r="U18" i="281"/>
  <c r="L51" i="279"/>
  <c r="N114" i="278"/>
  <c r="U135" i="282"/>
  <c r="W14" i="281"/>
  <c r="X85" i="286"/>
  <c r="O15" i="284"/>
  <c r="J106" i="275"/>
  <c r="K120" i="278"/>
  <c r="P46" i="275"/>
  <c r="R10" i="280"/>
  <c r="M12" i="468"/>
  <c r="O22" i="275"/>
  <c r="N15" i="281"/>
  <c r="W108" i="281"/>
  <c r="P121" i="275"/>
  <c r="O51" i="282"/>
  <c r="K54" i="280"/>
  <c r="W107" i="275"/>
  <c r="K66" i="280"/>
  <c r="U44" i="283"/>
  <c r="U89" i="468"/>
  <c r="J107" i="279"/>
  <c r="X15" i="468"/>
  <c r="P53" i="281"/>
  <c r="S45" i="275"/>
  <c r="V140" i="280"/>
  <c r="U4" i="283"/>
  <c r="K101" i="275"/>
  <c r="L39" i="278"/>
  <c r="V60" i="275"/>
  <c r="V126" i="468"/>
  <c r="W139" i="275"/>
  <c r="O17" i="282"/>
  <c r="X138" i="280"/>
  <c r="X82" i="283"/>
  <c r="R8" i="468"/>
  <c r="K10" i="275"/>
  <c r="P118" i="278"/>
  <c r="K48" i="280"/>
  <c r="T133" i="281"/>
  <c r="J10" i="282"/>
  <c r="L135" i="282"/>
  <c r="V40" i="283"/>
  <c r="T101" i="468"/>
  <c r="J20" i="468"/>
  <c r="U59" i="284"/>
  <c r="X61" i="468"/>
  <c r="J112" i="281"/>
  <c r="R46" i="468"/>
  <c r="U136" i="278"/>
  <c r="R25" i="282"/>
  <c r="S39" i="275"/>
  <c r="W66" i="281"/>
  <c r="L140" i="275"/>
  <c r="L116" i="278"/>
  <c r="M130" i="281"/>
  <c r="J128" i="275"/>
  <c r="O124" i="282"/>
  <c r="L70" i="275"/>
  <c r="K4" i="468"/>
  <c r="M129" i="279"/>
  <c r="W73" i="468"/>
  <c r="X20" i="275"/>
  <c r="P46" i="282"/>
  <c r="L13" i="279"/>
  <c r="P108" i="275"/>
  <c r="M33" i="468"/>
  <c r="S14" i="468"/>
  <c r="W28" i="468"/>
  <c r="L59" i="275"/>
  <c r="V67" i="468"/>
  <c r="V5" i="468"/>
  <c r="W69" i="281"/>
  <c r="U114" i="282"/>
  <c r="U103" i="282"/>
  <c r="O91" i="468"/>
  <c r="U11" i="275"/>
  <c r="L11" i="468"/>
  <c r="W138" i="280"/>
  <c r="K127" i="278"/>
  <c r="W21" i="281"/>
  <c r="L101" i="275"/>
  <c r="U69" i="283"/>
  <c r="M135" i="468"/>
  <c r="L5" i="278"/>
  <c r="R14" i="468"/>
  <c r="W61" i="194"/>
  <c r="J22" i="279"/>
  <c r="L98" i="278"/>
  <c r="W28" i="282"/>
  <c r="N51" i="281"/>
  <c r="W106" i="283"/>
  <c r="V69" i="468"/>
  <c r="P103" i="468"/>
  <c r="U125" i="280"/>
  <c r="S66" i="275"/>
  <c r="W123" i="283"/>
  <c r="O33" i="468"/>
  <c r="N20" i="278"/>
  <c r="R19" i="468"/>
  <c r="T42" i="281"/>
  <c r="M52" i="278"/>
  <c r="K29" i="284"/>
  <c r="X38" i="286"/>
  <c r="P138" i="278"/>
  <c r="X22" i="468"/>
  <c r="N108" i="279"/>
  <c r="U68" i="278"/>
  <c r="L125" i="278"/>
  <c r="R49" i="468"/>
  <c r="V6" i="279"/>
  <c r="X98" i="286"/>
  <c r="S70" i="468"/>
  <c r="R75" i="282"/>
  <c r="M67" i="278"/>
  <c r="V26" i="281"/>
  <c r="R102" i="279"/>
  <c r="X100" i="280"/>
  <c r="T111" i="281"/>
  <c r="P26" i="283"/>
  <c r="T18" i="281"/>
  <c r="U104" i="280"/>
  <c r="M48" i="284"/>
  <c r="V130" i="280"/>
  <c r="P104" i="275"/>
  <c r="X92" i="468"/>
  <c r="M18" i="280"/>
  <c r="J4" i="278"/>
  <c r="W48" i="281"/>
  <c r="N52" i="278"/>
  <c r="U116" i="281"/>
  <c r="M24" i="468"/>
  <c r="J129" i="281"/>
  <c r="X25" i="468"/>
  <c r="V120" i="279"/>
  <c r="L101" i="278"/>
  <c r="L62" i="283"/>
  <c r="W121" i="275"/>
  <c r="K129" i="275"/>
  <c r="X103" i="286"/>
  <c r="U118" i="275"/>
  <c r="P135" i="282"/>
  <c r="R126" i="280"/>
  <c r="N29" i="280"/>
  <c r="X131" i="275"/>
  <c r="S65" i="468"/>
  <c r="P52" i="280"/>
  <c r="U58" i="275"/>
  <c r="N28" i="281"/>
  <c r="R41" i="283"/>
  <c r="S132" i="281"/>
  <c r="N61" i="282"/>
  <c r="M106" i="281"/>
  <c r="M112" i="275"/>
  <c r="N113" i="278"/>
  <c r="W112" i="468"/>
  <c r="K59" i="283"/>
  <c r="S72" i="275"/>
  <c r="V7" i="282"/>
  <c r="V42" i="468"/>
  <c r="J4" i="275"/>
  <c r="M130" i="468"/>
  <c r="N119" i="468"/>
  <c r="K137" i="278"/>
  <c r="M98" i="278"/>
  <c r="L53" i="282"/>
  <c r="R118" i="284"/>
  <c r="N51" i="279"/>
  <c r="V52" i="468"/>
  <c r="M35" i="284"/>
  <c r="V8" i="279"/>
  <c r="K9" i="282"/>
  <c r="M119" i="280"/>
  <c r="K48" i="278"/>
  <c r="O71" i="281"/>
  <c r="T35" i="275"/>
  <c r="P54" i="282"/>
  <c r="X76" i="468"/>
  <c r="M98" i="284"/>
  <c r="L16" i="275"/>
  <c r="L102" i="278"/>
  <c r="O6" i="280"/>
  <c r="U44" i="468"/>
  <c r="S104" i="280"/>
  <c r="M65" i="275"/>
  <c r="R110" i="284"/>
  <c r="N129" i="279"/>
  <c r="S124" i="278"/>
  <c r="M82" i="278"/>
  <c r="X137" i="282"/>
  <c r="P65" i="284"/>
  <c r="X119" i="275"/>
  <c r="X18" i="280"/>
  <c r="T3" i="283"/>
  <c r="O40" i="275"/>
  <c r="W66" i="280"/>
  <c r="V52" i="281"/>
  <c r="K104" i="278"/>
  <c r="S30" i="468"/>
  <c r="W16" i="282"/>
  <c r="X55" i="282"/>
  <c r="W20" i="281"/>
  <c r="L131" i="275"/>
  <c r="J120" i="280"/>
  <c r="U75" i="278"/>
  <c r="X126" i="275"/>
  <c r="J43" i="468"/>
  <c r="S126" i="284"/>
  <c r="O116" i="281"/>
  <c r="P5" i="282"/>
  <c r="S109" i="278"/>
  <c r="N28" i="275"/>
  <c r="P44" i="278"/>
  <c r="K53" i="275"/>
  <c r="M9" i="279"/>
  <c r="U17" i="275"/>
  <c r="V26" i="283"/>
  <c r="L134" i="468"/>
  <c r="U117" i="468"/>
  <c r="M60" i="281"/>
  <c r="N15" i="282"/>
  <c r="U65" i="280"/>
  <c r="O113" i="281"/>
  <c r="U105" i="275"/>
  <c r="R127" i="279"/>
  <c r="O120" i="281"/>
  <c r="M53" i="275"/>
  <c r="T37" i="275"/>
  <c r="W67" i="468"/>
  <c r="X10" i="278"/>
  <c r="U74" i="282"/>
  <c r="R16" i="278"/>
  <c r="N103" i="281"/>
  <c r="U39" i="275"/>
  <c r="M14" i="278"/>
  <c r="O50" i="282"/>
  <c r="U36" i="468"/>
  <c r="U35" i="280"/>
  <c r="P35" i="278"/>
  <c r="J76" i="280"/>
  <c r="S125" i="279"/>
  <c r="W116" i="281"/>
  <c r="R103" i="278"/>
  <c r="K26" i="279"/>
  <c r="U74" i="280"/>
  <c r="T19" i="283"/>
  <c r="J14" i="282"/>
  <c r="O131" i="275"/>
  <c r="O72" i="278"/>
  <c r="R19" i="279"/>
  <c r="W53" i="279"/>
  <c r="M115" i="468"/>
  <c r="O38" i="279"/>
  <c r="U106" i="278"/>
  <c r="M8" i="275"/>
  <c r="W126" i="282"/>
  <c r="P139" i="278"/>
  <c r="J139" i="275"/>
  <c r="L20" i="283"/>
  <c r="M10" i="280"/>
  <c r="T115" i="468"/>
  <c r="U17" i="279"/>
  <c r="T120" i="280"/>
  <c r="R59" i="278"/>
  <c r="T129" i="278"/>
  <c r="P27" i="275"/>
  <c r="J98" i="194"/>
  <c r="K36" i="275"/>
  <c r="W27" i="280"/>
  <c r="J121" i="468"/>
  <c r="P99" i="281"/>
  <c r="W33" i="468"/>
  <c r="J129" i="284"/>
  <c r="U122" i="278"/>
  <c r="R66" i="282"/>
  <c r="M96" i="468"/>
  <c r="X79" i="468"/>
  <c r="T118" i="468"/>
  <c r="X122" i="286"/>
  <c r="K73" i="468"/>
  <c r="N131" i="282"/>
  <c r="V106" i="468"/>
  <c r="X105" i="468"/>
  <c r="O113" i="282"/>
  <c r="X21" i="281"/>
  <c r="R107" i="194"/>
  <c r="V50" i="281"/>
  <c r="S105" i="275"/>
  <c r="T17" i="281"/>
  <c r="M132" i="279"/>
  <c r="W17" i="282"/>
  <c r="W124" i="279"/>
  <c r="V67" i="278"/>
  <c r="J71" i="282"/>
  <c r="T99" i="275"/>
  <c r="S13" i="284"/>
  <c r="T77" i="275"/>
  <c r="R73" i="278"/>
  <c r="W119" i="278"/>
  <c r="N107" i="279"/>
  <c r="L137" i="283"/>
  <c r="W46" i="468"/>
  <c r="J22" i="282"/>
  <c r="K54" i="279"/>
  <c r="N29" i="283"/>
  <c r="L100" i="278"/>
  <c r="N3" i="470"/>
  <c r="T103" i="275"/>
  <c r="O133" i="283"/>
  <c r="W7" i="284"/>
  <c r="W116" i="275"/>
  <c r="R130" i="275"/>
  <c r="K13" i="468"/>
  <c r="O30" i="282"/>
  <c r="M73" i="275"/>
  <c r="T34" i="283"/>
  <c r="J130" i="275"/>
  <c r="U52" i="280"/>
  <c r="N91" i="468"/>
  <c r="U66" i="280"/>
  <c r="M38" i="275"/>
  <c r="U8" i="275"/>
  <c r="O16" i="279"/>
  <c r="T58" i="468"/>
  <c r="X133" i="275"/>
  <c r="J22" i="468"/>
  <c r="J42" i="275"/>
  <c r="O68" i="282"/>
  <c r="J65" i="281"/>
  <c r="O141" i="281"/>
  <c r="O36" i="283"/>
  <c r="S136" i="280"/>
  <c r="J124" i="282"/>
  <c r="N32" i="468"/>
  <c r="R123" i="283"/>
  <c r="S30" i="275"/>
  <c r="V117" i="275"/>
  <c r="X31" i="279"/>
  <c r="O37" i="275"/>
  <c r="O74" i="275"/>
  <c r="P100" i="468"/>
  <c r="X8" i="468"/>
  <c r="M66" i="280"/>
  <c r="K68" i="281"/>
  <c r="M111" i="282"/>
  <c r="M34" i="283"/>
  <c r="J19" i="275"/>
  <c r="O44" i="284"/>
  <c r="X58" i="275"/>
  <c r="P116" i="283"/>
  <c r="P6" i="278"/>
  <c r="P16" i="468"/>
  <c r="V140" i="279"/>
  <c r="P7" i="283"/>
  <c r="K72" i="194"/>
  <c r="L75" i="280"/>
  <c r="T99" i="279"/>
  <c r="L59" i="468"/>
  <c r="X42" i="280"/>
  <c r="K125" i="280"/>
  <c r="W38" i="279"/>
  <c r="X43" i="282"/>
  <c r="R60" i="284"/>
  <c r="T48" i="278"/>
  <c r="V50" i="282"/>
  <c r="P44" i="281"/>
  <c r="V107" i="279"/>
  <c r="R43" i="278"/>
  <c r="K71" i="282"/>
  <c r="O54" i="275"/>
  <c r="U3" i="279"/>
  <c r="T10" i="282"/>
  <c r="O23" i="281"/>
  <c r="J38" i="468"/>
  <c r="P14" i="284"/>
  <c r="U99" i="468"/>
  <c r="K42" i="281"/>
  <c r="V104" i="284"/>
  <c r="K43" i="468"/>
  <c r="J63" i="282"/>
  <c r="T7" i="280"/>
  <c r="S19" i="279"/>
  <c r="L6" i="468"/>
  <c r="X13" i="468"/>
  <c r="M108" i="278"/>
  <c r="M41" i="282"/>
  <c r="W5" i="278"/>
  <c r="J29" i="278"/>
  <c r="W64" i="278"/>
  <c r="N121" i="279"/>
  <c r="V24" i="468"/>
  <c r="N118" i="278"/>
  <c r="M9" i="468"/>
  <c r="L18" i="194"/>
  <c r="R71" i="279"/>
  <c r="X42" i="286"/>
  <c r="S49" i="275"/>
  <c r="V43" i="468"/>
  <c r="O35" i="275"/>
  <c r="M54" i="194"/>
  <c r="N8" i="275"/>
  <c r="X22" i="283"/>
  <c r="S42" i="275"/>
  <c r="R68" i="282"/>
  <c r="X68" i="280"/>
  <c r="R110" i="280"/>
  <c r="M62" i="281"/>
  <c r="K14" i="282"/>
  <c r="P70" i="468"/>
  <c r="N22" i="468"/>
  <c r="N59" i="280"/>
  <c r="O15" i="281"/>
  <c r="U27" i="278"/>
  <c r="S102" i="284"/>
  <c r="U17" i="468"/>
  <c r="T32" i="468"/>
  <c r="T91" i="468"/>
  <c r="T17" i="468"/>
  <c r="U8" i="280"/>
  <c r="P23" i="279"/>
  <c r="L53" i="468"/>
  <c r="N59" i="279"/>
  <c r="L133" i="280"/>
  <c r="V45" i="468"/>
  <c r="V122" i="281"/>
  <c r="S54" i="283"/>
  <c r="S64" i="280"/>
  <c r="N108" i="278"/>
  <c r="K27" i="282"/>
  <c r="M4" i="284"/>
  <c r="W3" i="282"/>
  <c r="S73" i="282"/>
  <c r="V38" i="279"/>
  <c r="W131" i="281"/>
  <c r="W137" i="280"/>
  <c r="X107" i="275"/>
  <c r="P49" i="279"/>
  <c r="L48" i="275"/>
  <c r="O15" i="280"/>
  <c r="L135" i="275"/>
  <c r="T74" i="278"/>
  <c r="S34" i="281"/>
  <c r="T86" i="468"/>
  <c r="W114" i="278"/>
  <c r="R133" i="275"/>
  <c r="T65" i="281"/>
  <c r="J6" i="281"/>
  <c r="M101" i="278"/>
  <c r="S53" i="468"/>
  <c r="P114" i="468"/>
  <c r="X44" i="282"/>
  <c r="V34" i="279"/>
  <c r="P118" i="280"/>
  <c r="O79" i="468"/>
  <c r="T137" i="283"/>
  <c r="S65" i="281"/>
  <c r="W127" i="280"/>
  <c r="M99" i="284"/>
  <c r="K45" i="279"/>
  <c r="T94" i="194"/>
  <c r="W64" i="281"/>
  <c r="K10" i="279"/>
  <c r="V22" i="279"/>
  <c r="M54" i="282"/>
  <c r="U128" i="278"/>
  <c r="J42" i="278"/>
  <c r="N25" i="468"/>
  <c r="U41" i="279"/>
  <c r="V21" i="283"/>
  <c r="N134" i="284"/>
  <c r="J19" i="280"/>
  <c r="P122" i="194"/>
  <c r="P82" i="468"/>
  <c r="O137" i="283"/>
  <c r="P100" i="282"/>
  <c r="V123" i="281"/>
  <c r="M58" i="282"/>
  <c r="M21" i="278"/>
  <c r="O58" i="279"/>
  <c r="O121" i="280"/>
  <c r="L115" i="283"/>
  <c r="X56" i="283"/>
  <c r="N50" i="468"/>
  <c r="R116" i="283"/>
  <c r="X35" i="281"/>
  <c r="M28" i="283"/>
  <c r="X40" i="279"/>
  <c r="M63" i="281"/>
  <c r="V139" i="279"/>
  <c r="P23" i="282"/>
  <c r="R113" i="275"/>
  <c r="L121" i="278"/>
  <c r="P28" i="468"/>
  <c r="O122" i="283"/>
  <c r="U100" i="468"/>
  <c r="P56" i="280"/>
  <c r="L67" i="278"/>
  <c r="K41" i="281"/>
  <c r="V12" i="275"/>
  <c r="M23" i="283"/>
  <c r="J74" i="468"/>
  <c r="W127" i="281"/>
  <c r="S115" i="281"/>
  <c r="X110" i="275"/>
  <c r="S65" i="275"/>
  <c r="R65" i="281"/>
  <c r="S128" i="280"/>
  <c r="U8" i="278"/>
  <c r="T11" i="468"/>
  <c r="X12" i="279"/>
  <c r="N53" i="280"/>
  <c r="K116" i="275"/>
  <c r="N44" i="280"/>
  <c r="O49" i="275"/>
  <c r="W11" i="275"/>
  <c r="R4" i="284"/>
  <c r="X40" i="286"/>
  <c r="T31" i="281"/>
  <c r="S133" i="283"/>
  <c r="L5" i="468"/>
  <c r="P132" i="278"/>
  <c r="W52" i="281"/>
  <c r="X91" i="194"/>
  <c r="P71" i="282"/>
  <c r="M98" i="468"/>
  <c r="M117" i="280"/>
  <c r="P8" i="468"/>
  <c r="R48" i="275"/>
  <c r="W119" i="468"/>
  <c r="W132" i="282"/>
  <c r="P37" i="279"/>
  <c r="T131" i="280"/>
  <c r="V27" i="278"/>
  <c r="M126" i="283"/>
  <c r="N58" i="283"/>
  <c r="W109" i="283"/>
  <c r="U107" i="282"/>
  <c r="O105" i="280"/>
  <c r="J50" i="278"/>
  <c r="L120" i="284"/>
  <c r="R118" i="279"/>
  <c r="R6" i="280"/>
  <c r="M52" i="280"/>
  <c r="K43" i="278"/>
  <c r="S61" i="468"/>
  <c r="K39" i="279"/>
  <c r="U69" i="468"/>
  <c r="U140" i="281"/>
  <c r="S126" i="280"/>
  <c r="S51" i="280"/>
  <c r="O127" i="279"/>
  <c r="S46" i="468"/>
  <c r="O24" i="281"/>
  <c r="M125" i="275"/>
  <c r="R62" i="275"/>
  <c r="K139" i="275"/>
  <c r="P135" i="278"/>
  <c r="P38" i="278"/>
  <c r="R137" i="280"/>
  <c r="N70" i="281"/>
  <c r="S14" i="275"/>
  <c r="L40" i="280"/>
  <c r="X104" i="286"/>
  <c r="K118" i="282"/>
  <c r="L39" i="281"/>
  <c r="U13" i="279"/>
  <c r="J71" i="281"/>
  <c r="L123" i="280"/>
  <c r="S126" i="282"/>
  <c r="J135" i="278"/>
  <c r="O26" i="275"/>
  <c r="M13" i="280"/>
  <c r="T100" i="468"/>
  <c r="X50" i="275"/>
  <c r="L114" i="280"/>
  <c r="S52" i="278"/>
  <c r="T73" i="275"/>
  <c r="L3" i="470"/>
  <c r="L62" i="281"/>
  <c r="M50" i="283"/>
  <c r="L133" i="468"/>
  <c r="W10" i="281"/>
  <c r="K121" i="275"/>
  <c r="M99" i="278"/>
  <c r="P12" i="279"/>
  <c r="X33" i="286"/>
  <c r="U29" i="284"/>
  <c r="V132" i="282"/>
  <c r="X114" i="286"/>
  <c r="R4" i="278"/>
  <c r="L28" i="468"/>
  <c r="K103" i="278"/>
  <c r="M29" i="278"/>
  <c r="K107" i="279"/>
  <c r="V9" i="281"/>
  <c r="T33" i="275"/>
  <c r="K26" i="468"/>
  <c r="T12" i="468"/>
  <c r="T135" i="284"/>
  <c r="S37" i="282"/>
  <c r="O13" i="468"/>
  <c r="T35" i="281"/>
  <c r="T20" i="283"/>
  <c r="T121" i="284"/>
  <c r="N58" i="282"/>
  <c r="V29" i="280"/>
  <c r="V104" i="468"/>
  <c r="J8" i="279"/>
  <c r="J63" i="279"/>
  <c r="T73" i="281"/>
  <c r="K102" i="468"/>
  <c r="W49" i="283"/>
  <c r="W7" i="282"/>
  <c r="X39" i="280"/>
  <c r="U65" i="281"/>
  <c r="K112" i="279"/>
  <c r="X17" i="275"/>
  <c r="R71" i="275"/>
  <c r="L105" i="279"/>
  <c r="X15" i="286"/>
  <c r="L122" i="275"/>
  <c r="O41" i="281"/>
  <c r="J124" i="278"/>
  <c r="O8" i="194"/>
  <c r="S18" i="278"/>
  <c r="W43" i="279"/>
  <c r="X88" i="468"/>
  <c r="J71" i="468"/>
  <c r="U79" i="468"/>
  <c r="M123" i="278"/>
  <c r="S63" i="278"/>
  <c r="M118" i="283"/>
  <c r="X26" i="468"/>
  <c r="L14" i="281"/>
  <c r="U120" i="468"/>
  <c r="P118" i="468"/>
  <c r="P54" i="279"/>
  <c r="W120" i="279"/>
  <c r="L116" i="279"/>
  <c r="K30" i="284"/>
  <c r="N32" i="275"/>
  <c r="U10" i="284"/>
  <c r="K120" i="280"/>
  <c r="O26" i="283"/>
  <c r="U12" i="281"/>
  <c r="T23" i="283"/>
  <c r="L103" i="468"/>
  <c r="U30" i="281"/>
  <c r="P34" i="280"/>
  <c r="K52" i="283"/>
  <c r="X123" i="278"/>
  <c r="S113" i="281"/>
  <c r="P137" i="278"/>
  <c r="V32" i="284"/>
  <c r="S48" i="275"/>
  <c r="U31" i="468"/>
  <c r="N113" i="280"/>
  <c r="X98" i="284"/>
  <c r="R98" i="275"/>
  <c r="O9" i="275"/>
  <c r="S39" i="280"/>
  <c r="P102" i="280"/>
  <c r="K114" i="280"/>
  <c r="R126" i="282"/>
  <c r="V17" i="278"/>
  <c r="P115" i="468"/>
  <c r="N48" i="283"/>
  <c r="S122" i="282"/>
  <c r="N9" i="283"/>
  <c r="V70" i="279"/>
  <c r="X45" i="283"/>
  <c r="T72" i="280"/>
  <c r="J6" i="275"/>
  <c r="O68" i="468"/>
  <c r="X31" i="278"/>
  <c r="P122" i="280"/>
  <c r="N65" i="282"/>
  <c r="S90" i="278"/>
  <c r="S121" i="275"/>
  <c r="P14" i="280"/>
  <c r="X141" i="281"/>
  <c r="V39" i="281"/>
  <c r="U58" i="278"/>
  <c r="N90" i="468"/>
  <c r="R127" i="278"/>
  <c r="S75" i="275"/>
  <c r="W78" i="468"/>
  <c r="T78" i="280"/>
  <c r="L42" i="280"/>
  <c r="L122" i="281"/>
  <c r="L103" i="278"/>
  <c r="O110" i="275"/>
  <c r="V114" i="279"/>
  <c r="R45" i="281"/>
  <c r="J129" i="278"/>
  <c r="R124" i="282"/>
  <c r="R70" i="275"/>
  <c r="K101" i="284"/>
  <c r="J15" i="275"/>
  <c r="O15" i="275"/>
  <c r="L80" i="468"/>
  <c r="J117" i="278"/>
  <c r="R122" i="275"/>
  <c r="X30" i="275"/>
  <c r="P22" i="468"/>
  <c r="W118" i="283"/>
  <c r="R38" i="275"/>
  <c r="K63" i="283"/>
  <c r="S9" i="284"/>
  <c r="O69" i="281"/>
  <c r="O106" i="281"/>
  <c r="K29" i="281"/>
  <c r="J32" i="279"/>
  <c r="J3" i="283"/>
  <c r="R138" i="281"/>
  <c r="X118" i="279"/>
  <c r="W73" i="280"/>
  <c r="L108" i="275"/>
  <c r="V120" i="280"/>
  <c r="L140" i="278"/>
  <c r="P129" i="194"/>
  <c r="S124" i="281"/>
  <c r="P38" i="280"/>
  <c r="X42" i="194"/>
  <c r="X69" i="280"/>
  <c r="U15" i="468"/>
  <c r="L122" i="280"/>
  <c r="O19" i="284"/>
  <c r="O82" i="468"/>
  <c r="P8" i="282"/>
  <c r="T6" i="275"/>
  <c r="J51" i="279"/>
  <c r="U27" i="275"/>
  <c r="N35" i="279"/>
  <c r="L14" i="280"/>
  <c r="P69" i="281"/>
  <c r="T50" i="279"/>
  <c r="J130" i="278"/>
  <c r="V109" i="279"/>
  <c r="O52" i="279"/>
  <c r="N27" i="280"/>
  <c r="N24" i="279"/>
  <c r="W109" i="468"/>
  <c r="W58" i="282"/>
  <c r="O27" i="278"/>
  <c r="S17" i="282"/>
  <c r="W11" i="468"/>
  <c r="J121" i="278"/>
  <c r="L107" i="280"/>
  <c r="W136" i="279"/>
  <c r="T29" i="468"/>
  <c r="K65" i="278"/>
  <c r="P51" i="280"/>
  <c r="X117" i="280"/>
  <c r="J39" i="275"/>
  <c r="S74" i="278"/>
  <c r="U35" i="468"/>
  <c r="O60" i="279"/>
  <c r="V65" i="275"/>
  <c r="U94" i="275"/>
  <c r="N140" i="468"/>
  <c r="X51" i="283"/>
  <c r="M103" i="468"/>
  <c r="X104" i="282"/>
  <c r="M59" i="468"/>
  <c r="R126" i="278"/>
  <c r="S20" i="279"/>
  <c r="O60" i="281"/>
  <c r="K36" i="284"/>
  <c r="J130" i="468"/>
  <c r="X43" i="279"/>
  <c r="L133" i="281"/>
  <c r="W20" i="468"/>
  <c r="T125" i="275"/>
  <c r="L6" i="279"/>
  <c r="U127" i="275"/>
  <c r="J139" i="284"/>
  <c r="M34" i="278"/>
  <c r="O75" i="275"/>
  <c r="S42" i="279"/>
  <c r="R64" i="283"/>
  <c r="U123" i="275"/>
  <c r="V38" i="280"/>
  <c r="W55" i="284"/>
  <c r="T96" i="468"/>
  <c r="W49" i="281"/>
  <c r="L4" i="468"/>
  <c r="V24" i="281"/>
  <c r="U46" i="280"/>
  <c r="O132" i="279"/>
  <c r="K35" i="194"/>
  <c r="P100" i="278"/>
  <c r="X65" i="281"/>
  <c r="M30" i="280"/>
  <c r="N64" i="281"/>
  <c r="X112" i="278"/>
  <c r="M72" i="282"/>
  <c r="M102" i="281"/>
  <c r="L35" i="275"/>
  <c r="O137" i="279"/>
  <c r="U124" i="278"/>
  <c r="J24" i="279"/>
  <c r="K94" i="279"/>
  <c r="X7" i="281"/>
  <c r="T122" i="281"/>
  <c r="L120" i="281"/>
  <c r="P60" i="280"/>
  <c r="S59" i="278"/>
  <c r="R109" i="283"/>
  <c r="P105" i="278"/>
  <c r="R139" i="280"/>
  <c r="W15" i="279"/>
  <c r="X79" i="275"/>
  <c r="J4" i="468"/>
  <c r="X114" i="284"/>
  <c r="R49" i="279"/>
  <c r="J117" i="468"/>
  <c r="R46" i="280"/>
  <c r="K18" i="279"/>
  <c r="T68" i="278"/>
  <c r="L33" i="281"/>
  <c r="V70" i="281"/>
  <c r="L123" i="278"/>
  <c r="K21" i="468"/>
  <c r="X66" i="280"/>
  <c r="J102" i="282"/>
  <c r="U6" i="468"/>
  <c r="L68" i="279"/>
  <c r="W112" i="282"/>
  <c r="O137" i="278"/>
  <c r="P136" i="279"/>
  <c r="T130" i="275"/>
  <c r="V26" i="280"/>
  <c r="V3" i="285"/>
  <c r="M129" i="468"/>
  <c r="S52" i="468"/>
  <c r="L19" i="281"/>
  <c r="S45" i="280"/>
  <c r="M109" i="275"/>
  <c r="M69" i="278"/>
  <c r="N5" i="278"/>
  <c r="U49" i="279"/>
  <c r="T3" i="286"/>
  <c r="L34" i="275"/>
  <c r="R140" i="279"/>
  <c r="O73" i="279"/>
  <c r="R108" i="279"/>
  <c r="V49" i="468"/>
  <c r="T72" i="278"/>
  <c r="O28" i="279"/>
  <c r="X36" i="278"/>
  <c r="S26" i="468"/>
  <c r="M58" i="284"/>
  <c r="K43" i="281"/>
  <c r="L114" i="278"/>
  <c r="T112" i="279"/>
  <c r="T136" i="468"/>
  <c r="V14" i="278"/>
  <c r="X11" i="286"/>
  <c r="R58" i="278"/>
  <c r="L134" i="278"/>
  <c r="P51" i="283"/>
  <c r="V68" i="278"/>
  <c r="R134" i="278"/>
  <c r="W127" i="468"/>
  <c r="X50" i="468"/>
  <c r="N100" i="279"/>
  <c r="R43" i="280"/>
  <c r="J136" i="282"/>
  <c r="L40" i="281"/>
  <c r="M44" i="279"/>
  <c r="U43" i="279"/>
  <c r="N100" i="283"/>
  <c r="V98" i="280"/>
  <c r="L45" i="281"/>
  <c r="N33" i="468"/>
  <c r="W112" i="283"/>
  <c r="T12" i="281"/>
  <c r="W27" i="278"/>
  <c r="J133" i="280"/>
  <c r="R38" i="283"/>
  <c r="M46" i="282"/>
  <c r="W20" i="283"/>
  <c r="P112" i="278"/>
  <c r="V137" i="278"/>
  <c r="O109" i="278"/>
  <c r="X61" i="284"/>
  <c r="X39" i="278"/>
  <c r="X111" i="286"/>
  <c r="N75" i="468"/>
  <c r="P63" i="278"/>
  <c r="T138" i="280"/>
  <c r="U128" i="279"/>
  <c r="N6" i="281"/>
  <c r="X125" i="283"/>
  <c r="O107" i="468"/>
  <c r="J69" i="282"/>
  <c r="R48" i="280"/>
  <c r="L49" i="280"/>
  <c r="P124" i="282"/>
  <c r="K27" i="468"/>
  <c r="W33" i="284"/>
  <c r="N131" i="275"/>
  <c r="X106" i="283"/>
  <c r="R98" i="282"/>
  <c r="R13" i="468"/>
  <c r="S6" i="278"/>
  <c r="W101" i="279"/>
  <c r="V4" i="275"/>
  <c r="W73" i="281"/>
  <c r="W32" i="280"/>
  <c r="X112" i="279"/>
  <c r="O110" i="281"/>
  <c r="P27" i="283"/>
  <c r="J50" i="275"/>
  <c r="L121" i="275"/>
  <c r="M132" i="278"/>
  <c r="V87" i="468"/>
  <c r="M4" i="275"/>
  <c r="J80" i="468"/>
  <c r="J123" i="468"/>
  <c r="L16" i="279"/>
  <c r="P20" i="281"/>
  <c r="V114" i="280"/>
  <c r="V62" i="275"/>
  <c r="O59" i="282"/>
  <c r="X112" i="282"/>
  <c r="O101" i="278"/>
  <c r="L74" i="284"/>
  <c r="U109" i="279"/>
  <c r="M121" i="280"/>
  <c r="K140" i="281"/>
  <c r="V71" i="275"/>
  <c r="P124" i="283"/>
  <c r="X35" i="279"/>
  <c r="J20" i="278"/>
  <c r="W65" i="280"/>
  <c r="K124" i="278"/>
  <c r="J72" i="279"/>
  <c r="V8" i="281"/>
  <c r="J31" i="194"/>
  <c r="K51" i="468"/>
  <c r="X44" i="280"/>
  <c r="P102" i="468"/>
  <c r="U45" i="281"/>
  <c r="W100" i="468"/>
  <c r="T114" i="275"/>
  <c r="W41" i="280"/>
  <c r="K30" i="468"/>
  <c r="L65" i="279"/>
  <c r="M74" i="468"/>
  <c r="U139" i="275"/>
  <c r="J105" i="275"/>
  <c r="S39" i="282"/>
  <c r="M13" i="278"/>
  <c r="P48" i="275"/>
  <c r="R45" i="282"/>
  <c r="K127" i="282"/>
  <c r="X55" i="281"/>
  <c r="X114" i="278"/>
  <c r="L103" i="280"/>
  <c r="S101" i="468"/>
  <c r="V7" i="278"/>
  <c r="K135" i="280"/>
  <c r="R46" i="281"/>
  <c r="J133" i="279"/>
  <c r="L66" i="283"/>
  <c r="U74" i="283"/>
  <c r="J32" i="282"/>
  <c r="P68" i="280"/>
  <c r="T139" i="468"/>
  <c r="K118" i="279"/>
  <c r="V137" i="468"/>
  <c r="O70" i="275"/>
  <c r="R74" i="279"/>
  <c r="T100" i="284"/>
  <c r="S27" i="280"/>
  <c r="N15" i="275"/>
  <c r="S49" i="280"/>
  <c r="S46" i="282"/>
  <c r="N42" i="281"/>
  <c r="S102" i="278"/>
  <c r="W35" i="281"/>
  <c r="R41" i="280"/>
  <c r="L109" i="279"/>
  <c r="L86" i="468"/>
  <c r="J64" i="283"/>
  <c r="L23" i="282"/>
  <c r="T63" i="282"/>
  <c r="P85" i="468"/>
  <c r="S38" i="282"/>
  <c r="W135" i="281"/>
  <c r="W46" i="279"/>
  <c r="K54" i="275"/>
  <c r="S61" i="282"/>
  <c r="M61" i="275"/>
  <c r="J98" i="275"/>
  <c r="K65" i="281"/>
  <c r="W126" i="284"/>
  <c r="X18" i="284"/>
  <c r="V110" i="279"/>
  <c r="T140" i="468"/>
  <c r="K24" i="284"/>
  <c r="U3" i="470"/>
  <c r="K65" i="275"/>
  <c r="S40" i="280"/>
  <c r="W29" i="275"/>
  <c r="L46" i="468"/>
  <c r="X68" i="468"/>
  <c r="M11" i="281"/>
  <c r="J101" i="282"/>
  <c r="M99" i="279"/>
  <c r="N70" i="278"/>
  <c r="S39" i="281"/>
  <c r="T21" i="279"/>
  <c r="P128" i="282"/>
  <c r="V16" i="275"/>
  <c r="R26" i="468"/>
  <c r="S9" i="275"/>
  <c r="X68" i="194"/>
  <c r="T42" i="275"/>
  <c r="S140" i="468"/>
  <c r="W45" i="281"/>
  <c r="V124" i="468"/>
  <c r="T67" i="280"/>
  <c r="W6" i="281"/>
  <c r="T108" i="280"/>
  <c r="W7" i="280"/>
  <c r="U99" i="280"/>
  <c r="U105" i="468"/>
  <c r="M72" i="275"/>
  <c r="L110" i="278"/>
  <c r="T41" i="468"/>
  <c r="L12" i="280"/>
  <c r="N53" i="283"/>
  <c r="O18" i="281"/>
  <c r="M136" i="275"/>
  <c r="K84" i="468"/>
  <c r="T101" i="278"/>
  <c r="K3" i="278"/>
  <c r="N133" i="275"/>
  <c r="T132" i="279"/>
  <c r="N129" i="281"/>
  <c r="L37" i="468"/>
  <c r="W136" i="281"/>
  <c r="S128" i="278"/>
  <c r="N59" i="278"/>
  <c r="R125" i="278"/>
  <c r="X49" i="278"/>
  <c r="X72" i="280"/>
  <c r="R118" i="283"/>
  <c r="J29" i="279"/>
  <c r="X54" i="286"/>
  <c r="R4" i="286"/>
  <c r="N135" i="275"/>
  <c r="W103" i="284"/>
  <c r="V115" i="194"/>
  <c r="W92" i="468"/>
  <c r="V39" i="280"/>
  <c r="T20" i="468"/>
  <c r="V4" i="282"/>
  <c r="V10" i="468"/>
  <c r="U113" i="194"/>
  <c r="S4" i="278"/>
  <c r="M114" i="278"/>
  <c r="P51" i="284"/>
  <c r="X113" i="468"/>
  <c r="R53" i="280"/>
  <c r="T99" i="278"/>
  <c r="M104" i="284"/>
  <c r="K133" i="282"/>
  <c r="R87" i="468"/>
  <c r="T55" i="283"/>
  <c r="O30" i="275"/>
  <c r="X74" i="281"/>
  <c r="U73" i="279"/>
  <c r="J9" i="279"/>
  <c r="J62" i="278"/>
  <c r="U32" i="280"/>
  <c r="P113" i="468"/>
  <c r="L136" i="468"/>
  <c r="W56" i="279"/>
  <c r="N60" i="275"/>
  <c r="R17" i="468"/>
  <c r="O113" i="468"/>
  <c r="M14" i="275"/>
  <c r="R70" i="278"/>
  <c r="P23" i="468"/>
  <c r="K79" i="468"/>
  <c r="J129" i="280"/>
  <c r="K121" i="281"/>
  <c r="J123" i="275"/>
  <c r="O130" i="275"/>
  <c r="U52" i="283"/>
  <c r="P32" i="279"/>
  <c r="N58" i="275"/>
  <c r="J17" i="280"/>
  <c r="L34" i="278"/>
  <c r="J95" i="468"/>
  <c r="M74" i="279"/>
  <c r="P7" i="278"/>
  <c r="M139" i="278"/>
  <c r="J104" i="278"/>
  <c r="S132" i="275"/>
  <c r="L58" i="275"/>
  <c r="K63" i="278"/>
  <c r="L126" i="275"/>
  <c r="L101" i="468"/>
  <c r="M134" i="283"/>
  <c r="R24" i="281"/>
  <c r="X44" i="278"/>
  <c r="T45" i="280"/>
  <c r="S34" i="275"/>
  <c r="O28" i="282"/>
  <c r="R82" i="282"/>
  <c r="U67" i="278"/>
  <c r="U139" i="278"/>
  <c r="T6" i="280"/>
  <c r="K12" i="275"/>
  <c r="L110" i="284"/>
  <c r="M46" i="279"/>
  <c r="M64" i="468"/>
  <c r="V32" i="468"/>
  <c r="W41" i="281"/>
  <c r="L48" i="279"/>
  <c r="W121" i="278"/>
  <c r="U55" i="282"/>
  <c r="S138" i="468"/>
  <c r="N77" i="282"/>
  <c r="N65" i="468"/>
  <c r="S12" i="278"/>
  <c r="M25" i="280"/>
  <c r="J46" i="275"/>
  <c r="J21" i="279"/>
  <c r="P36" i="283"/>
  <c r="M113" i="275"/>
  <c r="S126" i="278"/>
  <c r="S109" i="283"/>
  <c r="M74" i="280"/>
  <c r="V125" i="468"/>
  <c r="U33" i="280"/>
  <c r="J129" i="275"/>
  <c r="V139" i="468"/>
  <c r="S15" i="275"/>
  <c r="K58" i="279"/>
  <c r="R71" i="282"/>
  <c r="L9" i="279"/>
  <c r="P87" i="468"/>
  <c r="R16" i="279"/>
  <c r="S111" i="279"/>
  <c r="V117" i="278"/>
  <c r="N26" i="279"/>
  <c r="O124" i="468"/>
  <c r="U59" i="281"/>
  <c r="X128" i="275"/>
  <c r="O138" i="468"/>
  <c r="L38" i="468"/>
  <c r="P12" i="283"/>
  <c r="P63" i="279"/>
  <c r="X91" i="286"/>
  <c r="L13" i="283"/>
  <c r="S117" i="468"/>
  <c r="U38" i="283"/>
  <c r="W14" i="284"/>
  <c r="L14" i="275"/>
  <c r="V61" i="282"/>
  <c r="S24" i="283"/>
  <c r="L129" i="279"/>
  <c r="M52" i="468"/>
  <c r="X117" i="278"/>
  <c r="N105" i="275"/>
  <c r="N132" i="279"/>
  <c r="X49" i="194"/>
  <c r="S96" i="468"/>
  <c r="U29" i="468"/>
  <c r="W32" i="278"/>
  <c r="K65" i="283"/>
  <c r="J129" i="279"/>
  <c r="O101" i="281"/>
  <c r="T127" i="279"/>
  <c r="U110" i="278"/>
  <c r="M23" i="275"/>
  <c r="M52" i="279"/>
  <c r="U32" i="279"/>
  <c r="U98" i="468"/>
  <c r="X16" i="279"/>
  <c r="W30" i="280"/>
  <c r="X117" i="283"/>
  <c r="O132" i="278"/>
  <c r="R119" i="468"/>
  <c r="J59" i="275"/>
  <c r="J103" i="275"/>
  <c r="X107" i="286"/>
  <c r="K64" i="468"/>
  <c r="T58" i="279"/>
  <c r="O30" i="278"/>
  <c r="P31" i="279"/>
  <c r="R18" i="282"/>
  <c r="V55" i="283"/>
  <c r="O127" i="278"/>
  <c r="R48" i="278"/>
  <c r="N113" i="283"/>
  <c r="N42" i="279"/>
  <c r="P43" i="280"/>
  <c r="P124" i="468"/>
  <c r="P76" i="280"/>
  <c r="S117" i="280"/>
  <c r="R41" i="279"/>
  <c r="X9" i="286"/>
  <c r="L50" i="468"/>
  <c r="P115" i="278"/>
  <c r="L109" i="280"/>
  <c r="K9" i="468"/>
  <c r="S114" i="468"/>
  <c r="R51" i="280"/>
  <c r="P98" i="282"/>
  <c r="U71" i="281"/>
  <c r="W22" i="275"/>
  <c r="X64" i="281"/>
  <c r="J136" i="278"/>
  <c r="K25" i="275"/>
  <c r="W114" i="275"/>
  <c r="N27" i="275"/>
  <c r="T36" i="280"/>
  <c r="V44" i="284"/>
  <c r="J121" i="283"/>
  <c r="O52" i="283"/>
  <c r="N36" i="279"/>
  <c r="K61" i="278"/>
  <c r="S51" i="279"/>
  <c r="O128" i="282"/>
  <c r="X54" i="278"/>
  <c r="P8" i="278"/>
  <c r="J117" i="283"/>
  <c r="J25" i="284"/>
  <c r="V46" i="279"/>
  <c r="K131" i="275"/>
  <c r="P136" i="468"/>
  <c r="X127" i="286"/>
  <c r="J58" i="468"/>
  <c r="V136" i="281"/>
  <c r="U36" i="281"/>
  <c r="J71" i="278"/>
  <c r="V58" i="278"/>
  <c r="T28" i="278"/>
  <c r="U62" i="468"/>
  <c r="K40" i="281"/>
  <c r="P68" i="278"/>
  <c r="W25" i="275"/>
  <c r="X121" i="280"/>
  <c r="P139" i="275"/>
  <c r="T46" i="281"/>
  <c r="O139" i="278"/>
  <c r="T101" i="282"/>
  <c r="V130" i="468"/>
  <c r="V62" i="278"/>
  <c r="O52" i="468"/>
  <c r="O48" i="275"/>
  <c r="L44" i="468"/>
  <c r="P12" i="278"/>
  <c r="K62" i="282"/>
  <c r="L104" i="468"/>
  <c r="N75" i="284"/>
  <c r="U22" i="279"/>
  <c r="O58" i="280"/>
  <c r="N69" i="468"/>
  <c r="R99" i="278"/>
  <c r="R97" i="468"/>
  <c r="S64" i="468"/>
  <c r="S44" i="282"/>
  <c r="X4" i="468"/>
  <c r="J84" i="284"/>
  <c r="X6" i="282"/>
  <c r="V117" i="281"/>
  <c r="K29" i="275"/>
  <c r="R67" i="281"/>
  <c r="P117" i="278"/>
  <c r="W52" i="280"/>
  <c r="M38" i="281"/>
  <c r="N59" i="284"/>
  <c r="M41" i="281"/>
  <c r="U64" i="279"/>
  <c r="X38" i="282"/>
  <c r="O111" i="278"/>
  <c r="O43" i="281"/>
  <c r="N21" i="279"/>
  <c r="W101" i="283"/>
  <c r="X122" i="275"/>
  <c r="O118" i="468"/>
  <c r="X10" i="275"/>
  <c r="M41" i="279"/>
  <c r="W118" i="280"/>
  <c r="T4" i="286"/>
  <c r="X101" i="281"/>
  <c r="V61" i="468"/>
  <c r="V14" i="281"/>
  <c r="P40" i="278"/>
  <c r="J53" i="283"/>
  <c r="M53" i="279"/>
  <c r="W107" i="280"/>
  <c r="P35" i="194"/>
  <c r="N25" i="279"/>
  <c r="J101" i="468"/>
  <c r="R41" i="468"/>
  <c r="M99" i="275"/>
  <c r="M68" i="468"/>
  <c r="V111" i="275"/>
  <c r="R5" i="468"/>
  <c r="M11" i="278"/>
  <c r="W54" i="275"/>
  <c r="L16" i="282"/>
  <c r="J49" i="281"/>
  <c r="U51" i="468"/>
  <c r="T46" i="283"/>
  <c r="U13" i="283"/>
  <c r="N121" i="275"/>
  <c r="V16" i="283"/>
  <c r="K7" i="279"/>
  <c r="S71" i="280"/>
  <c r="W5" i="282"/>
  <c r="N74" i="281"/>
  <c r="K110" i="279"/>
  <c r="T50" i="284"/>
  <c r="J71" i="279"/>
  <c r="O121" i="281"/>
  <c r="W29" i="468"/>
  <c r="X28" i="282"/>
  <c r="O129" i="279"/>
  <c r="N109" i="280"/>
  <c r="W58" i="284"/>
  <c r="S40" i="275"/>
  <c r="X124" i="282"/>
  <c r="R126" i="279"/>
  <c r="X59" i="278"/>
  <c r="R112" i="275"/>
  <c r="U51" i="278"/>
  <c r="R9" i="275"/>
  <c r="L84" i="275"/>
  <c r="J29" i="275"/>
  <c r="L4" i="286"/>
  <c r="S122" i="280"/>
  <c r="X29" i="286"/>
  <c r="W60" i="279"/>
  <c r="S46" i="278"/>
  <c r="K121" i="278"/>
  <c r="X5" i="281"/>
  <c r="S17" i="468"/>
  <c r="T72" i="468"/>
  <c r="N27" i="281"/>
  <c r="X138" i="279"/>
  <c r="T40" i="283"/>
  <c r="X129" i="275"/>
  <c r="K30" i="281"/>
  <c r="J24" i="275"/>
  <c r="J38" i="275"/>
  <c r="V104" i="278"/>
  <c r="L49" i="275"/>
  <c r="J75" i="279"/>
  <c r="J25" i="281"/>
  <c r="U39" i="194"/>
  <c r="X117" i="281"/>
  <c r="L48" i="278"/>
  <c r="X6" i="275"/>
  <c r="W62" i="283"/>
  <c r="N4" i="278"/>
  <c r="L129" i="275"/>
  <c r="U22" i="275"/>
  <c r="X19" i="280"/>
  <c r="X111" i="280"/>
  <c r="R7" i="468"/>
  <c r="K72" i="468"/>
  <c r="O134" i="278"/>
  <c r="L12" i="468"/>
  <c r="P23" i="284"/>
  <c r="N73" i="468"/>
  <c r="N45" i="468"/>
  <c r="X82" i="468"/>
  <c r="P91" i="468"/>
  <c r="X9" i="468"/>
  <c r="N66" i="275"/>
  <c r="M107" i="280"/>
  <c r="L107" i="275"/>
  <c r="V75" i="468"/>
  <c r="S117" i="282"/>
  <c r="T23" i="279"/>
  <c r="O32" i="281"/>
  <c r="N19" i="283"/>
  <c r="R71" i="283"/>
  <c r="P53" i="468"/>
  <c r="M39" i="279"/>
  <c r="J49" i="279"/>
  <c r="M50" i="284"/>
  <c r="M133" i="275"/>
  <c r="O115" i="284"/>
  <c r="L16" i="468"/>
  <c r="V136" i="278"/>
  <c r="M126" i="279"/>
  <c r="W126" i="279"/>
  <c r="L40" i="278"/>
  <c r="T53" i="282"/>
  <c r="L80" i="283"/>
  <c r="L51" i="280"/>
  <c r="J135" i="280"/>
  <c r="J47" i="468"/>
  <c r="M131" i="283"/>
  <c r="O40" i="468"/>
  <c r="W63" i="279"/>
  <c r="U109" i="281"/>
  <c r="T53" i="279"/>
  <c r="R8" i="283"/>
  <c r="T41" i="279"/>
  <c r="X52" i="286"/>
  <c r="S8" i="279"/>
  <c r="S89" i="468"/>
  <c r="P141" i="281"/>
  <c r="S86" i="468"/>
  <c r="S137" i="278"/>
  <c r="N22" i="278"/>
  <c r="V116" i="281"/>
  <c r="L40" i="284"/>
  <c r="R128" i="279"/>
  <c r="O12" i="281"/>
  <c r="O9" i="468"/>
  <c r="V80" i="468"/>
  <c r="W43" i="282"/>
  <c r="J103" i="282"/>
  <c r="P50" i="283"/>
  <c r="S3" i="468"/>
  <c r="P34" i="279"/>
  <c r="N66" i="282"/>
  <c r="T21" i="280"/>
  <c r="K83" i="281"/>
  <c r="O12" i="278"/>
  <c r="P16" i="282"/>
  <c r="O6" i="283"/>
  <c r="J25" i="282"/>
  <c r="S88" i="468"/>
  <c r="W108" i="278"/>
  <c r="R41" i="278"/>
  <c r="T139" i="279"/>
  <c r="T138" i="278"/>
  <c r="V45" i="281"/>
  <c r="S8" i="275"/>
  <c r="R128" i="468"/>
  <c r="R44" i="278"/>
  <c r="X7" i="280"/>
  <c r="R69" i="275"/>
  <c r="W125" i="278"/>
  <c r="O24" i="283"/>
  <c r="V6" i="278"/>
  <c r="T136" i="281"/>
  <c r="S112" i="280"/>
  <c r="X139" i="468"/>
  <c r="S100" i="468"/>
  <c r="U11" i="283"/>
  <c r="N92" i="468"/>
  <c r="L32" i="282"/>
  <c r="R131" i="278"/>
  <c r="X99" i="281"/>
  <c r="K51" i="275"/>
  <c r="N39" i="275"/>
  <c r="X43" i="286"/>
  <c r="K72" i="279"/>
  <c r="T33" i="278"/>
  <c r="L66" i="281"/>
  <c r="V6" i="280"/>
  <c r="L139" i="280"/>
  <c r="X23" i="275"/>
  <c r="W21" i="468"/>
  <c r="K126" i="278"/>
  <c r="O113" i="280"/>
  <c r="S108" i="284"/>
  <c r="K124" i="281"/>
  <c r="S14" i="281"/>
  <c r="X61" i="282"/>
  <c r="O123" i="278"/>
  <c r="X73" i="279"/>
  <c r="R137" i="468"/>
  <c r="O26" i="282"/>
  <c r="P140" i="278"/>
  <c r="X58" i="280"/>
  <c r="T7" i="283"/>
  <c r="O3" i="282"/>
  <c r="T131" i="278"/>
  <c r="M116" i="275"/>
  <c r="K31" i="279"/>
  <c r="M135" i="194"/>
  <c r="X67" i="278"/>
  <c r="L121" i="280"/>
  <c r="O43" i="468"/>
  <c r="S100" i="284"/>
  <c r="M70" i="468"/>
  <c r="U106" i="280"/>
  <c r="W80" i="468"/>
  <c r="P84" i="275"/>
  <c r="P111" i="468"/>
  <c r="L115" i="468"/>
  <c r="O32" i="279"/>
  <c r="L71" i="281"/>
  <c r="W12" i="280"/>
  <c r="O115" i="280"/>
  <c r="N58" i="279"/>
  <c r="N141" i="281"/>
  <c r="K92" i="194"/>
  <c r="R10" i="281"/>
  <c r="S20" i="278"/>
  <c r="L53" i="275"/>
  <c r="T46" i="282"/>
  <c r="K121" i="468"/>
  <c r="O14" i="468"/>
  <c r="J32" i="275"/>
  <c r="R29" i="275"/>
  <c r="S58" i="282"/>
  <c r="O106" i="283"/>
  <c r="V104" i="280"/>
  <c r="J70" i="279"/>
  <c r="P20" i="275"/>
  <c r="M107" i="279"/>
  <c r="T33" i="279"/>
  <c r="M6" i="282"/>
  <c r="R92" i="468"/>
  <c r="L26" i="468"/>
  <c r="W28" i="279"/>
  <c r="T126" i="280"/>
  <c r="V49" i="275"/>
  <c r="T3" i="470"/>
  <c r="O52" i="282"/>
  <c r="O51" i="280"/>
  <c r="S114" i="275"/>
  <c r="L40" i="275"/>
  <c r="P9" i="284"/>
  <c r="U50" i="283"/>
  <c r="W57" i="282"/>
  <c r="W24" i="279"/>
  <c r="O63" i="279"/>
  <c r="P60" i="283"/>
  <c r="T128" i="281"/>
  <c r="S69" i="281"/>
  <c r="O29" i="279"/>
  <c r="M51" i="281"/>
  <c r="X87" i="286"/>
  <c r="L5" i="279"/>
  <c r="O116" i="275"/>
  <c r="R108" i="468"/>
  <c r="V24" i="280"/>
  <c r="W116" i="283"/>
  <c r="L103" i="275"/>
  <c r="N10" i="281"/>
  <c r="U10" i="281"/>
  <c r="T25" i="275"/>
  <c r="T130" i="280"/>
  <c r="K9" i="278"/>
  <c r="S53" i="275"/>
  <c r="X32" i="280"/>
  <c r="R132" i="281"/>
  <c r="O111" i="275"/>
  <c r="P59" i="278"/>
  <c r="U120" i="279"/>
  <c r="J52" i="468"/>
  <c r="R53" i="275"/>
  <c r="J16" i="468"/>
  <c r="X56" i="282"/>
  <c r="M115" i="275"/>
  <c r="U105" i="279"/>
  <c r="O40" i="284"/>
  <c r="J39" i="279"/>
  <c r="N135" i="279"/>
  <c r="W107" i="279"/>
  <c r="U109" i="468"/>
  <c r="L114" i="283"/>
  <c r="V26" i="279"/>
  <c r="S104" i="278"/>
  <c r="N88" i="284"/>
  <c r="J134" i="275"/>
  <c r="S67" i="282"/>
  <c r="W106" i="275"/>
  <c r="M45" i="275"/>
  <c r="M37" i="281"/>
  <c r="R100" i="468"/>
  <c r="U51" i="284"/>
  <c r="M62" i="278"/>
  <c r="U52" i="468"/>
  <c r="X20" i="282"/>
  <c r="O34" i="468"/>
  <c r="J112" i="468"/>
  <c r="X80" i="194"/>
  <c r="J118" i="275"/>
  <c r="N33" i="282"/>
  <c r="R44" i="275"/>
  <c r="W60" i="281"/>
  <c r="T117" i="284"/>
  <c r="K59" i="279"/>
  <c r="T102" i="282"/>
  <c r="U135" i="281"/>
  <c r="T127" i="281"/>
  <c r="T117" i="281"/>
  <c r="L52" i="282"/>
  <c r="T42" i="468"/>
  <c r="K59" i="468"/>
  <c r="P45" i="281"/>
  <c r="R84" i="468"/>
  <c r="L130" i="279"/>
  <c r="M46" i="275"/>
  <c r="N128" i="280"/>
  <c r="J70" i="281"/>
  <c r="N74" i="283"/>
  <c r="K15" i="283"/>
  <c r="W108" i="280"/>
  <c r="P120" i="275"/>
  <c r="X64" i="275"/>
  <c r="J13" i="279"/>
  <c r="S89" i="194"/>
  <c r="J8" i="278"/>
  <c r="M37" i="284"/>
  <c r="L51" i="275"/>
  <c r="V7" i="281"/>
  <c r="K49" i="283"/>
  <c r="O100" i="280"/>
  <c r="R26" i="275"/>
  <c r="T16" i="468"/>
  <c r="L19" i="278"/>
  <c r="P101" i="280"/>
  <c r="V35" i="279"/>
  <c r="T23" i="281"/>
  <c r="T83" i="278"/>
  <c r="V99" i="278"/>
  <c r="N123" i="275"/>
  <c r="T3" i="275"/>
  <c r="N50" i="275"/>
  <c r="L120" i="468"/>
  <c r="X77" i="286"/>
  <c r="L71" i="279"/>
  <c r="J20" i="275"/>
  <c r="T118" i="282"/>
  <c r="T44" i="275"/>
  <c r="P112" i="468"/>
  <c r="V6" i="281"/>
  <c r="N9" i="275"/>
  <c r="U114" i="284"/>
  <c r="O117" i="283"/>
  <c r="R41" i="281"/>
  <c r="X36" i="468"/>
  <c r="U39" i="468"/>
  <c r="P17" i="278"/>
  <c r="O32" i="280"/>
  <c r="N51" i="280"/>
  <c r="M50" i="468"/>
  <c r="M106" i="275"/>
  <c r="W121" i="280"/>
  <c r="P120" i="280"/>
  <c r="M127" i="282"/>
  <c r="U126" i="278"/>
  <c r="S118" i="283"/>
  <c r="P71" i="468"/>
  <c r="V124" i="278"/>
  <c r="M54" i="281"/>
  <c r="S49" i="279"/>
  <c r="T3" i="194"/>
  <c r="L34" i="282"/>
  <c r="V20" i="468"/>
  <c r="W39" i="280"/>
  <c r="J33" i="279"/>
  <c r="N31" i="280"/>
  <c r="L13" i="275"/>
  <c r="X113" i="278"/>
  <c r="K60" i="281"/>
  <c r="R58" i="279"/>
  <c r="O61" i="278"/>
  <c r="M113" i="280"/>
  <c r="J113" i="279"/>
  <c r="N41" i="194"/>
  <c r="M121" i="275"/>
  <c r="P114" i="281"/>
  <c r="S134" i="194"/>
  <c r="U102" i="279"/>
  <c r="K108" i="278"/>
  <c r="S130" i="280"/>
  <c r="J33" i="468"/>
  <c r="L61" i="279"/>
  <c r="J36" i="279"/>
  <c r="J101" i="280"/>
  <c r="T66" i="280"/>
  <c r="V47" i="468"/>
  <c r="N27" i="468"/>
  <c r="M135" i="280"/>
  <c r="J112" i="278"/>
  <c r="W8" i="468"/>
  <c r="P58" i="468"/>
  <c r="T122" i="468"/>
  <c r="M117" i="275"/>
  <c r="O26" i="278"/>
  <c r="M126" i="280"/>
  <c r="N30" i="283"/>
  <c r="W68" i="278"/>
  <c r="P12" i="284"/>
  <c r="J70" i="280"/>
  <c r="O35" i="279"/>
  <c r="L45" i="279"/>
  <c r="S11" i="281"/>
  <c r="K22" i="280"/>
  <c r="P111" i="281"/>
  <c r="J15" i="283"/>
  <c r="V31" i="278"/>
  <c r="T18" i="280"/>
  <c r="V58" i="284"/>
  <c r="P129" i="279"/>
  <c r="O4" i="280"/>
  <c r="S122" i="275"/>
  <c r="W39" i="275"/>
  <c r="U44" i="279"/>
  <c r="U32" i="275"/>
  <c r="T49" i="282"/>
  <c r="N65" i="279"/>
  <c r="P125" i="278"/>
  <c r="R7" i="281"/>
  <c r="U70" i="284"/>
  <c r="R73" i="281"/>
  <c r="O6" i="468"/>
  <c r="R66" i="275"/>
  <c r="L56" i="284"/>
  <c r="J124" i="468"/>
  <c r="N23" i="468"/>
  <c r="N7" i="278"/>
  <c r="S51" i="281"/>
  <c r="O134" i="279"/>
  <c r="R109" i="468"/>
  <c r="X113" i="281"/>
  <c r="R138" i="284"/>
  <c r="K25" i="284"/>
  <c r="K71" i="279"/>
  <c r="O131" i="280"/>
  <c r="T14" i="468"/>
  <c r="R39" i="468"/>
  <c r="T122" i="279"/>
  <c r="P17" i="468"/>
  <c r="M4" i="279"/>
  <c r="L115" i="281"/>
  <c r="W99" i="282"/>
  <c r="V107" i="283"/>
  <c r="K38" i="275"/>
  <c r="J46" i="283"/>
  <c r="N7" i="281"/>
  <c r="K13" i="281"/>
  <c r="X99" i="278"/>
  <c r="N100" i="278"/>
  <c r="W33" i="279"/>
  <c r="O27" i="275"/>
  <c r="X127" i="275"/>
  <c r="T22" i="278"/>
  <c r="S138" i="275"/>
  <c r="O118" i="281"/>
  <c r="U38" i="278"/>
  <c r="N96" i="468"/>
  <c r="M71" i="278"/>
  <c r="K3" i="275"/>
  <c r="K9" i="284"/>
  <c r="M104" i="283"/>
  <c r="R25" i="281"/>
  <c r="V66" i="282"/>
  <c r="V20" i="282"/>
  <c r="T106" i="282"/>
  <c r="O9" i="278"/>
  <c r="N16" i="281"/>
  <c r="V59" i="275"/>
  <c r="V40" i="278"/>
  <c r="S61" i="280"/>
  <c r="J134" i="468"/>
  <c r="U73" i="275"/>
  <c r="O6" i="275"/>
  <c r="W100" i="280"/>
  <c r="U87" i="468"/>
  <c r="R24" i="275"/>
  <c r="J67" i="279"/>
  <c r="K10" i="281"/>
  <c r="R4" i="468"/>
  <c r="X132" i="282"/>
  <c r="V38" i="275"/>
  <c r="M18" i="281"/>
  <c r="L79" i="468"/>
  <c r="X124" i="286"/>
  <c r="W9" i="275"/>
  <c r="M104" i="280"/>
  <c r="W136" i="280"/>
  <c r="V103" i="279"/>
  <c r="K123" i="468"/>
  <c r="S6" i="282"/>
  <c r="P24" i="281"/>
  <c r="U16" i="284"/>
  <c r="U118" i="281"/>
  <c r="R14" i="279"/>
  <c r="M111" i="279"/>
  <c r="N66" i="281"/>
  <c r="O32" i="468"/>
  <c r="R135" i="279"/>
  <c r="K130" i="275"/>
  <c r="P17" i="275"/>
  <c r="T119" i="468"/>
  <c r="U62" i="284"/>
  <c r="N95" i="281"/>
  <c r="T70" i="280"/>
  <c r="R133" i="278"/>
  <c r="L9" i="281"/>
  <c r="V34" i="468"/>
  <c r="N62" i="468"/>
  <c r="S128" i="279"/>
  <c r="N59" i="283"/>
  <c r="U46" i="278"/>
  <c r="J40" i="280"/>
  <c r="X57" i="286"/>
  <c r="X52" i="280"/>
  <c r="S37" i="280"/>
  <c r="U62" i="275"/>
  <c r="S118" i="280"/>
  <c r="P36" i="275"/>
  <c r="X102" i="275"/>
  <c r="J48" i="282"/>
  <c r="J66" i="275"/>
  <c r="P3" i="280"/>
  <c r="U116" i="468"/>
  <c r="T10" i="468"/>
  <c r="P20" i="282"/>
  <c r="W38" i="283"/>
  <c r="M129" i="283"/>
  <c r="L20" i="275"/>
  <c r="S113" i="279"/>
  <c r="S136" i="275"/>
  <c r="O102" i="283"/>
  <c r="W128" i="282"/>
  <c r="O117" i="282"/>
  <c r="M31" i="275"/>
  <c r="O16" i="468"/>
  <c r="N122" i="278"/>
  <c r="W72" i="284"/>
  <c r="O112" i="275"/>
  <c r="O129" i="468"/>
  <c r="P120" i="281"/>
  <c r="R110" i="282"/>
  <c r="X65" i="275"/>
  <c r="O51" i="279"/>
  <c r="R24" i="468"/>
  <c r="U33" i="278"/>
  <c r="M108" i="281"/>
  <c r="M119" i="279"/>
  <c r="L20" i="280"/>
  <c r="U118" i="279"/>
  <c r="P19" i="280"/>
  <c r="W4" i="286"/>
  <c r="W99" i="278"/>
  <c r="X33" i="278"/>
  <c r="J109" i="468"/>
  <c r="M54" i="280"/>
  <c r="W3" i="283"/>
  <c r="J115" i="468"/>
  <c r="N139" i="194"/>
  <c r="J110" i="283"/>
  <c r="X53" i="275"/>
  <c r="S20" i="275"/>
  <c r="P125" i="284"/>
  <c r="N11" i="281"/>
  <c r="P133" i="279"/>
  <c r="U19" i="280"/>
  <c r="S3" i="194"/>
  <c r="K69" i="468"/>
  <c r="V32" i="281"/>
  <c r="O49" i="278"/>
  <c r="X73" i="194"/>
  <c r="M39" i="468"/>
  <c r="M128" i="468"/>
  <c r="J11" i="468"/>
  <c r="M64" i="281"/>
  <c r="V20" i="278"/>
  <c r="T105" i="280"/>
  <c r="R125" i="468"/>
  <c r="R138" i="468"/>
  <c r="R55" i="283"/>
  <c r="N43" i="275"/>
  <c r="N51" i="468"/>
  <c r="W64" i="280"/>
  <c r="U69" i="281"/>
  <c r="J137" i="280"/>
  <c r="N117" i="283"/>
  <c r="X135" i="275"/>
  <c r="X134" i="275"/>
  <c r="O92" i="468"/>
  <c r="U70" i="275"/>
  <c r="R117" i="278"/>
  <c r="X107" i="279"/>
  <c r="L114" i="468"/>
  <c r="S23" i="278"/>
  <c r="S67" i="281"/>
  <c r="R118" i="280"/>
  <c r="T31" i="468"/>
  <c r="K42" i="282"/>
  <c r="S51" i="468"/>
  <c r="V13" i="468"/>
  <c r="O62" i="468"/>
  <c r="K65" i="280"/>
  <c r="N4" i="280"/>
  <c r="S67" i="283"/>
  <c r="L25" i="279"/>
  <c r="W76" i="468"/>
  <c r="X37" i="286"/>
  <c r="X116" i="281"/>
  <c r="O68" i="194"/>
  <c r="U12" i="275"/>
  <c r="W31" i="280"/>
  <c r="R72" i="279"/>
  <c r="L98" i="282"/>
  <c r="V114" i="468"/>
  <c r="N12" i="468"/>
  <c r="P93" i="280"/>
  <c r="N17" i="281"/>
  <c r="V62" i="281"/>
  <c r="L19" i="280"/>
  <c r="S126" i="468"/>
  <c r="V134" i="279"/>
  <c r="O122" i="280"/>
  <c r="L42" i="468"/>
  <c r="L75" i="468"/>
  <c r="V114" i="275"/>
  <c r="X25" i="275"/>
  <c r="W44" i="278"/>
  <c r="P75" i="279"/>
  <c r="W102" i="468"/>
  <c r="O118" i="278"/>
  <c r="O117" i="468"/>
  <c r="V17" i="284"/>
  <c r="R17" i="278"/>
  <c r="R58" i="275"/>
  <c r="V29" i="468"/>
  <c r="R21" i="282"/>
  <c r="V106" i="278"/>
  <c r="K131" i="194"/>
  <c r="V21" i="275"/>
  <c r="J77" i="468"/>
  <c r="N127" i="280"/>
  <c r="V50" i="275"/>
  <c r="X41" i="275"/>
  <c r="O70" i="278"/>
  <c r="T120" i="278"/>
  <c r="V51" i="280"/>
  <c r="P116" i="468"/>
  <c r="W103" i="275"/>
  <c r="P122" i="283"/>
  <c r="S19" i="275"/>
  <c r="V70" i="468"/>
  <c r="W121" i="282"/>
  <c r="K101" i="282"/>
  <c r="O135" i="278"/>
  <c r="S103" i="279"/>
  <c r="K103" i="283"/>
  <c r="K23" i="275"/>
  <c r="W38" i="281"/>
  <c r="R118" i="281"/>
  <c r="P73" i="275"/>
  <c r="U127" i="468"/>
  <c r="K54" i="283"/>
  <c r="W140" i="283"/>
  <c r="X130" i="278"/>
  <c r="V43" i="280"/>
  <c r="W25" i="468"/>
  <c r="P50" i="278"/>
  <c r="P25" i="280"/>
  <c r="K51" i="284"/>
  <c r="P81" i="279"/>
  <c r="X10" i="286"/>
  <c r="L36" i="279"/>
  <c r="V138" i="282"/>
  <c r="O48" i="468"/>
  <c r="V25" i="280"/>
  <c r="T138" i="468"/>
  <c r="U90" i="279"/>
  <c r="P41" i="279"/>
  <c r="J19" i="279"/>
  <c r="O41" i="284"/>
  <c r="N20" i="279"/>
  <c r="N99" i="275"/>
  <c r="M103" i="283"/>
  <c r="T40" i="275"/>
  <c r="T104" i="468"/>
  <c r="P99" i="283"/>
  <c r="U19" i="281"/>
  <c r="R76" i="468"/>
  <c r="R80" i="468"/>
  <c r="R23" i="279"/>
  <c r="L39" i="194"/>
  <c r="N39" i="468"/>
  <c r="L52" i="283"/>
  <c r="M92" i="194"/>
  <c r="T30" i="283"/>
  <c r="T102" i="279"/>
  <c r="J45" i="468"/>
  <c r="P25" i="275"/>
  <c r="K25" i="468"/>
  <c r="K14" i="278"/>
  <c r="L136" i="280"/>
  <c r="S105" i="279"/>
  <c r="U6" i="282"/>
  <c r="X66" i="283"/>
  <c r="L121" i="468"/>
  <c r="W12" i="279"/>
  <c r="T59" i="282"/>
  <c r="J16" i="283"/>
  <c r="W52" i="275"/>
  <c r="X74" i="279"/>
  <c r="S20" i="281"/>
  <c r="R69" i="281"/>
  <c r="W123" i="284"/>
  <c r="N39" i="284"/>
  <c r="L26" i="278"/>
  <c r="K104" i="283"/>
  <c r="U10" i="278"/>
  <c r="L61" i="280"/>
  <c r="V127" i="468"/>
  <c r="R6" i="275"/>
  <c r="N26" i="278"/>
  <c r="S100" i="275"/>
  <c r="V4" i="468"/>
  <c r="K52" i="279"/>
  <c r="W48" i="279"/>
  <c r="U122" i="275"/>
  <c r="U41" i="275"/>
  <c r="T136" i="283"/>
  <c r="K99" i="275"/>
  <c r="S25" i="279"/>
  <c r="U27" i="282"/>
  <c r="U49" i="280"/>
  <c r="N39" i="282"/>
  <c r="U98" i="275"/>
  <c r="M76" i="468"/>
  <c r="P42" i="280"/>
  <c r="K27" i="281"/>
  <c r="N57" i="282"/>
  <c r="M73" i="283"/>
  <c r="K111" i="280"/>
  <c r="N124" i="280"/>
  <c r="N20" i="275"/>
  <c r="V27" i="275"/>
  <c r="W45" i="280"/>
  <c r="J99" i="275"/>
  <c r="P3" i="275"/>
  <c r="U88" i="468"/>
  <c r="K119" i="280"/>
  <c r="K46" i="279"/>
  <c r="J108" i="284"/>
  <c r="N47" i="468"/>
  <c r="N112" i="284"/>
  <c r="O64" i="468"/>
  <c r="K3" i="280"/>
  <c r="S70" i="282"/>
  <c r="O66" i="275"/>
  <c r="P133" i="278"/>
  <c r="M100" i="279"/>
  <c r="M4" i="282"/>
  <c r="O24" i="468"/>
  <c r="P71" i="280"/>
  <c r="S121" i="278"/>
  <c r="S131" i="468"/>
  <c r="V140" i="468"/>
  <c r="T68" i="280"/>
  <c r="X108" i="275"/>
  <c r="K54" i="194"/>
  <c r="P124" i="284"/>
  <c r="S122" i="283"/>
  <c r="O131" i="278"/>
  <c r="X59" i="280"/>
  <c r="P121" i="278"/>
  <c r="W28" i="275"/>
  <c r="L106" i="468"/>
  <c r="U65" i="468"/>
  <c r="S77" i="275"/>
  <c r="J122" i="280"/>
  <c r="W100" i="281"/>
  <c r="T118" i="278"/>
  <c r="J38" i="278"/>
  <c r="M51" i="275"/>
  <c r="N134" i="280"/>
  <c r="L132" i="468"/>
  <c r="K108" i="283"/>
  <c r="X22" i="280"/>
  <c r="V50" i="279"/>
  <c r="J10" i="278"/>
  <c r="K45" i="275"/>
  <c r="K110" i="278"/>
  <c r="P66" i="468"/>
  <c r="W38" i="468"/>
  <c r="T101" i="279"/>
  <c r="N63" i="280"/>
  <c r="T38" i="275"/>
  <c r="N131" i="281"/>
  <c r="K126" i="279"/>
  <c r="M56" i="282"/>
  <c r="K92" i="468"/>
  <c r="R7" i="278"/>
  <c r="W22" i="468"/>
  <c r="L115" i="284"/>
  <c r="N62" i="275"/>
  <c r="J59" i="279"/>
  <c r="W106" i="281"/>
  <c r="X47" i="468"/>
  <c r="T24" i="279"/>
  <c r="K109" i="278"/>
  <c r="K109" i="281"/>
  <c r="U48" i="278"/>
  <c r="W19" i="281"/>
  <c r="O33" i="275"/>
  <c r="U44" i="281"/>
  <c r="J14" i="275"/>
  <c r="J30" i="279"/>
  <c r="V51" i="279"/>
  <c r="N116" i="278"/>
  <c r="P113" i="278"/>
  <c r="U67" i="279"/>
  <c r="L70" i="284"/>
  <c r="L4" i="280"/>
  <c r="W20" i="275"/>
  <c r="X45" i="468"/>
  <c r="N59" i="275"/>
  <c r="S66" i="278"/>
  <c r="V42" i="278"/>
  <c r="T65" i="280"/>
  <c r="T109" i="283"/>
  <c r="V48" i="468"/>
  <c r="W66" i="279"/>
  <c r="K39" i="278"/>
  <c r="N101" i="278"/>
  <c r="P65" i="468"/>
  <c r="N122" i="281"/>
  <c r="L41" i="279"/>
  <c r="W74" i="279"/>
  <c r="X13" i="279"/>
  <c r="N115" i="279"/>
  <c r="K136" i="279"/>
  <c r="T10" i="281"/>
  <c r="J139" i="278"/>
  <c r="U103" i="468"/>
  <c r="M101" i="194"/>
  <c r="P47" i="468"/>
  <c r="X111" i="284"/>
  <c r="O104" i="280"/>
  <c r="P129" i="283"/>
  <c r="N100" i="468"/>
  <c r="O131" i="281"/>
  <c r="J48" i="275"/>
  <c r="W112" i="281"/>
  <c r="R124" i="279"/>
  <c r="U99" i="275"/>
  <c r="L43" i="275"/>
  <c r="J7" i="275"/>
  <c r="S45" i="283"/>
  <c r="P135" i="468"/>
  <c r="T67" i="281"/>
  <c r="N124" i="275"/>
  <c r="T34" i="281"/>
  <c r="X33" i="283"/>
  <c r="P27" i="468"/>
  <c r="U24" i="468"/>
  <c r="R83" i="468"/>
  <c r="U137" i="194"/>
  <c r="O14" i="284"/>
  <c r="X61" i="286"/>
  <c r="N99" i="282"/>
  <c r="M94" i="468"/>
  <c r="T132" i="468"/>
  <c r="P22" i="278"/>
  <c r="V69" i="284"/>
  <c r="N66" i="280"/>
  <c r="O32" i="283"/>
  <c r="T13" i="283"/>
  <c r="N33" i="275"/>
  <c r="O119" i="468"/>
  <c r="V44" i="468"/>
  <c r="U132" i="284"/>
  <c r="J20" i="279"/>
  <c r="K4" i="275"/>
  <c r="U137" i="280"/>
  <c r="M131" i="279"/>
  <c r="R53" i="468"/>
  <c r="S23" i="468"/>
  <c r="K14" i="468"/>
  <c r="V100" i="279"/>
  <c r="U74" i="278"/>
  <c r="K125" i="279"/>
  <c r="T116" i="282"/>
  <c r="X105" i="286"/>
  <c r="V114" i="283"/>
  <c r="X66" i="279"/>
  <c r="O28" i="275"/>
  <c r="P3" i="194"/>
  <c r="K55" i="282"/>
  <c r="V24" i="283"/>
  <c r="W37" i="275"/>
  <c r="N33" i="278"/>
  <c r="M119" i="282"/>
  <c r="U98" i="284"/>
  <c r="U23" i="282"/>
  <c r="P38" i="468"/>
  <c r="O10" i="468"/>
  <c r="O135" i="280"/>
  <c r="K5" i="279"/>
  <c r="T61" i="275"/>
  <c r="U123" i="468"/>
  <c r="K21" i="280"/>
  <c r="W111" i="275"/>
  <c r="M20" i="279"/>
  <c r="U43" i="275"/>
  <c r="J108" i="275"/>
  <c r="W52" i="282"/>
  <c r="J33" i="275"/>
  <c r="J20" i="280"/>
  <c r="U58" i="280"/>
  <c r="W121" i="283"/>
  <c r="K34" i="280"/>
  <c r="O9" i="279"/>
  <c r="V140" i="278"/>
  <c r="L106" i="278"/>
  <c r="W118" i="468"/>
  <c r="O39" i="282"/>
  <c r="M28" i="468"/>
  <c r="W50" i="279"/>
  <c r="X53" i="279"/>
  <c r="M39" i="278"/>
  <c r="T63" i="279"/>
  <c r="V46" i="280"/>
  <c r="S60" i="468"/>
  <c r="M110" i="278"/>
  <c r="V113" i="275"/>
  <c r="X46" i="468"/>
  <c r="O136" i="284"/>
  <c r="P52" i="279"/>
  <c r="T121" i="468"/>
  <c r="S7" i="281"/>
  <c r="L27" i="281"/>
  <c r="T62" i="282"/>
  <c r="J75" i="278"/>
  <c r="M133" i="278"/>
  <c r="V65" i="468"/>
  <c r="J30" i="284"/>
  <c r="X60" i="282"/>
  <c r="O8" i="278"/>
  <c r="S123" i="281"/>
  <c r="R75" i="278"/>
  <c r="M5" i="275"/>
  <c r="O58" i="278"/>
  <c r="R53" i="282"/>
  <c r="K49" i="275"/>
  <c r="J42" i="282"/>
  <c r="W123" i="275"/>
  <c r="J28" i="284"/>
  <c r="P9" i="280"/>
  <c r="W10" i="278"/>
  <c r="K69" i="279"/>
  <c r="K62" i="278"/>
  <c r="L82" i="468"/>
  <c r="M134" i="275"/>
  <c r="X69" i="275"/>
  <c r="P134" i="281"/>
  <c r="N68" i="468"/>
  <c r="X7" i="279"/>
  <c r="M13" i="279"/>
  <c r="X63" i="280"/>
  <c r="S127" i="468"/>
  <c r="T129" i="275"/>
  <c r="R20" i="275"/>
  <c r="J27" i="468"/>
  <c r="R11" i="281"/>
  <c r="R33" i="279"/>
  <c r="S120" i="282"/>
  <c r="L9" i="283"/>
  <c r="V27" i="194"/>
  <c r="V50" i="278"/>
  <c r="J44" i="281"/>
  <c r="J28" i="281"/>
  <c r="K24" i="275"/>
  <c r="X41" i="284"/>
  <c r="N66" i="284"/>
  <c r="S122" i="284"/>
  <c r="O14" i="279"/>
  <c r="T102" i="283"/>
  <c r="X103" i="281"/>
  <c r="M97" i="283"/>
  <c r="O33" i="281"/>
  <c r="U73" i="468"/>
  <c r="J29" i="194"/>
  <c r="P13" i="468"/>
  <c r="P29" i="278"/>
  <c r="W63" i="275"/>
  <c r="V101" i="278"/>
  <c r="R117" i="468"/>
  <c r="X52" i="278"/>
  <c r="S45" i="282"/>
  <c r="U51" i="275"/>
  <c r="V74" i="278"/>
  <c r="L34" i="280"/>
  <c r="N71" i="275"/>
  <c r="O49" i="468"/>
  <c r="L37" i="275"/>
  <c r="T19" i="275"/>
  <c r="W128" i="468"/>
  <c r="S107" i="279"/>
  <c r="X30" i="281"/>
  <c r="K31" i="275"/>
  <c r="J45" i="280"/>
  <c r="P139" i="284"/>
  <c r="J106" i="279"/>
  <c r="T115" i="281"/>
  <c r="K102" i="275"/>
  <c r="K132" i="279"/>
  <c r="W4" i="283"/>
  <c r="N87" i="282"/>
  <c r="S93" i="281"/>
  <c r="L115" i="279"/>
  <c r="L14" i="284"/>
  <c r="L64" i="279"/>
  <c r="X125" i="275"/>
  <c r="N6" i="280"/>
  <c r="V115" i="281"/>
  <c r="W11" i="280"/>
  <c r="J118" i="282"/>
  <c r="T64" i="468"/>
  <c r="V12" i="282"/>
  <c r="O121" i="282"/>
  <c r="X59" i="275"/>
  <c r="V51" i="275"/>
  <c r="T48" i="281"/>
  <c r="N21" i="280"/>
  <c r="P49" i="284"/>
  <c r="S10" i="275"/>
  <c r="U120" i="278"/>
  <c r="R135" i="468"/>
  <c r="L22" i="275"/>
  <c r="P104" i="279"/>
  <c r="M42" i="281"/>
  <c r="X136" i="194"/>
  <c r="P30" i="275"/>
  <c r="W134" i="283"/>
  <c r="U120" i="283"/>
  <c r="S71" i="279"/>
  <c r="S132" i="278"/>
  <c r="O98" i="283"/>
  <c r="T68" i="279"/>
  <c r="J8" i="468"/>
  <c r="W45" i="279"/>
  <c r="X32" i="286"/>
  <c r="U67" i="282"/>
  <c r="V67" i="283"/>
  <c r="K23" i="278"/>
  <c r="P83" i="468"/>
  <c r="W15" i="275"/>
  <c r="P6" i="283"/>
  <c r="W131" i="278"/>
  <c r="R63" i="281"/>
  <c r="T15" i="275"/>
  <c r="R12" i="279"/>
  <c r="M65" i="282"/>
  <c r="M54" i="279"/>
  <c r="X51" i="284"/>
  <c r="T18" i="275"/>
  <c r="R119" i="279"/>
  <c r="J60" i="278"/>
  <c r="J126" i="280"/>
  <c r="M57" i="283"/>
  <c r="L49" i="279"/>
  <c r="N62" i="284"/>
  <c r="V54" i="278"/>
  <c r="O128" i="284"/>
  <c r="K140" i="468"/>
  <c r="P6" i="281"/>
  <c r="W3" i="286"/>
  <c r="W134" i="278"/>
  <c r="S10" i="279"/>
  <c r="L25" i="275"/>
  <c r="P34" i="283"/>
  <c r="J53" i="278"/>
  <c r="T60" i="279"/>
  <c r="L43" i="282"/>
  <c r="U113" i="278"/>
  <c r="L105" i="275"/>
  <c r="T58" i="284"/>
  <c r="K44" i="282"/>
  <c r="X39" i="279"/>
  <c r="O124" i="278"/>
  <c r="U4" i="280"/>
  <c r="T112" i="468"/>
  <c r="K135" i="278"/>
  <c r="P3" i="279"/>
  <c r="N114" i="468"/>
  <c r="K110" i="281"/>
  <c r="J104" i="279"/>
  <c r="P57" i="282"/>
  <c r="K73" i="279"/>
  <c r="M120" i="275"/>
  <c r="T98" i="278"/>
  <c r="K45" i="468"/>
  <c r="U138" i="275"/>
  <c r="K112" i="278"/>
  <c r="V45" i="275"/>
  <c r="U120" i="281"/>
  <c r="T135" i="468"/>
  <c r="N132" i="282"/>
  <c r="O25" i="468"/>
  <c r="X71" i="275"/>
  <c r="P7" i="280"/>
  <c r="T123" i="283"/>
  <c r="N122" i="468"/>
  <c r="N108" i="275"/>
  <c r="M21" i="283"/>
  <c r="M10" i="468"/>
  <c r="M121" i="283"/>
  <c r="O18" i="280"/>
  <c r="U105" i="283"/>
  <c r="N30" i="280"/>
  <c r="S46" i="281"/>
  <c r="X26" i="279"/>
  <c r="M10" i="281"/>
  <c r="V133" i="468"/>
  <c r="X70" i="275"/>
  <c r="M126" i="275"/>
  <c r="L15" i="275"/>
  <c r="V136" i="279"/>
  <c r="M57" i="282"/>
  <c r="X61" i="280"/>
  <c r="K80" i="468"/>
  <c r="X127" i="278"/>
  <c r="P51" i="278"/>
  <c r="O135" i="281"/>
  <c r="S35" i="281"/>
  <c r="V29" i="278"/>
  <c r="O7" i="275"/>
  <c r="X35" i="286"/>
  <c r="P138" i="468"/>
  <c r="N123" i="281"/>
  <c r="M140" i="468"/>
  <c r="J63" i="281"/>
  <c r="X120" i="275"/>
  <c r="X27" i="286"/>
  <c r="M74" i="283"/>
  <c r="J18" i="283"/>
  <c r="J65" i="468"/>
  <c r="J140" i="275"/>
  <c r="T60" i="278"/>
  <c r="V108" i="468"/>
  <c r="V78" i="468"/>
  <c r="X63" i="283"/>
  <c r="K122" i="468"/>
  <c r="P107" i="280"/>
  <c r="J48" i="281"/>
  <c r="O104" i="275"/>
  <c r="M32" i="278"/>
  <c r="K33" i="275"/>
  <c r="V10" i="279"/>
  <c r="N73" i="281"/>
  <c r="S125" i="283"/>
  <c r="T125" i="278"/>
  <c r="N41" i="281"/>
  <c r="V63" i="283"/>
  <c r="P129" i="278"/>
  <c r="T105" i="275"/>
  <c r="R23" i="275"/>
  <c r="U103" i="279"/>
  <c r="N10" i="280"/>
  <c r="M19" i="278"/>
  <c r="T43" i="279"/>
  <c r="T28" i="279"/>
  <c r="X101" i="278"/>
  <c r="R88" i="278"/>
  <c r="T133" i="282"/>
  <c r="K68" i="280"/>
  <c r="K13" i="280"/>
  <c r="M39" i="275"/>
  <c r="J114" i="279"/>
  <c r="N4" i="286"/>
  <c r="J9" i="468"/>
  <c r="M100" i="280"/>
  <c r="U104" i="281"/>
  <c r="W39" i="278"/>
  <c r="K14" i="275"/>
  <c r="L61" i="282"/>
  <c r="U62" i="278"/>
  <c r="V53" i="284"/>
  <c r="S15" i="468"/>
  <c r="K131" i="468"/>
  <c r="W9" i="278"/>
  <c r="L40" i="279"/>
  <c r="J19" i="283"/>
  <c r="T63" i="275"/>
  <c r="O108" i="278"/>
  <c r="V84" i="279"/>
  <c r="U37" i="468"/>
  <c r="L105" i="278"/>
  <c r="U10" i="283"/>
  <c r="T70" i="279"/>
  <c r="W51" i="281"/>
  <c r="V11" i="280"/>
  <c r="X134" i="279"/>
  <c r="L46" i="279"/>
  <c r="K40" i="284"/>
  <c r="S38" i="278"/>
  <c r="R15" i="468"/>
  <c r="T34" i="279"/>
  <c r="T71" i="281"/>
  <c r="S74" i="275"/>
  <c r="R23" i="278"/>
  <c r="U66" i="284"/>
  <c r="K41" i="279"/>
  <c r="M4" i="468"/>
  <c r="N119" i="279"/>
  <c r="N136" i="279"/>
  <c r="S95" i="283"/>
  <c r="N12" i="275"/>
  <c r="V64" i="279"/>
  <c r="W6" i="275"/>
  <c r="S66" i="284"/>
  <c r="P120" i="282"/>
  <c r="P70" i="275"/>
  <c r="M107" i="278"/>
  <c r="W133" i="281"/>
  <c r="X40" i="280"/>
  <c r="N21" i="283"/>
  <c r="X58" i="468"/>
  <c r="R131" i="468"/>
  <c r="O110" i="468"/>
  <c r="X121" i="286"/>
  <c r="M45" i="279"/>
  <c r="L30" i="284"/>
  <c r="N64" i="282"/>
  <c r="W10" i="279"/>
  <c r="W98" i="282"/>
  <c r="U119" i="275"/>
  <c r="V73" i="281"/>
  <c r="L76" i="468"/>
  <c r="W40" i="278"/>
  <c r="L23" i="279"/>
  <c r="T19" i="468"/>
  <c r="J38" i="279"/>
  <c r="S91" i="279"/>
  <c r="O9" i="281"/>
  <c r="M69" i="468"/>
  <c r="N6" i="275"/>
  <c r="M14" i="280"/>
  <c r="V133" i="279"/>
  <c r="L20" i="278"/>
  <c r="P115" i="280"/>
  <c r="U3" i="468"/>
  <c r="N74" i="278"/>
  <c r="L33" i="275"/>
  <c r="K106" i="468"/>
  <c r="K54" i="282"/>
  <c r="N38" i="468"/>
  <c r="O48" i="279"/>
  <c r="M140" i="278"/>
  <c r="W104" i="282"/>
  <c r="V126" i="280"/>
  <c r="O9" i="280"/>
  <c r="W52" i="284"/>
  <c r="N52" i="280"/>
  <c r="V45" i="278"/>
  <c r="W7" i="468"/>
  <c r="O139" i="468"/>
  <c r="W67" i="279"/>
  <c r="J110" i="280"/>
  <c r="O30" i="279"/>
  <c r="O39" i="275"/>
  <c r="O10" i="275"/>
  <c r="P35" i="282"/>
  <c r="T98" i="283"/>
  <c r="P118" i="281"/>
  <c r="J73" i="279"/>
  <c r="J85" i="283"/>
  <c r="U115" i="281"/>
  <c r="O39" i="280"/>
  <c r="J50" i="281"/>
  <c r="K109" i="275"/>
  <c r="T40" i="280"/>
  <c r="N61" i="280"/>
  <c r="J6" i="279"/>
  <c r="P67" i="279"/>
  <c r="O127" i="275"/>
  <c r="S32" i="275"/>
  <c r="O116" i="283"/>
  <c r="S114" i="281"/>
  <c r="R13" i="278"/>
  <c r="V42" i="275"/>
  <c r="V79" i="468"/>
  <c r="U40" i="281"/>
  <c r="O56" i="280"/>
  <c r="V20" i="275"/>
  <c r="M140" i="280"/>
  <c r="T17" i="279"/>
  <c r="R108" i="280"/>
  <c r="S18" i="280"/>
  <c r="N83" i="468"/>
  <c r="U41" i="284"/>
  <c r="P61" i="279"/>
  <c r="T72" i="283"/>
  <c r="R71" i="284"/>
  <c r="U36" i="284"/>
  <c r="K119" i="468"/>
  <c r="U138" i="279"/>
  <c r="L109" i="278"/>
  <c r="W22" i="283"/>
  <c r="K12" i="468"/>
  <c r="U104" i="278"/>
  <c r="V93" i="468"/>
  <c r="S54" i="275"/>
  <c r="R3" i="281"/>
  <c r="J104" i="281"/>
  <c r="L109" i="281"/>
  <c r="T51" i="468"/>
  <c r="S37" i="468"/>
  <c r="S12" i="280"/>
  <c r="T15" i="280"/>
  <c r="U132" i="279"/>
  <c r="S24" i="278"/>
  <c r="N36" i="281"/>
  <c r="J73" i="281"/>
  <c r="X63" i="282"/>
  <c r="L132" i="278"/>
  <c r="S12" i="275"/>
  <c r="P129" i="282"/>
  <c r="P39" i="468"/>
  <c r="O121" i="468"/>
  <c r="O27" i="281"/>
  <c r="L61" i="275"/>
  <c r="N136" i="468"/>
  <c r="J54" i="282"/>
  <c r="O31" i="468"/>
  <c r="S28" i="468"/>
  <c r="P123" i="283"/>
  <c r="R29" i="278"/>
  <c r="J18" i="281"/>
  <c r="K64" i="279"/>
  <c r="V119" i="278"/>
  <c r="O117" i="281"/>
  <c r="M55" i="281"/>
  <c r="X37" i="281"/>
  <c r="L49" i="468"/>
  <c r="P28" i="278"/>
  <c r="O71" i="275"/>
  <c r="U62" i="279"/>
  <c r="M41" i="468"/>
  <c r="X36" i="275"/>
  <c r="T133" i="278"/>
  <c r="V3" i="281"/>
  <c r="O75" i="279"/>
  <c r="W99" i="275"/>
  <c r="O17" i="275"/>
  <c r="O114" i="280"/>
  <c r="J12" i="282"/>
  <c r="X37" i="280"/>
  <c r="M111" i="275"/>
  <c r="P101" i="278"/>
  <c r="P107" i="275"/>
  <c r="T104" i="279"/>
  <c r="J110" i="282"/>
  <c r="T60" i="468"/>
  <c r="O30" i="284"/>
  <c r="X73" i="468"/>
  <c r="L41" i="278"/>
  <c r="W31" i="468"/>
  <c r="V16" i="278"/>
  <c r="X106" i="279"/>
  <c r="O67" i="468"/>
  <c r="X70" i="194"/>
  <c r="V62" i="282"/>
  <c r="X115" i="278"/>
  <c r="L45" i="468"/>
  <c r="R54" i="275"/>
  <c r="S123" i="279"/>
  <c r="M75" i="280"/>
  <c r="X102" i="278"/>
  <c r="W127" i="275"/>
  <c r="L54" i="281"/>
  <c r="V119" i="283"/>
  <c r="N104" i="468"/>
  <c r="L103" i="279"/>
  <c r="X8" i="282"/>
  <c r="L81" i="468"/>
  <c r="S113" i="282"/>
  <c r="U119" i="468"/>
  <c r="V63" i="275"/>
  <c r="O4" i="286"/>
  <c r="S41" i="279"/>
  <c r="O135" i="468"/>
  <c r="M65" i="468"/>
  <c r="M16" i="278"/>
  <c r="N20" i="281"/>
  <c r="X55" i="286"/>
  <c r="T118" i="275"/>
  <c r="O53" i="278"/>
  <c r="T124" i="278"/>
  <c r="N11" i="468"/>
  <c r="O72" i="279"/>
  <c r="L99" i="275"/>
  <c r="X19" i="284"/>
  <c r="R30" i="468"/>
  <c r="X130" i="279"/>
  <c r="T38" i="278"/>
  <c r="U138" i="283"/>
  <c r="U86" i="468"/>
  <c r="N22" i="280"/>
  <c r="R22" i="279"/>
  <c r="O112" i="468"/>
  <c r="P26" i="279"/>
  <c r="R37" i="282"/>
  <c r="R23" i="468"/>
  <c r="L69" i="280"/>
  <c r="O114" i="275"/>
  <c r="N40" i="279"/>
  <c r="V127" i="283"/>
  <c r="U7" i="281"/>
  <c r="T130" i="283"/>
  <c r="L8" i="468"/>
  <c r="W67" i="280"/>
  <c r="T100" i="275"/>
  <c r="N23" i="283"/>
  <c r="K66" i="468"/>
  <c r="L139" i="278"/>
  <c r="X28" i="283"/>
  <c r="J91" i="468"/>
  <c r="S48" i="280"/>
  <c r="K35" i="275"/>
  <c r="S42" i="468"/>
  <c r="P67" i="468"/>
  <c r="J22" i="280"/>
  <c r="J72" i="468"/>
  <c r="R132" i="468"/>
  <c r="J115" i="278"/>
  <c r="J38" i="281"/>
  <c r="R136" i="280"/>
  <c r="K126" i="281"/>
  <c r="M126" i="468"/>
  <c r="M110" i="284"/>
  <c r="S25" i="275"/>
  <c r="M136" i="194"/>
  <c r="W31" i="281"/>
  <c r="S45" i="278"/>
  <c r="T98" i="279"/>
  <c r="R135" i="280"/>
  <c r="M126" i="284"/>
  <c r="V104" i="275"/>
  <c r="R76" i="282"/>
  <c r="N25" i="194"/>
  <c r="P7" i="468"/>
  <c r="M10" i="278"/>
  <c r="V14" i="275"/>
  <c r="N16" i="283"/>
  <c r="T18" i="278"/>
  <c r="X18" i="286"/>
  <c r="U10" i="468"/>
  <c r="X22" i="279"/>
  <c r="W138" i="279"/>
  <c r="W4" i="278"/>
  <c r="U33" i="279"/>
  <c r="L46" i="284"/>
  <c r="R70" i="279"/>
  <c r="T53" i="283"/>
  <c r="U63" i="282"/>
  <c r="J31" i="282"/>
  <c r="T8" i="275"/>
  <c r="L70" i="279"/>
  <c r="R33" i="283"/>
  <c r="X14" i="280"/>
  <c r="K119" i="278"/>
  <c r="M33" i="284"/>
  <c r="S37" i="275"/>
  <c r="M3" i="279"/>
  <c r="W17" i="278"/>
  <c r="O16" i="278"/>
  <c r="O115" i="468"/>
  <c r="S134" i="275"/>
  <c r="L70" i="468"/>
  <c r="K127" i="279"/>
  <c r="S99" i="279"/>
  <c r="L17" i="278"/>
  <c r="V64" i="468"/>
  <c r="W33" i="278"/>
  <c r="O26" i="281"/>
  <c r="T15" i="281"/>
  <c r="X4" i="286"/>
  <c r="O111" i="279"/>
  <c r="R61" i="278"/>
  <c r="P122" i="275"/>
  <c r="R140" i="275"/>
  <c r="L128" i="275"/>
  <c r="V53" i="279"/>
  <c r="U102" i="284"/>
  <c r="J26" i="281"/>
  <c r="P51" i="468"/>
  <c r="L117" i="278"/>
  <c r="M103" i="282"/>
  <c r="V112" i="284"/>
  <c r="M30" i="275"/>
  <c r="X66" i="275"/>
  <c r="O102" i="280"/>
  <c r="J12" i="275"/>
  <c r="R15" i="278"/>
  <c r="L138" i="284"/>
  <c r="W6" i="280"/>
  <c r="O133" i="281"/>
  <c r="R6" i="284"/>
  <c r="W28" i="281"/>
  <c r="R5" i="281"/>
  <c r="J116" i="468"/>
  <c r="M40" i="275"/>
  <c r="K70" i="282"/>
  <c r="U29" i="278"/>
  <c r="P136" i="284"/>
  <c r="P35" i="281"/>
  <c r="U43" i="278"/>
  <c r="V61" i="281"/>
  <c r="T137" i="281"/>
  <c r="N114" i="275"/>
  <c r="M102" i="280"/>
  <c r="R139" i="278"/>
  <c r="U101" i="284"/>
  <c r="N36" i="280"/>
  <c r="O76" i="281"/>
  <c r="J75" i="468"/>
  <c r="X63" i="275"/>
  <c r="X89" i="468"/>
  <c r="U27" i="194"/>
  <c r="X131" i="280"/>
  <c r="S13" i="278"/>
  <c r="T7" i="468"/>
  <c r="K35" i="278"/>
  <c r="O67" i="280"/>
  <c r="O12" i="275"/>
  <c r="O126" i="278"/>
  <c r="K27" i="275"/>
  <c r="R31" i="279"/>
  <c r="X49" i="281"/>
  <c r="X105" i="278"/>
  <c r="O27" i="282"/>
  <c r="U37" i="275"/>
  <c r="K85" i="468"/>
  <c r="P122" i="468"/>
  <c r="P15" i="281"/>
  <c r="W71" i="275"/>
  <c r="T16" i="279"/>
  <c r="M3" i="284"/>
  <c r="X118" i="468"/>
  <c r="S14" i="283"/>
  <c r="N51" i="278"/>
  <c r="S129" i="279"/>
  <c r="N98" i="278"/>
  <c r="U29" i="279"/>
  <c r="V31" i="279"/>
  <c r="W29" i="284"/>
  <c r="K103" i="282"/>
  <c r="V131" i="278"/>
  <c r="N60" i="282"/>
  <c r="X102" i="282"/>
  <c r="L66" i="279"/>
  <c r="L37" i="280"/>
  <c r="N37" i="278"/>
  <c r="W110" i="282"/>
  <c r="X97" i="468"/>
  <c r="O99" i="278"/>
  <c r="L136" i="282"/>
  <c r="M3" i="468"/>
  <c r="T37" i="468"/>
  <c r="R37" i="275"/>
  <c r="T127" i="280"/>
  <c r="K31" i="194"/>
  <c r="S66" i="281"/>
  <c r="U125" i="279"/>
  <c r="V103" i="282"/>
  <c r="P73" i="279"/>
  <c r="N44" i="281"/>
  <c r="X60" i="275"/>
  <c r="N65" i="284"/>
  <c r="V65" i="278"/>
  <c r="M137" i="468"/>
  <c r="T70" i="281"/>
  <c r="L42" i="275"/>
  <c r="K32" i="275"/>
  <c r="N19" i="468"/>
  <c r="T23" i="275"/>
  <c r="X109" i="278"/>
  <c r="V135" i="281"/>
  <c r="J34" i="275"/>
  <c r="R120" i="278"/>
  <c r="R6" i="281"/>
  <c r="N38" i="280"/>
  <c r="T15" i="284"/>
  <c r="V117" i="279"/>
  <c r="X15" i="281"/>
  <c r="P127" i="278"/>
  <c r="X34" i="281"/>
  <c r="K134" i="282"/>
  <c r="N12" i="281"/>
  <c r="J22" i="275"/>
  <c r="T107" i="279"/>
  <c r="N140" i="281"/>
  <c r="V62" i="279"/>
  <c r="J119" i="284"/>
  <c r="R91" i="283"/>
  <c r="U118" i="284"/>
  <c r="N44" i="278"/>
  <c r="M40" i="283"/>
  <c r="U137" i="278"/>
  <c r="S18" i="468"/>
  <c r="K61" i="279"/>
  <c r="K54" i="281"/>
  <c r="U74" i="468"/>
  <c r="T126" i="284"/>
  <c r="S59" i="281"/>
  <c r="V3" i="280"/>
  <c r="N5" i="284"/>
  <c r="L28" i="282"/>
  <c r="N99" i="468"/>
  <c r="S117" i="275"/>
  <c r="M37" i="282"/>
  <c r="T44" i="280"/>
  <c r="V116" i="279"/>
  <c r="U136" i="283"/>
  <c r="U101" i="278"/>
  <c r="T25" i="468"/>
  <c r="X37" i="283"/>
  <c r="R109" i="275"/>
  <c r="K71" i="281"/>
  <c r="V58" i="282"/>
  <c r="N50" i="279"/>
  <c r="V9" i="278"/>
  <c r="K58" i="278"/>
  <c r="O66" i="468"/>
  <c r="V76" i="283"/>
  <c r="J6" i="283"/>
  <c r="W56" i="283"/>
  <c r="L129" i="282"/>
  <c r="X5" i="468"/>
  <c r="M97" i="468"/>
  <c r="O45" i="280"/>
  <c r="X24" i="275"/>
  <c r="L31" i="280"/>
  <c r="M56" i="284"/>
  <c r="L22" i="278"/>
  <c r="U23" i="278"/>
  <c r="K16" i="280"/>
  <c r="S12" i="468"/>
  <c r="K63" i="275"/>
  <c r="R16" i="284"/>
  <c r="K69" i="281"/>
  <c r="S14" i="284"/>
  <c r="O65" i="283"/>
  <c r="V72" i="282"/>
  <c r="K25" i="279"/>
  <c r="M86" i="281"/>
  <c r="K124" i="280"/>
  <c r="X105" i="194"/>
  <c r="J3" i="468"/>
  <c r="O43" i="275"/>
  <c r="M125" i="468"/>
  <c r="T32" i="282"/>
  <c r="P33" i="283"/>
  <c r="U59" i="275"/>
  <c r="O136" i="468"/>
  <c r="O96" i="279"/>
  <c r="T125" i="468"/>
  <c r="M67" i="284"/>
  <c r="S11" i="282"/>
  <c r="V18" i="275"/>
  <c r="W25" i="283"/>
  <c r="T109" i="282"/>
  <c r="P88" i="468"/>
  <c r="R45" i="468"/>
  <c r="J31" i="281"/>
  <c r="W62" i="282"/>
  <c r="K43" i="282"/>
  <c r="W106" i="280"/>
  <c r="V37" i="281"/>
  <c r="M108" i="279"/>
  <c r="M59" i="275"/>
  <c r="S137" i="468"/>
  <c r="V110" i="468"/>
  <c r="B144" i="468" l="1"/>
  <c r="B146" i="468"/>
  <c r="B143" i="468"/>
  <c r="B151" i="468"/>
  <c r="B155" i="468"/>
  <c r="B153" i="468"/>
  <c r="B154" i="468"/>
  <c r="B150" i="468"/>
  <c r="B145" i="468"/>
  <c r="B152" i="468"/>
  <c r="B142" i="468"/>
  <c r="B147" i="468"/>
  <c r="F158" i="280"/>
  <c r="E151" i="468"/>
  <c r="E145" i="468"/>
  <c r="E152" i="468"/>
  <c r="E143" i="468"/>
  <c r="E147" i="468"/>
  <c r="E155" i="468"/>
  <c r="E142" i="468"/>
  <c r="E150" i="468"/>
  <c r="E154" i="468"/>
  <c r="E146" i="468"/>
  <c r="E144" i="468"/>
  <c r="E153" i="468"/>
  <c r="E144" i="284"/>
  <c r="E152" i="284"/>
  <c r="E145" i="284"/>
  <c r="E155" i="284"/>
  <c r="E154" i="284"/>
  <c r="E142" i="284"/>
  <c r="E153" i="284"/>
  <c r="E151" i="284"/>
  <c r="E146" i="284"/>
  <c r="E147" i="284"/>
  <c r="E143" i="284"/>
  <c r="E150" i="284"/>
  <c r="E145" i="279"/>
  <c r="E146" i="279"/>
  <c r="E155" i="279"/>
  <c r="E143" i="279"/>
  <c r="E154" i="279"/>
  <c r="E142" i="279"/>
  <c r="E147" i="279"/>
  <c r="E150" i="279"/>
  <c r="E153" i="279"/>
  <c r="E151" i="279"/>
  <c r="E152" i="279"/>
  <c r="E144" i="279"/>
  <c r="F159" i="281"/>
  <c r="B159" i="281"/>
  <c r="E158" i="468"/>
  <c r="H143" i="279"/>
  <c r="H145" i="279"/>
  <c r="H153" i="279"/>
  <c r="H155" i="279"/>
  <c r="H144" i="279"/>
  <c r="H152" i="279"/>
  <c r="H147" i="279"/>
  <c r="H150" i="279"/>
  <c r="H151" i="279"/>
  <c r="H142" i="279"/>
  <c r="H146" i="279"/>
  <c r="H154" i="279"/>
  <c r="G164" i="286"/>
  <c r="H150" i="194"/>
  <c r="H142" i="194"/>
  <c r="H145" i="194"/>
  <c r="H149" i="194"/>
  <c r="H151" i="194"/>
  <c r="H143" i="194"/>
  <c r="H144" i="194"/>
  <c r="H152" i="194"/>
  <c r="H141" i="194"/>
  <c r="H154" i="194"/>
  <c r="H153" i="194"/>
  <c r="H146" i="194"/>
  <c r="C154" i="280"/>
  <c r="C145" i="280"/>
  <c r="C147" i="280"/>
  <c r="C153" i="280"/>
  <c r="C152" i="280"/>
  <c r="C150" i="280"/>
  <c r="C142" i="280"/>
  <c r="C146" i="280"/>
  <c r="C144" i="280"/>
  <c r="C151" i="280"/>
  <c r="C155" i="280"/>
  <c r="C143" i="280"/>
  <c r="H152" i="275"/>
  <c r="H151" i="275"/>
  <c r="H155" i="275"/>
  <c r="H150" i="275"/>
  <c r="H142" i="275"/>
  <c r="H147" i="275"/>
  <c r="H144" i="275"/>
  <c r="H143" i="275"/>
  <c r="H154" i="275"/>
  <c r="H145" i="275"/>
  <c r="H146" i="275"/>
  <c r="H153" i="275"/>
  <c r="C157" i="194"/>
  <c r="G158" i="283"/>
  <c r="H152" i="280"/>
  <c r="H154" i="280"/>
  <c r="H142" i="280"/>
  <c r="H151" i="280"/>
  <c r="H146" i="280"/>
  <c r="H145" i="280"/>
  <c r="H144" i="280"/>
  <c r="H150" i="280"/>
  <c r="H143" i="280"/>
  <c r="H153" i="280"/>
  <c r="H155" i="280"/>
  <c r="H147" i="280"/>
  <c r="C142" i="275"/>
  <c r="C151" i="275"/>
  <c r="C145" i="275"/>
  <c r="C152" i="275"/>
  <c r="C155" i="275"/>
  <c r="C154" i="275"/>
  <c r="C153" i="275"/>
  <c r="C144" i="275"/>
  <c r="C146" i="275"/>
  <c r="C143" i="275"/>
  <c r="C147" i="275"/>
  <c r="C150" i="275"/>
  <c r="D157" i="194"/>
  <c r="D158" i="275"/>
  <c r="D159" i="470"/>
  <c r="G151" i="282"/>
  <c r="G146" i="282"/>
  <c r="G154" i="282"/>
  <c r="G144" i="282"/>
  <c r="G153" i="282"/>
  <c r="G152" i="282"/>
  <c r="G142" i="282"/>
  <c r="G155" i="282"/>
  <c r="G150" i="282"/>
  <c r="G145" i="282"/>
  <c r="G147" i="282"/>
  <c r="G143" i="282"/>
  <c r="C158" i="468"/>
  <c r="C153" i="278"/>
  <c r="C146" i="278"/>
  <c r="C155" i="278"/>
  <c r="C143" i="278"/>
  <c r="C145" i="278"/>
  <c r="C152" i="278"/>
  <c r="C151" i="278"/>
  <c r="C147" i="278"/>
  <c r="C142" i="278"/>
  <c r="C144" i="278"/>
  <c r="C150" i="278"/>
  <c r="C154" i="278"/>
  <c r="E159" i="470"/>
  <c r="D164" i="286"/>
  <c r="F158" i="285"/>
  <c r="B155" i="283"/>
  <c r="B153" i="283"/>
  <c r="B143" i="283"/>
  <c r="B152" i="283"/>
  <c r="B150" i="283"/>
  <c r="B147" i="283"/>
  <c r="B146" i="283"/>
  <c r="B144" i="283"/>
  <c r="B142" i="283"/>
  <c r="B151" i="283"/>
  <c r="B154" i="283"/>
  <c r="B145" i="283"/>
  <c r="D154" i="470"/>
  <c r="D146" i="470"/>
  <c r="D151" i="470"/>
  <c r="D152" i="470"/>
  <c r="D155" i="470"/>
  <c r="D156" i="470"/>
  <c r="D147" i="470"/>
  <c r="D144" i="470"/>
  <c r="D145" i="470"/>
  <c r="D148" i="470"/>
  <c r="D143" i="470"/>
  <c r="D153" i="470"/>
  <c r="G158" i="282"/>
  <c r="E158" i="279"/>
  <c r="F152" i="470"/>
  <c r="F144" i="470"/>
  <c r="F153" i="470"/>
  <c r="F151" i="470"/>
  <c r="F147" i="470"/>
  <c r="F143" i="470"/>
  <c r="F154" i="470"/>
  <c r="F156" i="470"/>
  <c r="F155" i="470"/>
  <c r="F145" i="470"/>
  <c r="F148" i="470"/>
  <c r="F146" i="470"/>
  <c r="D158" i="283"/>
  <c r="B159" i="286"/>
  <c r="B148" i="286"/>
  <c r="B160" i="286"/>
  <c r="B149" i="286"/>
  <c r="B151" i="286"/>
  <c r="B157" i="286"/>
  <c r="B150" i="286"/>
  <c r="B158" i="286"/>
  <c r="B156" i="286"/>
  <c r="B152" i="286"/>
  <c r="B153" i="286"/>
  <c r="B161" i="286"/>
  <c r="F157" i="194"/>
  <c r="H164" i="286"/>
  <c r="E151" i="286"/>
  <c r="E158" i="286"/>
  <c r="E161" i="286"/>
  <c r="E152" i="286"/>
  <c r="E153" i="286"/>
  <c r="E157" i="286"/>
  <c r="E149" i="286"/>
  <c r="E156" i="286"/>
  <c r="E150" i="286"/>
  <c r="E160" i="286"/>
  <c r="E148" i="286"/>
  <c r="E159" i="286"/>
  <c r="E157" i="194"/>
  <c r="B158" i="275"/>
  <c r="H161" i="286"/>
  <c r="H151" i="286"/>
  <c r="H153" i="286"/>
  <c r="H157" i="286"/>
  <c r="H152" i="286"/>
  <c r="H160" i="286"/>
  <c r="H150" i="286"/>
  <c r="H149" i="286"/>
  <c r="H148" i="286"/>
  <c r="H158" i="286"/>
  <c r="H156" i="286"/>
  <c r="H159" i="286"/>
  <c r="G159" i="286"/>
  <c r="G153" i="286"/>
  <c r="G157" i="286"/>
  <c r="G150" i="286"/>
  <c r="G148" i="286"/>
  <c r="G161" i="286"/>
  <c r="G149" i="286"/>
  <c r="G158" i="286"/>
  <c r="G152" i="286"/>
  <c r="G156" i="286"/>
  <c r="G151" i="286"/>
  <c r="G160" i="286"/>
  <c r="F150" i="286"/>
  <c r="F151" i="286"/>
  <c r="F161" i="286"/>
  <c r="F160" i="286"/>
  <c r="F149" i="286"/>
  <c r="F156" i="286"/>
  <c r="F159" i="286"/>
  <c r="F157" i="286"/>
  <c r="F153" i="286"/>
  <c r="F148" i="286"/>
  <c r="F152" i="286"/>
  <c r="F158" i="286"/>
  <c r="E164" i="286"/>
  <c r="D143" i="279"/>
  <c r="D146" i="279"/>
  <c r="D145" i="279"/>
  <c r="D154" i="279"/>
  <c r="D155" i="279"/>
  <c r="D151" i="279"/>
  <c r="D150" i="279"/>
  <c r="D153" i="279"/>
  <c r="D147" i="279"/>
  <c r="D144" i="279"/>
  <c r="D142" i="279"/>
  <c r="D152" i="279"/>
  <c r="E158" i="278"/>
  <c r="D147" i="468"/>
  <c r="D142" i="468"/>
  <c r="D144" i="468"/>
  <c r="D152" i="468"/>
  <c r="D155" i="468"/>
  <c r="D150" i="468"/>
  <c r="D143" i="468"/>
  <c r="D154" i="468"/>
  <c r="D153" i="468"/>
  <c r="D151" i="468"/>
  <c r="D146" i="468"/>
  <c r="D145" i="468"/>
  <c r="B158" i="468"/>
  <c r="F142" i="283"/>
  <c r="F155" i="283"/>
  <c r="F145" i="283"/>
  <c r="F146" i="283"/>
  <c r="F154" i="283"/>
  <c r="F150" i="283"/>
  <c r="F147" i="283"/>
  <c r="F144" i="283"/>
  <c r="F153" i="283"/>
  <c r="F143" i="283"/>
  <c r="F152" i="283"/>
  <c r="F151" i="283"/>
  <c r="E155" i="470"/>
  <c r="E154" i="470"/>
  <c r="E151" i="470"/>
  <c r="E145" i="470"/>
  <c r="E153" i="470"/>
  <c r="E144" i="470"/>
  <c r="E143" i="470"/>
  <c r="E147" i="470"/>
  <c r="E148" i="470"/>
  <c r="E156" i="470"/>
  <c r="E152" i="470"/>
  <c r="E146" i="470"/>
  <c r="G158" i="278"/>
  <c r="F150" i="279"/>
  <c r="F145" i="279"/>
  <c r="F144" i="279"/>
  <c r="F151" i="279"/>
  <c r="F155" i="279"/>
  <c r="F152" i="279"/>
  <c r="F143" i="279"/>
  <c r="F146" i="279"/>
  <c r="F142" i="279"/>
  <c r="F154" i="279"/>
  <c r="F153" i="279"/>
  <c r="F147" i="279"/>
  <c r="B146" i="282"/>
  <c r="B142" i="282"/>
  <c r="B154" i="282"/>
  <c r="B144" i="282"/>
  <c r="B151" i="282"/>
  <c r="B152" i="282"/>
  <c r="B145" i="282"/>
  <c r="B150" i="282"/>
  <c r="B155" i="282"/>
  <c r="B143" i="282"/>
  <c r="B153" i="282"/>
  <c r="B147" i="282"/>
  <c r="C145" i="194"/>
  <c r="C144" i="194"/>
  <c r="C152" i="194"/>
  <c r="C143" i="194"/>
  <c r="C142" i="194"/>
  <c r="C151" i="194"/>
  <c r="C153" i="194"/>
  <c r="C149" i="194"/>
  <c r="C154" i="194"/>
  <c r="C150" i="194"/>
  <c r="C146" i="194"/>
  <c r="C141" i="194"/>
  <c r="D153" i="278"/>
  <c r="D142" i="278"/>
  <c r="D147" i="278"/>
  <c r="D143" i="278"/>
  <c r="D145" i="278"/>
  <c r="D150" i="278"/>
  <c r="D155" i="278"/>
  <c r="D154" i="278"/>
  <c r="D144" i="278"/>
  <c r="D152" i="278"/>
  <c r="D151" i="278"/>
  <c r="D146" i="278"/>
  <c r="F143" i="194"/>
  <c r="F141" i="194"/>
  <c r="F146" i="194"/>
  <c r="F142" i="194"/>
  <c r="F150" i="194"/>
  <c r="F152" i="194"/>
  <c r="F151" i="194"/>
  <c r="F154" i="194"/>
  <c r="F149" i="194"/>
  <c r="F153" i="194"/>
  <c r="F145" i="194"/>
  <c r="F144" i="194"/>
  <c r="C158" i="279"/>
  <c r="D158" i="279"/>
  <c r="B158" i="279"/>
  <c r="D158" i="280"/>
  <c r="H158" i="275"/>
  <c r="F142" i="280"/>
  <c r="F143" i="280"/>
  <c r="F154" i="280"/>
  <c r="F151" i="280"/>
  <c r="F150" i="280"/>
  <c r="F153" i="280"/>
  <c r="F145" i="280"/>
  <c r="F146" i="280"/>
  <c r="F152" i="280"/>
  <c r="F144" i="280"/>
  <c r="F147" i="280"/>
  <c r="F155" i="280"/>
  <c r="H158" i="279"/>
  <c r="G158" i="284"/>
  <c r="G153" i="275"/>
  <c r="G146" i="275"/>
  <c r="G142" i="275"/>
  <c r="G154" i="275"/>
  <c r="G155" i="275"/>
  <c r="G143" i="275"/>
  <c r="G152" i="275"/>
  <c r="G147" i="275"/>
  <c r="G145" i="275"/>
  <c r="G144" i="275"/>
  <c r="G150" i="275"/>
  <c r="G151" i="275"/>
  <c r="C158" i="285"/>
  <c r="B152" i="280"/>
  <c r="B144" i="280"/>
  <c r="B151" i="280"/>
  <c r="B150" i="280"/>
  <c r="B143" i="280"/>
  <c r="B154" i="280"/>
  <c r="B153" i="280"/>
  <c r="B142" i="280"/>
  <c r="B145" i="280"/>
  <c r="B155" i="280"/>
  <c r="B147" i="280"/>
  <c r="B146" i="280"/>
  <c r="G145" i="470"/>
  <c r="G153" i="470"/>
  <c r="G143" i="470"/>
  <c r="G152" i="470"/>
  <c r="G146" i="470"/>
  <c r="G155" i="470"/>
  <c r="G151" i="470"/>
  <c r="G147" i="470"/>
  <c r="G154" i="470"/>
  <c r="G144" i="470"/>
  <c r="G156" i="470"/>
  <c r="G148" i="470"/>
  <c r="D152" i="286"/>
  <c r="D150" i="286"/>
  <c r="D156" i="286"/>
  <c r="D153" i="286"/>
  <c r="D148" i="286"/>
  <c r="D149" i="286"/>
  <c r="D161" i="286"/>
  <c r="D158" i="286"/>
  <c r="D157" i="286"/>
  <c r="D160" i="286"/>
  <c r="D151" i="286"/>
  <c r="D159" i="286"/>
  <c r="C159" i="470"/>
  <c r="H153" i="470"/>
  <c r="H154" i="470"/>
  <c r="H156" i="470"/>
  <c r="H143" i="470"/>
  <c r="H144" i="470"/>
  <c r="H146" i="470"/>
  <c r="H152" i="470"/>
  <c r="H145" i="470"/>
  <c r="H148" i="470"/>
  <c r="H151" i="470"/>
  <c r="H155" i="470"/>
  <c r="H147" i="470"/>
  <c r="H159" i="470"/>
  <c r="B153" i="470"/>
  <c r="B155" i="470"/>
  <c r="B145" i="470"/>
  <c r="B154" i="470"/>
  <c r="B151" i="470"/>
  <c r="B144" i="470"/>
  <c r="B152" i="470"/>
  <c r="B148" i="470"/>
  <c r="B143" i="470"/>
  <c r="B156" i="470"/>
  <c r="B147" i="470"/>
  <c r="B146" i="470"/>
  <c r="H158" i="285"/>
  <c r="G158" i="280"/>
  <c r="H157" i="194"/>
  <c r="E158" i="275"/>
  <c r="H158" i="278"/>
  <c r="C158" i="282"/>
  <c r="G146" i="194"/>
  <c r="G151" i="194"/>
  <c r="G153" i="194"/>
  <c r="G141" i="194"/>
  <c r="G150" i="194"/>
  <c r="G145" i="194"/>
  <c r="G152" i="194"/>
  <c r="G144" i="194"/>
  <c r="G154" i="194"/>
  <c r="G143" i="194"/>
  <c r="G142" i="194"/>
  <c r="G149" i="194"/>
  <c r="B153" i="275"/>
  <c r="B150" i="275"/>
  <c r="B151" i="275"/>
  <c r="B147" i="275"/>
  <c r="B152" i="275"/>
  <c r="B154" i="275"/>
  <c r="B155" i="275"/>
  <c r="B144" i="275"/>
  <c r="B143" i="275"/>
  <c r="B146" i="275"/>
  <c r="B145" i="275"/>
  <c r="B142" i="275"/>
  <c r="G151" i="468"/>
  <c r="G144" i="468"/>
  <c r="G154" i="468"/>
  <c r="G143" i="468"/>
  <c r="G155" i="468"/>
  <c r="G147" i="468"/>
  <c r="G153" i="468"/>
  <c r="G145" i="468"/>
  <c r="G142" i="468"/>
  <c r="G150" i="468"/>
  <c r="G146" i="468"/>
  <c r="G152" i="468"/>
  <c r="F158" i="282"/>
  <c r="D143" i="283"/>
  <c r="D153" i="283"/>
  <c r="D154" i="283"/>
  <c r="D146" i="283"/>
  <c r="D147" i="283"/>
  <c r="D151" i="283"/>
  <c r="D142" i="283"/>
  <c r="D152" i="283"/>
  <c r="D145" i="283"/>
  <c r="D155" i="283"/>
  <c r="D150" i="283"/>
  <c r="D144" i="283"/>
  <c r="C158" i="275"/>
  <c r="F158" i="279"/>
  <c r="E146" i="194"/>
  <c r="E153" i="194"/>
  <c r="E145" i="194"/>
  <c r="E151" i="194"/>
  <c r="E141" i="194"/>
  <c r="E152" i="194"/>
  <c r="E149" i="194"/>
  <c r="E142" i="194"/>
  <c r="E154" i="194"/>
  <c r="E144" i="194"/>
  <c r="E143" i="194"/>
  <c r="E150" i="194"/>
  <c r="H158" i="280"/>
  <c r="C154" i="282"/>
  <c r="C142" i="282"/>
  <c r="C143" i="282"/>
  <c r="C151" i="282"/>
  <c r="C150" i="282"/>
  <c r="C152" i="282"/>
  <c r="C145" i="282"/>
  <c r="C146" i="282"/>
  <c r="C153" i="282"/>
  <c r="C147" i="282"/>
  <c r="C144" i="282"/>
  <c r="C155" i="282"/>
  <c r="D158" i="278"/>
  <c r="H153" i="468"/>
  <c r="H152" i="468"/>
  <c r="H142" i="468"/>
  <c r="H150" i="468"/>
  <c r="H146" i="468"/>
  <c r="H155" i="468"/>
  <c r="H151" i="468"/>
  <c r="H147" i="468"/>
  <c r="H154" i="468"/>
  <c r="H143" i="468"/>
  <c r="H144" i="468"/>
  <c r="H145" i="468"/>
  <c r="D159" i="281"/>
  <c r="B158" i="278"/>
  <c r="D143" i="280"/>
  <c r="D144" i="280"/>
  <c r="D146" i="280"/>
  <c r="D145" i="280"/>
  <c r="D154" i="280"/>
  <c r="D142" i="280"/>
  <c r="D151" i="280"/>
  <c r="D150" i="280"/>
  <c r="D152" i="280"/>
  <c r="D155" i="280"/>
  <c r="D147" i="280"/>
  <c r="D153" i="280"/>
  <c r="D141" i="194"/>
  <c r="D142" i="194"/>
  <c r="D143" i="194"/>
  <c r="D149" i="194"/>
  <c r="D146" i="194"/>
  <c r="D150" i="194"/>
  <c r="D145" i="194"/>
  <c r="D144" i="194"/>
  <c r="D151" i="194"/>
  <c r="D152" i="194"/>
  <c r="D153" i="194"/>
  <c r="D154" i="194"/>
  <c r="B157" i="194"/>
  <c r="H158" i="468"/>
  <c r="C148" i="470"/>
  <c r="C144" i="470"/>
  <c r="C145" i="470"/>
  <c r="C151" i="470"/>
  <c r="C147" i="470"/>
  <c r="C155" i="470"/>
  <c r="C153" i="470"/>
  <c r="C154" i="470"/>
  <c r="C146" i="470"/>
  <c r="C152" i="470"/>
  <c r="C156" i="470"/>
  <c r="C143" i="470"/>
  <c r="G158" i="275"/>
  <c r="B158" i="280"/>
  <c r="H142" i="278"/>
  <c r="H154" i="278"/>
  <c r="H147" i="278"/>
  <c r="H145" i="278"/>
  <c r="H144" i="278"/>
  <c r="H151" i="278"/>
  <c r="H143" i="278"/>
  <c r="H153" i="278"/>
  <c r="H150" i="278"/>
  <c r="H152" i="278"/>
  <c r="H155" i="278"/>
  <c r="H146" i="278"/>
  <c r="B158" i="283"/>
  <c r="B144" i="281"/>
  <c r="B146" i="281"/>
  <c r="B147" i="281"/>
  <c r="B154" i="281"/>
  <c r="B148" i="281"/>
  <c r="B151" i="281"/>
  <c r="B145" i="281"/>
  <c r="B155" i="281"/>
  <c r="B152" i="281"/>
  <c r="B143" i="281"/>
  <c r="B156" i="281"/>
  <c r="B153" i="281"/>
  <c r="E158" i="280"/>
  <c r="H148" i="281"/>
  <c r="H147" i="281"/>
  <c r="H154" i="281"/>
  <c r="H145" i="281"/>
  <c r="H153" i="281"/>
  <c r="H144" i="281"/>
  <c r="H146" i="281"/>
  <c r="H151" i="281"/>
  <c r="H152" i="281"/>
  <c r="H156" i="281"/>
  <c r="H155" i="281"/>
  <c r="H143" i="281"/>
  <c r="D158" i="468"/>
  <c r="B154" i="279"/>
  <c r="B142" i="279"/>
  <c r="B144" i="279"/>
  <c r="B153" i="279"/>
  <c r="B146" i="279"/>
  <c r="B143" i="279"/>
  <c r="B147" i="279"/>
  <c r="B145" i="279"/>
  <c r="B151" i="279"/>
  <c r="B152" i="279"/>
  <c r="B150" i="279"/>
  <c r="B155" i="279"/>
  <c r="C146" i="468"/>
  <c r="C153" i="468"/>
  <c r="C147" i="468"/>
  <c r="C143" i="468"/>
  <c r="C142" i="468"/>
  <c r="C144" i="468"/>
  <c r="C151" i="468"/>
  <c r="C150" i="468"/>
  <c r="C152" i="468"/>
  <c r="C154" i="468"/>
  <c r="C145" i="468"/>
  <c r="C155" i="468"/>
  <c r="D151" i="282"/>
  <c r="D154" i="282"/>
  <c r="D146" i="282"/>
  <c r="D147" i="282"/>
  <c r="D153" i="282"/>
  <c r="D143" i="282"/>
  <c r="D150" i="282"/>
  <c r="D145" i="282"/>
  <c r="D144" i="282"/>
  <c r="D152" i="282"/>
  <c r="D155" i="282"/>
  <c r="D142" i="282"/>
  <c r="B150" i="284"/>
  <c r="B146" i="284"/>
  <c r="B147" i="284"/>
  <c r="B153" i="284"/>
  <c r="B152" i="284"/>
  <c r="B151" i="284"/>
  <c r="B143" i="284"/>
  <c r="B145" i="284"/>
  <c r="B144" i="284"/>
  <c r="B142" i="284"/>
  <c r="B154" i="284"/>
  <c r="B155" i="284"/>
  <c r="C164" i="286"/>
  <c r="B164" i="286"/>
  <c r="F158" i="278"/>
  <c r="C158" i="283"/>
  <c r="E144" i="275"/>
  <c r="E152" i="275"/>
  <c r="E153" i="275"/>
  <c r="E154" i="275"/>
  <c r="E147" i="275"/>
  <c r="E143" i="275"/>
  <c r="E142" i="275"/>
  <c r="E146" i="275"/>
  <c r="E155" i="275"/>
  <c r="E151" i="275"/>
  <c r="E150" i="275"/>
  <c r="E145" i="275"/>
  <c r="B143" i="194"/>
  <c r="B141" i="194"/>
  <c r="B142" i="194"/>
  <c r="B149" i="194"/>
  <c r="B150" i="194"/>
  <c r="B144" i="194"/>
  <c r="B151" i="194"/>
  <c r="B154" i="194"/>
  <c r="B152" i="194"/>
  <c r="B145" i="194"/>
  <c r="B146" i="194"/>
  <c r="B153" i="194"/>
  <c r="C154" i="283"/>
  <c r="C143" i="283"/>
  <c r="C145" i="283"/>
  <c r="C150" i="283"/>
  <c r="C152" i="283"/>
  <c r="C151" i="283"/>
  <c r="C153" i="283"/>
  <c r="C147" i="283"/>
  <c r="C155" i="283"/>
  <c r="C144" i="283"/>
  <c r="C142" i="283"/>
  <c r="C146" i="283"/>
  <c r="G159" i="470"/>
  <c r="B146" i="278"/>
  <c r="B155" i="278"/>
  <c r="B147" i="278"/>
  <c r="B143" i="278"/>
  <c r="B154" i="278"/>
  <c r="B152" i="278"/>
  <c r="B145" i="278"/>
  <c r="B150" i="278"/>
  <c r="B153" i="278"/>
  <c r="B151" i="278"/>
  <c r="B144" i="278"/>
  <c r="B142" i="278"/>
  <c r="H151" i="284"/>
  <c r="H145" i="284"/>
  <c r="H150" i="284"/>
  <c r="H152" i="284"/>
  <c r="H154" i="284"/>
  <c r="H144" i="284"/>
  <c r="H143" i="284"/>
  <c r="H147" i="284"/>
  <c r="H142" i="284"/>
  <c r="H155" i="284"/>
  <c r="H146" i="284"/>
  <c r="H153" i="284"/>
  <c r="D144" i="275"/>
  <c r="D154" i="275"/>
  <c r="D150" i="275"/>
  <c r="D147" i="275"/>
  <c r="D153" i="275"/>
  <c r="D142" i="275"/>
  <c r="D155" i="275"/>
  <c r="D145" i="275"/>
  <c r="D151" i="275"/>
  <c r="D146" i="275"/>
  <c r="D152" i="275"/>
  <c r="D143" i="275"/>
  <c r="B159" i="470"/>
  <c r="F147" i="468"/>
  <c r="F154" i="468"/>
  <c r="F151" i="468"/>
  <c r="F146" i="468"/>
  <c r="F143" i="468"/>
  <c r="F144" i="468"/>
  <c r="F150" i="468"/>
  <c r="F142" i="468"/>
  <c r="F145" i="468"/>
  <c r="F153" i="468"/>
  <c r="F155" i="468"/>
  <c r="F152" i="468"/>
  <c r="G155" i="280"/>
  <c r="G147" i="280"/>
  <c r="G151" i="280"/>
  <c r="G150" i="280"/>
  <c r="G153" i="280"/>
  <c r="G143" i="280"/>
  <c r="G144" i="280"/>
  <c r="G154" i="280"/>
  <c r="G152" i="280"/>
  <c r="G145" i="280"/>
  <c r="G142" i="280"/>
  <c r="G146" i="280"/>
  <c r="C155" i="284"/>
  <c r="C152" i="284"/>
  <c r="C145" i="284"/>
  <c r="C151" i="284"/>
  <c r="C150" i="284"/>
  <c r="C154" i="284"/>
  <c r="C143" i="284"/>
  <c r="C153" i="284"/>
  <c r="C147" i="284"/>
  <c r="C146" i="284"/>
  <c r="C142" i="284"/>
  <c r="C144" i="284"/>
  <c r="G158" i="279"/>
  <c r="G147" i="279"/>
  <c r="G146" i="279"/>
  <c r="G152" i="279"/>
  <c r="G144" i="279"/>
  <c r="G143" i="279"/>
  <c r="G155" i="279"/>
  <c r="G145" i="279"/>
  <c r="G153" i="279"/>
  <c r="G150" i="279"/>
  <c r="G154" i="279"/>
  <c r="G142" i="279"/>
  <c r="G151" i="279"/>
  <c r="B158" i="282"/>
  <c r="H158" i="282"/>
  <c r="G143" i="278"/>
  <c r="G146" i="278"/>
  <c r="G153" i="278"/>
  <c r="G147" i="278"/>
  <c r="G144" i="278"/>
  <c r="G152" i="278"/>
  <c r="G142" i="278"/>
  <c r="G150" i="278"/>
  <c r="G151" i="278"/>
  <c r="G145" i="278"/>
  <c r="G154" i="278"/>
  <c r="G155" i="278"/>
  <c r="D158" i="282"/>
  <c r="G146" i="281"/>
  <c r="G148" i="281"/>
  <c r="G145" i="281"/>
  <c r="G152" i="281"/>
  <c r="G147" i="281"/>
  <c r="G143" i="281"/>
  <c r="G151" i="281"/>
  <c r="G153" i="281"/>
  <c r="G155" i="281"/>
  <c r="G144" i="281"/>
  <c r="G154" i="281"/>
  <c r="G156" i="281"/>
  <c r="C159" i="281"/>
  <c r="E158" i="284"/>
  <c r="D151" i="281"/>
  <c r="D144" i="281"/>
  <c r="D147" i="281"/>
  <c r="D148" i="281"/>
  <c r="D153" i="281"/>
  <c r="D155" i="281"/>
  <c r="D156" i="281"/>
  <c r="D152" i="281"/>
  <c r="D143" i="281"/>
  <c r="D146" i="281"/>
  <c r="D145" i="281"/>
  <c r="D154" i="281"/>
  <c r="F151" i="281"/>
  <c r="F147" i="281"/>
  <c r="F145" i="281"/>
  <c r="F154" i="281"/>
  <c r="F143" i="281"/>
  <c r="F144" i="281"/>
  <c r="F146" i="281"/>
  <c r="F152" i="281"/>
  <c r="F153" i="281"/>
  <c r="F155" i="281"/>
  <c r="F148" i="281"/>
  <c r="F156" i="281"/>
  <c r="F153" i="275"/>
  <c r="F144" i="275"/>
  <c r="F143" i="275"/>
  <c r="F142" i="275"/>
  <c r="F152" i="275"/>
  <c r="F146" i="275"/>
  <c r="F147" i="275"/>
  <c r="F150" i="275"/>
  <c r="F154" i="275"/>
  <c r="F145" i="275"/>
  <c r="F155" i="275"/>
  <c r="F151" i="275"/>
  <c r="H151" i="285"/>
  <c r="H143" i="285"/>
  <c r="H150" i="285"/>
  <c r="H154" i="285"/>
  <c r="H142" i="285"/>
  <c r="H153" i="285"/>
  <c r="H145" i="285"/>
  <c r="H144" i="285"/>
  <c r="H146" i="285"/>
  <c r="H147" i="285"/>
  <c r="H155" i="285"/>
  <c r="H152" i="285"/>
  <c r="D142" i="284"/>
  <c r="D152" i="284"/>
  <c r="D153" i="284"/>
  <c r="D144" i="284"/>
  <c r="D147" i="284"/>
  <c r="D145" i="284"/>
  <c r="D151" i="284"/>
  <c r="D154" i="284"/>
  <c r="D143" i="284"/>
  <c r="D150" i="284"/>
  <c r="D146" i="284"/>
  <c r="D155" i="284"/>
  <c r="H158" i="284"/>
  <c r="C143" i="285"/>
  <c r="C153" i="285"/>
  <c r="C154" i="285"/>
  <c r="C144" i="285"/>
  <c r="C151" i="285"/>
  <c r="C146" i="285"/>
  <c r="C152" i="285"/>
  <c r="C142" i="285"/>
  <c r="C147" i="285"/>
  <c r="C145" i="285"/>
  <c r="C155" i="285"/>
  <c r="C150" i="285"/>
  <c r="E159" i="281"/>
  <c r="C158" i="280"/>
  <c r="E154" i="285"/>
  <c r="E151" i="285"/>
  <c r="E142" i="285"/>
  <c r="E150" i="285"/>
  <c r="E144" i="285"/>
  <c r="E143" i="285"/>
  <c r="E145" i="285"/>
  <c r="E146" i="285"/>
  <c r="E147" i="285"/>
  <c r="E152" i="285"/>
  <c r="E155" i="285"/>
  <c r="E153" i="285"/>
  <c r="G159" i="281"/>
  <c r="H158" i="283"/>
  <c r="E147" i="280"/>
  <c r="E145" i="280"/>
  <c r="E153" i="280"/>
  <c r="E142" i="280"/>
  <c r="E146" i="280"/>
  <c r="E154" i="280"/>
  <c r="E151" i="280"/>
  <c r="E144" i="280"/>
  <c r="E143" i="280"/>
  <c r="E155" i="280"/>
  <c r="E150" i="280"/>
  <c r="E152" i="280"/>
  <c r="E150" i="283"/>
  <c r="E144" i="283"/>
  <c r="E155" i="283"/>
  <c r="E147" i="283"/>
  <c r="E145" i="283"/>
  <c r="E152" i="283"/>
  <c r="E153" i="283"/>
  <c r="E146" i="283"/>
  <c r="E143" i="283"/>
  <c r="E154" i="283"/>
  <c r="E142" i="283"/>
  <c r="E151" i="283"/>
  <c r="E144" i="278"/>
  <c r="E155" i="278"/>
  <c r="E150" i="278"/>
  <c r="E147" i="278"/>
  <c r="E143" i="278"/>
  <c r="E154" i="278"/>
  <c r="E153" i="278"/>
  <c r="E142" i="278"/>
  <c r="E151" i="278"/>
  <c r="E152" i="278"/>
  <c r="E145" i="278"/>
  <c r="E146" i="278"/>
  <c r="E145" i="281"/>
  <c r="E143" i="281"/>
  <c r="E155" i="281"/>
  <c r="E151" i="281"/>
  <c r="E153" i="281"/>
  <c r="E147" i="281"/>
  <c r="E154" i="281"/>
  <c r="E148" i="281"/>
  <c r="E146" i="281"/>
  <c r="E144" i="281"/>
  <c r="E156" i="281"/>
  <c r="E152" i="281"/>
  <c r="F146" i="284"/>
  <c r="F152" i="284"/>
  <c r="F145" i="284"/>
  <c r="F151" i="284"/>
  <c r="F155" i="284"/>
  <c r="F143" i="284"/>
  <c r="F144" i="284"/>
  <c r="F142" i="284"/>
  <c r="F153" i="284"/>
  <c r="F154" i="284"/>
  <c r="F150" i="284"/>
  <c r="F147" i="284"/>
  <c r="H159" i="281"/>
  <c r="F158" i="275"/>
  <c r="E158" i="282"/>
  <c r="G158" i="468"/>
  <c r="C151" i="286"/>
  <c r="C158" i="286"/>
  <c r="C159" i="286"/>
  <c r="C148" i="286"/>
  <c r="C157" i="286"/>
  <c r="C156" i="286"/>
  <c r="C149" i="286"/>
  <c r="C152" i="286"/>
  <c r="C160" i="286"/>
  <c r="C161" i="286"/>
  <c r="C150" i="286"/>
  <c r="C153" i="286"/>
  <c r="E158" i="285"/>
  <c r="D145" i="285"/>
  <c r="D144" i="285"/>
  <c r="D154" i="285"/>
  <c r="D147" i="285"/>
  <c r="D152" i="285"/>
  <c r="D146" i="285"/>
  <c r="D150" i="285"/>
  <c r="D143" i="285"/>
  <c r="D155" i="285"/>
  <c r="D142" i="285"/>
  <c r="D153" i="285"/>
  <c r="D151" i="285"/>
  <c r="D158" i="285"/>
  <c r="F164" i="286"/>
  <c r="C158" i="278"/>
  <c r="G157" i="194"/>
  <c r="B155" i="285"/>
  <c r="B154" i="285"/>
  <c r="B144" i="285"/>
  <c r="B143" i="285"/>
  <c r="B152" i="285"/>
  <c r="B142" i="285"/>
  <c r="B150" i="285"/>
  <c r="B147" i="285"/>
  <c r="B151" i="285"/>
  <c r="B145" i="285"/>
  <c r="B153" i="285"/>
  <c r="B146" i="285"/>
  <c r="F159" i="470"/>
  <c r="H155" i="283"/>
  <c r="H147" i="283"/>
  <c r="H143" i="283"/>
  <c r="H144" i="283"/>
  <c r="H151" i="283"/>
  <c r="H146" i="283"/>
  <c r="H152" i="283"/>
  <c r="H145" i="283"/>
  <c r="H142" i="283"/>
  <c r="H153" i="283"/>
  <c r="H150" i="283"/>
  <c r="H154" i="283"/>
  <c r="G146" i="283"/>
  <c r="G142" i="283"/>
  <c r="G151" i="283"/>
  <c r="G153" i="283"/>
  <c r="G147" i="283"/>
  <c r="G144" i="283"/>
  <c r="G143" i="283"/>
  <c r="G155" i="283"/>
  <c r="G152" i="283"/>
  <c r="G154" i="283"/>
  <c r="G150" i="283"/>
  <c r="G145" i="283"/>
  <c r="C155" i="279"/>
  <c r="C150" i="279"/>
  <c r="C153" i="279"/>
  <c r="C152" i="279"/>
  <c r="C151" i="279"/>
  <c r="C143" i="279"/>
  <c r="C147" i="279"/>
  <c r="C145" i="279"/>
  <c r="C154" i="279"/>
  <c r="C146" i="279"/>
  <c r="C142" i="279"/>
  <c r="C144" i="279"/>
  <c r="G154" i="285"/>
  <c r="G151" i="285"/>
  <c r="G142" i="285"/>
  <c r="G143" i="285"/>
  <c r="G147" i="285"/>
  <c r="G144" i="285"/>
  <c r="G152" i="285"/>
  <c r="G155" i="285"/>
  <c r="G153" i="285"/>
  <c r="G146" i="285"/>
  <c r="G150" i="285"/>
  <c r="G145" i="285"/>
  <c r="E158" i="283"/>
  <c r="F158" i="468"/>
  <c r="C152" i="281"/>
  <c r="C154" i="281"/>
  <c r="C148" i="281"/>
  <c r="C146" i="281"/>
  <c r="C151" i="281"/>
  <c r="C153" i="281"/>
  <c r="C145" i="281"/>
  <c r="C144" i="281"/>
  <c r="C155" i="281"/>
  <c r="C143" i="281"/>
  <c r="C147" i="281"/>
  <c r="C156" i="281"/>
  <c r="F158" i="284"/>
  <c r="H146" i="282"/>
  <c r="H153" i="282"/>
  <c r="H142" i="282"/>
  <c r="H154" i="282"/>
  <c r="H144" i="282"/>
  <c r="H150" i="282"/>
  <c r="H143" i="282"/>
  <c r="H145" i="282"/>
  <c r="H151" i="282"/>
  <c r="H152" i="282"/>
  <c r="H147" i="282"/>
  <c r="H155" i="282"/>
  <c r="G158" i="285"/>
  <c r="B158" i="285"/>
  <c r="E155" i="282"/>
  <c r="E150" i="282"/>
  <c r="E144" i="282"/>
  <c r="E147" i="282"/>
  <c r="E152" i="282"/>
  <c r="E143" i="282"/>
  <c r="E154" i="282"/>
  <c r="E151" i="282"/>
  <c r="E145" i="282"/>
  <c r="E146" i="282"/>
  <c r="E142" i="282"/>
  <c r="E153" i="282"/>
  <c r="G145" i="284"/>
  <c r="G146" i="284"/>
  <c r="G152" i="284"/>
  <c r="G142" i="284"/>
  <c r="G143" i="284"/>
  <c r="G147" i="284"/>
  <c r="G150" i="284"/>
  <c r="G144" i="284"/>
  <c r="G151" i="284"/>
  <c r="G155" i="284"/>
  <c r="G154" i="284"/>
  <c r="G153" i="284"/>
  <c r="F151" i="282"/>
  <c r="F142" i="282"/>
  <c r="F153" i="282"/>
  <c r="F145" i="282"/>
  <c r="F147" i="282"/>
  <c r="F150" i="282"/>
  <c r="F152" i="282"/>
  <c r="F143" i="282"/>
  <c r="F146" i="282"/>
  <c r="F144" i="282"/>
  <c r="F154" i="282"/>
  <c r="F155" i="282"/>
  <c r="F143" i="278"/>
  <c r="F153" i="278"/>
  <c r="F154" i="278"/>
  <c r="F146" i="278"/>
  <c r="F150" i="278"/>
  <c r="F151" i="278"/>
  <c r="F142" i="278"/>
  <c r="F145" i="278"/>
  <c r="F147" i="278"/>
  <c r="F152" i="278"/>
  <c r="F144" i="278"/>
  <c r="F155" i="278"/>
  <c r="F158" i="283"/>
  <c r="C158" i="284"/>
  <c r="F155" i="285"/>
  <c r="F144" i="285"/>
  <c r="F151" i="285"/>
  <c r="F153" i="285"/>
  <c r="F152" i="285"/>
  <c r="F154" i="285"/>
  <c r="F143" i="285"/>
  <c r="F147" i="285"/>
  <c r="F145" i="285"/>
  <c r="F146" i="285"/>
  <c r="F150" i="285"/>
  <c r="F142" i="285"/>
  <c r="B158" i="284"/>
  <c r="D158" i="284"/>
  <c r="G156" i="280" l="1"/>
  <c r="B156" i="279"/>
  <c r="H157" i="278"/>
  <c r="D156" i="194"/>
  <c r="G158" i="470"/>
  <c r="D156" i="279"/>
  <c r="H157" i="280"/>
  <c r="B157" i="275"/>
  <c r="F156" i="280"/>
  <c r="C157" i="278"/>
  <c r="F156" i="278"/>
  <c r="F157" i="282"/>
  <c r="G157" i="285"/>
  <c r="G157" i="283"/>
  <c r="H157" i="283"/>
  <c r="C162" i="286"/>
  <c r="D156" i="280"/>
  <c r="D157" i="278"/>
  <c r="F157" i="470"/>
  <c r="B157" i="285"/>
  <c r="F156" i="284"/>
  <c r="B158" i="470"/>
  <c r="E157" i="278"/>
  <c r="F157" i="275"/>
  <c r="F157" i="281"/>
  <c r="D157" i="281"/>
  <c r="D157" i="275"/>
  <c r="H157" i="284"/>
  <c r="C157" i="283"/>
  <c r="B156" i="194"/>
  <c r="C157" i="281"/>
  <c r="B156" i="284"/>
  <c r="C156" i="282"/>
  <c r="G156" i="284"/>
  <c r="G156" i="285"/>
  <c r="C157" i="279"/>
  <c r="G149" i="283"/>
  <c r="G148" i="283"/>
  <c r="D157" i="285"/>
  <c r="E157" i="281"/>
  <c r="E156" i="283"/>
  <c r="E156" i="285"/>
  <c r="H148" i="285"/>
  <c r="H149" i="285"/>
  <c r="F149" i="281"/>
  <c r="F150" i="281"/>
  <c r="G158" i="281"/>
  <c r="G157" i="278"/>
  <c r="C149" i="284"/>
  <c r="C148" i="284"/>
  <c r="G148" i="280"/>
  <c r="G149" i="280"/>
  <c r="B148" i="278"/>
  <c r="B149" i="278"/>
  <c r="C149" i="468"/>
  <c r="C148" i="468"/>
  <c r="C157" i="470"/>
  <c r="D156" i="283"/>
  <c r="D163" i="286"/>
  <c r="G149" i="470"/>
  <c r="G150" i="470"/>
  <c r="B156" i="280"/>
  <c r="D156" i="278"/>
  <c r="F156" i="283"/>
  <c r="G162" i="286"/>
  <c r="B156" i="283"/>
  <c r="C149" i="280"/>
  <c r="C148" i="280"/>
  <c r="H157" i="279"/>
  <c r="E156" i="282"/>
  <c r="F157" i="284"/>
  <c r="E149" i="283"/>
  <c r="E148" i="283"/>
  <c r="E157" i="280"/>
  <c r="F148" i="275"/>
  <c r="F149" i="275"/>
  <c r="G149" i="281"/>
  <c r="G150" i="281"/>
  <c r="G148" i="278"/>
  <c r="G149" i="278"/>
  <c r="G157" i="279"/>
  <c r="B158" i="281"/>
  <c r="C148" i="282"/>
  <c r="C149" i="282"/>
  <c r="G148" i="275"/>
  <c r="G149" i="275"/>
  <c r="F157" i="280"/>
  <c r="C155" i="194"/>
  <c r="E157" i="470"/>
  <c r="B162" i="286"/>
  <c r="B148" i="283"/>
  <c r="B149" i="283"/>
  <c r="G156" i="282"/>
  <c r="H156" i="280"/>
  <c r="C157" i="280"/>
  <c r="E156" i="279"/>
  <c r="B148" i="468"/>
  <c r="B149" i="468"/>
  <c r="F148" i="278"/>
  <c r="F149" i="278"/>
  <c r="G157" i="284"/>
  <c r="H156" i="282"/>
  <c r="C149" i="281"/>
  <c r="C150" i="281"/>
  <c r="C163" i="286"/>
  <c r="H157" i="285"/>
  <c r="B156" i="278"/>
  <c r="C149" i="283"/>
  <c r="C148" i="283"/>
  <c r="E157" i="275"/>
  <c r="H156" i="278"/>
  <c r="G155" i="194"/>
  <c r="F156" i="194"/>
  <c r="F148" i="279"/>
  <c r="F149" i="279"/>
  <c r="F149" i="470"/>
  <c r="F150" i="470"/>
  <c r="H148" i="280"/>
  <c r="H149" i="280"/>
  <c r="H149" i="275"/>
  <c r="H148" i="275"/>
  <c r="C148" i="279"/>
  <c r="C149" i="279"/>
  <c r="E156" i="278"/>
  <c r="G157" i="281"/>
  <c r="F148" i="468"/>
  <c r="F149" i="468"/>
  <c r="D156" i="275"/>
  <c r="H149" i="284"/>
  <c r="H148" i="284"/>
  <c r="E156" i="275"/>
  <c r="B149" i="279"/>
  <c r="B148" i="279"/>
  <c r="G147" i="194"/>
  <c r="G148" i="194"/>
  <c r="C156" i="194"/>
  <c r="B157" i="282"/>
  <c r="D156" i="468"/>
  <c r="D149" i="279"/>
  <c r="D148" i="279"/>
  <c r="C156" i="275"/>
  <c r="H157" i="275"/>
  <c r="H156" i="194"/>
  <c r="E157" i="279"/>
  <c r="E156" i="284"/>
  <c r="E157" i="468"/>
  <c r="F156" i="285"/>
  <c r="F157" i="278"/>
  <c r="C155" i="286"/>
  <c r="C154" i="286"/>
  <c r="F148" i="284"/>
  <c r="F149" i="284"/>
  <c r="E149" i="278"/>
  <c r="E148" i="278"/>
  <c r="C157" i="285"/>
  <c r="D149" i="284"/>
  <c r="D148" i="284"/>
  <c r="H156" i="285"/>
  <c r="F158" i="281"/>
  <c r="D158" i="281"/>
  <c r="F157" i="468"/>
  <c r="B157" i="278"/>
  <c r="B157" i="284"/>
  <c r="D156" i="282"/>
  <c r="D157" i="280"/>
  <c r="E155" i="194"/>
  <c r="B156" i="275"/>
  <c r="B149" i="470"/>
  <c r="B150" i="470"/>
  <c r="H158" i="470"/>
  <c r="G156" i="275"/>
  <c r="H163" i="286"/>
  <c r="F158" i="470"/>
  <c r="C149" i="278"/>
  <c r="C148" i="278"/>
  <c r="C149" i="275"/>
  <c r="C148" i="275"/>
  <c r="E148" i="468"/>
  <c r="E149" i="468"/>
  <c r="B157" i="468"/>
  <c r="G149" i="284"/>
  <c r="G148" i="284"/>
  <c r="H157" i="282"/>
  <c r="H149" i="283"/>
  <c r="H148" i="283"/>
  <c r="E156" i="280"/>
  <c r="F156" i="275"/>
  <c r="D148" i="282"/>
  <c r="D149" i="282"/>
  <c r="G157" i="275"/>
  <c r="F148" i="280"/>
  <c r="F149" i="280"/>
  <c r="E150" i="470"/>
  <c r="E149" i="470"/>
  <c r="F154" i="286"/>
  <c r="F155" i="286"/>
  <c r="G163" i="286"/>
  <c r="B155" i="286"/>
  <c r="B154" i="286"/>
  <c r="B157" i="283"/>
  <c r="G157" i="282"/>
  <c r="C157" i="275"/>
  <c r="H156" i="275"/>
  <c r="E149" i="279"/>
  <c r="E148" i="279"/>
  <c r="E149" i="284"/>
  <c r="E148" i="284"/>
  <c r="B156" i="285"/>
  <c r="C157" i="284"/>
  <c r="D149" i="275"/>
  <c r="D148" i="275"/>
  <c r="E149" i="275"/>
  <c r="E148" i="275"/>
  <c r="B157" i="279"/>
  <c r="H149" i="281"/>
  <c r="H150" i="281"/>
  <c r="C158" i="470"/>
  <c r="D155" i="194"/>
  <c r="D149" i="280"/>
  <c r="D148" i="280"/>
  <c r="G156" i="468"/>
  <c r="B157" i="470"/>
  <c r="D162" i="286"/>
  <c r="F155" i="194"/>
  <c r="B156" i="282"/>
  <c r="F157" i="283"/>
  <c r="H155" i="286"/>
  <c r="H154" i="286"/>
  <c r="E155" i="286"/>
  <c r="E154" i="286"/>
  <c r="D157" i="470"/>
  <c r="C156" i="278"/>
  <c r="H155" i="194"/>
  <c r="F148" i="285"/>
  <c r="F149" i="285"/>
  <c r="F148" i="282"/>
  <c r="F149" i="282"/>
  <c r="E157" i="282"/>
  <c r="C158" i="281"/>
  <c r="D156" i="285"/>
  <c r="D157" i="284"/>
  <c r="C156" i="284"/>
  <c r="G157" i="280"/>
  <c r="C156" i="283"/>
  <c r="B149" i="284"/>
  <c r="B148" i="284"/>
  <c r="H149" i="278"/>
  <c r="H148" i="278"/>
  <c r="H156" i="468"/>
  <c r="D157" i="283"/>
  <c r="B149" i="275"/>
  <c r="B148" i="275"/>
  <c r="G156" i="194"/>
  <c r="H157" i="470"/>
  <c r="B149" i="280"/>
  <c r="B148" i="280"/>
  <c r="F156" i="279"/>
  <c r="D157" i="468"/>
  <c r="D157" i="279"/>
  <c r="F162" i="286"/>
  <c r="D158" i="470"/>
  <c r="G148" i="282"/>
  <c r="G149" i="282"/>
  <c r="F157" i="285"/>
  <c r="F156" i="282"/>
  <c r="H149" i="282"/>
  <c r="H148" i="282"/>
  <c r="E158" i="281"/>
  <c r="E149" i="280"/>
  <c r="E148" i="280"/>
  <c r="C148" i="285"/>
  <c r="C149" i="285"/>
  <c r="D150" i="281"/>
  <c r="D149" i="281"/>
  <c r="F156" i="468"/>
  <c r="B155" i="194"/>
  <c r="B156" i="468"/>
  <c r="C156" i="279"/>
  <c r="H156" i="283"/>
  <c r="B149" i="285"/>
  <c r="B148" i="285"/>
  <c r="D149" i="285"/>
  <c r="D148" i="285"/>
  <c r="C157" i="468"/>
  <c r="H157" i="281"/>
  <c r="B150" i="281"/>
  <c r="B149" i="281"/>
  <c r="E156" i="194"/>
  <c r="G157" i="468"/>
  <c r="F148" i="194"/>
  <c r="F147" i="194"/>
  <c r="D148" i="278"/>
  <c r="D149" i="278"/>
  <c r="B149" i="282"/>
  <c r="B148" i="282"/>
  <c r="E158" i="470"/>
  <c r="F163" i="286"/>
  <c r="E163" i="286"/>
  <c r="C156" i="280"/>
  <c r="E149" i="282"/>
  <c r="E148" i="282"/>
  <c r="E149" i="281"/>
  <c r="E150" i="281"/>
  <c r="E157" i="285"/>
  <c r="D156" i="284"/>
  <c r="G156" i="279"/>
  <c r="D157" i="282"/>
  <c r="C156" i="468"/>
  <c r="H158" i="281"/>
  <c r="B157" i="281"/>
  <c r="C149" i="470"/>
  <c r="C150" i="470"/>
  <c r="H157" i="468"/>
  <c r="C157" i="282"/>
  <c r="G148" i="468"/>
  <c r="G149" i="468"/>
  <c r="H150" i="470"/>
  <c r="H149" i="470"/>
  <c r="D154" i="286"/>
  <c r="D155" i="286"/>
  <c r="F157" i="279"/>
  <c r="G154" i="286"/>
  <c r="G155" i="286"/>
  <c r="B163" i="286"/>
  <c r="H147" i="194"/>
  <c r="H148" i="194"/>
  <c r="H149" i="279"/>
  <c r="H148" i="279"/>
  <c r="E156" i="468"/>
  <c r="G148" i="285"/>
  <c r="G149" i="285"/>
  <c r="G156" i="283"/>
  <c r="E157" i="283"/>
  <c r="E148" i="285"/>
  <c r="E149" i="285"/>
  <c r="C156" i="285"/>
  <c r="G156" i="278"/>
  <c r="G149" i="279"/>
  <c r="G148" i="279"/>
  <c r="H156" i="284"/>
  <c r="B147" i="194"/>
  <c r="B148" i="194"/>
  <c r="D147" i="194"/>
  <c r="D148" i="194"/>
  <c r="H149" i="468"/>
  <c r="H148" i="468"/>
  <c r="E147" i="194"/>
  <c r="E148" i="194"/>
  <c r="D148" i="283"/>
  <c r="D149" i="283"/>
  <c r="G157" i="470"/>
  <c r="B157" i="280"/>
  <c r="C148" i="194"/>
  <c r="C147" i="194"/>
  <c r="F148" i="283"/>
  <c r="F149" i="283"/>
  <c r="D148" i="468"/>
  <c r="D149" i="468"/>
  <c r="H162" i="286"/>
  <c r="E162" i="286"/>
  <c r="D149" i="470"/>
  <c r="D150" i="470"/>
  <c r="H156" i="279"/>
  <c r="E157" i="28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  <author>tc={14B73470-CA82-4C66-8CAB-75B3F6083613}</author>
  </authors>
  <commentList>
    <comment ref="C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With cert</t>
        </r>
      </text>
    </comment>
    <comment ref="D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With cert</t>
        </r>
      </text>
    </comment>
    <comment ref="B4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Came in for orientation</t>
        </r>
      </text>
    </comment>
    <comment ref="B48" authorId="1" shapeId="0" xr:uid="{00000000-0006-0000-00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Compassionate Leave</t>
      </text>
    </comment>
    <comment ref="B6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Extra shift - overtime</t>
        </r>
      </text>
    </comment>
    <comment ref="E65" authorId="0" shapeId="0" xr:uid="{00000000-0006-0000-0000-000006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With stat dec</t>
        </r>
      </text>
    </comment>
    <comment ref="D10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G10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8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B111" authorId="0" shapeId="0" xr:uid="{00000000-0006-0000-0000-00000C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Carers leave - With cert</t>
        </r>
      </text>
    </comment>
    <comment ref="C111" authorId="0" shapeId="0" xr:uid="{00000000-0006-0000-0000-00000D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Carers leave - With cert</t>
        </r>
      </text>
    </comment>
    <comment ref="E111" authorId="0" shapeId="0" xr:uid="{00000000-0006-0000-0000-00000E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Carers leave with cert</t>
        </r>
      </text>
    </comment>
    <comment ref="E114" authorId="0" shapeId="0" xr:uid="{00000000-0006-0000-0000-00000F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With cert</t>
        </r>
      </text>
    </comment>
    <comment ref="H116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Moved from 8th May as requested</t>
        </r>
      </text>
    </comment>
    <comment ref="G127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6th June off
Avg hrs saved mid-week</t>
        </r>
      </text>
    </comment>
    <comment ref="H127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7 June off
Avg hrs saved mid-week</t>
        </r>
      </text>
    </comment>
    <comment ref="F129" authorId="0" shapeId="0" xr:uid="{00000000-0006-0000-0000-00001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30" authorId="0" shapeId="0" xr:uid="{00000000-0006-0000-0000-00001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E136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38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Eric Yang Conf Leave
</t>
        </r>
      </text>
    </comment>
    <comment ref="A139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Aniqua Javid Parental Leave</t>
        </r>
      </text>
    </comment>
    <comment ref="A140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Aniqua Javid Parental Leave</t>
        </r>
      </text>
    </comment>
    <comment ref="A142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Aniqua Javid Parental Leave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F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No purple CS</t>
        </r>
      </text>
    </comment>
    <comment ref="F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Was purple CS
Sick with cert</t>
        </r>
      </text>
    </comment>
    <comment ref="C1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Was purple CS
Sick with cert</t>
        </r>
      </text>
    </comment>
    <comment ref="D19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Sick with cert</t>
        </r>
      </text>
    </comment>
    <comment ref="C4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Pay as Non clinical worked (came in on Mon 4th for orientation)</t>
        </r>
      </text>
    </comment>
    <comment ref="F43" authorId="0" shapeId="0" xr:uid="{00000000-0006-0000-0100-000006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Extra shift</t>
        </r>
      </text>
    </comment>
    <comment ref="B6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Overtime</t>
        </r>
      </text>
    </comment>
    <comment ref="C63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Overtime</t>
        </r>
      </text>
    </comment>
    <comment ref="H101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04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6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6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E118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G12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3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36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Eric Yang conference leave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  <author>Jessica Barnett</author>
  </authors>
  <commentList>
    <comment ref="F10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B10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0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D10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now off. Swap with emily. Now working 28th may</t>
        </r>
      </text>
    </comment>
    <comment ref="Z107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G108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D128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swap with jade. Now of 28th may. Agrees to short break between shifts. On teams message 6th may from jade</t>
        </r>
      </text>
    </comment>
    <comment ref="C129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From 17th April OFF
Avg hrs saved</t>
        </r>
      </text>
    </comment>
    <comment ref="H129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C130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D133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In lieu of 14/2</t>
        </r>
      </text>
    </comment>
    <comment ref="A13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Chelsea Tan's cover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  <author>Jessica Barnett</author>
  </authors>
  <commentList>
    <comment ref="B6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Overtime</t>
        </r>
      </text>
    </comment>
    <comment ref="A10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E107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swap with emily. Off 20th may</t>
        </r>
      </text>
    </comment>
    <comment ref="Z107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G1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2 for 1 deal.  Pay Fri AM as Ord + Sat shift.</t>
        </r>
      </text>
    </comment>
    <comment ref="E118" authorId="0" shapeId="0" xr:uid="{00000000-0006-0000-0300-000006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Moved from Mon 25th May as requested</t>
        </r>
      </text>
    </comment>
    <comment ref="F118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Extra AM so longer off post ND week of 8th June</t>
        </r>
      </text>
    </comment>
    <comment ref="E128" authorId="1" shapeId="0" xr:uid="{00000000-0006-0000-0300-000008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off. Swap with jade. Now working 20th may</t>
        </r>
      </text>
    </comment>
    <comment ref="A138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Chelsea Tan's cover</t>
        </r>
      </text>
    </comment>
    <comment ref="A139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Nikhitha Jacob's leave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Barnett</author>
    <author>Leah Williams</author>
  </authors>
  <commentList>
    <comment ref="H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swap with jason. Now off 17th June</t>
        </r>
      </text>
    </comment>
    <comment ref="H2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swap with jimmy x now working 17th june</t>
        </r>
      </text>
    </comment>
    <comment ref="G64" authorId="1" shapeId="0" xr:uid="{00000000-0006-0000-0400-000003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Moved to Mon 8th June</t>
        </r>
      </text>
    </comment>
    <comment ref="A107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F12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Jessica Barnett:</t>
        </r>
        <r>
          <rPr>
            <sz val="9"/>
            <color indexed="81"/>
            <rFont val="Tahoma"/>
            <charset val="1"/>
          </rPr>
          <t xml:space="preserve">
off swap with kimberley now working Wednesday am</t>
        </r>
      </text>
    </comment>
    <comment ref="D126" authorId="0" shapeId="0" xr:uid="{00000000-0006-0000-0400-000007000000}">
      <text>
        <r>
          <rPr>
            <b/>
            <sz val="9"/>
            <color indexed="81"/>
            <rFont val="Tahoma"/>
            <charset val="1"/>
          </rPr>
          <t>Jessica Barnett:</t>
        </r>
        <r>
          <rPr>
            <sz val="9"/>
            <color indexed="81"/>
            <rFont val="Tahoma"/>
            <charset val="1"/>
          </rPr>
          <t xml:space="preserve">
off swap with madiha - now working Friday ssu am </t>
        </r>
      </text>
    </comment>
    <comment ref="G126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Working weeknd of 9-10 May in lieu</t>
        </r>
      </text>
    </comment>
    <comment ref="H12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Working weeknd of 9-10 May in lieu</t>
        </r>
      </text>
    </comment>
    <comment ref="A13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Nikhitha Jacob's leave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B64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Leah Williams:</t>
        </r>
        <r>
          <rPr>
            <sz val="9"/>
            <color indexed="81"/>
            <rFont val="Tahoma"/>
            <charset val="1"/>
          </rPr>
          <t xml:space="preserve">
From 6th June</t>
        </r>
      </text>
    </comment>
    <comment ref="F6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Overtime</t>
        </r>
      </text>
    </comment>
    <comment ref="A107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A137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Medical workforce organising reliever cover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Jessica Barnett</author>
    <author>Leah Williams</author>
  </authors>
  <commentList>
    <comment ref="D20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off swap with jason K now working 7th JUne</t>
        </r>
      </text>
    </comment>
    <comment ref="G2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off now working jason k sun 21 am</t>
        </r>
      </text>
    </comment>
    <comment ref="D24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was white CS now working jummy x PM PAEDS shift</t>
        </r>
      </text>
    </comment>
    <comment ref="H24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Jessica Barnett:</t>
        </r>
        <r>
          <rPr>
            <sz val="9"/>
            <color indexed="81"/>
            <rFont val="Tahoma"/>
            <family val="2"/>
          </rPr>
          <t xml:space="preserve">
off now working jimmy x sat 20 pm</t>
        </r>
      </text>
    </comment>
    <comment ref="A107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B13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OFF if attended orientation on 1/6, otherwise Orient 09-1730</t>
        </r>
      </text>
    </comment>
    <comment ref="A137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Hi Leah, 
Just confirming that Hanna Hagose will be taking LSL the week starting 15/6.
The x4 shifts left vacant will be filled by our relieving roster/advertising. Fred in the MDW Operations team will let you know who is allocated to cover. 
Thanks
Emma
Emma Nyhof
General HMO, PGY2 Program &amp; Critical Care HMO Manager
m: 0455 718 142 | e: emma.nyhof@monashhealth.org 
</t>
        </r>
      </text>
    </comment>
    <comment ref="A138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Victor's leave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A137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Victor's leave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A138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Covering Victor's leave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7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D13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2 x Avg hrs taken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A107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E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2 x pm mic - move one to am mic</t>
        </r>
      </text>
    </comment>
    <comment ref="A107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B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Leah Williams</author>
  </authors>
  <commentList>
    <comment ref="G62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Commencing Parental leave from 3/8/26</t>
        </r>
      </text>
    </comment>
    <comment ref="A107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Prefer paeds</t>
        </r>
      </text>
    </comment>
    <comment ref="Z10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66.5 hrs per f/n</t>
        </r>
      </text>
    </comment>
    <comment ref="H126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Leah Williams:</t>
        </r>
        <r>
          <rPr>
            <sz val="9"/>
            <color indexed="81"/>
            <rFont val="Tahoma"/>
            <family val="2"/>
          </rPr>
          <t xml:space="preserve">
Pay as ord hours during the week</t>
        </r>
      </text>
    </comment>
  </commentList>
</comments>
</file>

<file path=xl/sharedStrings.xml><?xml version="1.0" encoding="utf-8"?>
<sst xmlns="http://schemas.openxmlformats.org/spreadsheetml/2006/main" count="7497" uniqueCount="478">
  <si>
    <t>TERM 2, 2026</t>
  </si>
  <si>
    <t>Monday</t>
  </si>
  <si>
    <t>Tuesday</t>
  </si>
  <si>
    <t>Wednesday</t>
  </si>
  <si>
    <t>Thursday</t>
  </si>
  <si>
    <t>Friday</t>
  </si>
  <si>
    <t>Saturday</t>
  </si>
  <si>
    <t>Sunday</t>
  </si>
  <si>
    <t>Mon</t>
  </si>
  <si>
    <t>Tue</t>
  </si>
  <si>
    <t>Wed</t>
  </si>
  <si>
    <t>Thu</t>
  </si>
  <si>
    <t>Fri</t>
  </si>
  <si>
    <t>Sat</t>
  </si>
  <si>
    <t>Sun</t>
  </si>
  <si>
    <t>(PAEDS) Abhay Kumar</t>
  </si>
  <si>
    <t>AM PAEDS</t>
  </si>
  <si>
    <t>Adeline Wu</t>
  </si>
  <si>
    <t>Annual Leave</t>
  </si>
  <si>
    <t>Akin Akinloye</t>
  </si>
  <si>
    <t>OFF</t>
  </si>
  <si>
    <t>Alastair Meyer</t>
  </si>
  <si>
    <t>Ali Asadpour</t>
  </si>
  <si>
    <t>AM Clinical Supp</t>
  </si>
  <si>
    <t>CS</t>
  </si>
  <si>
    <t>AM MIC</t>
  </si>
  <si>
    <t>AM SSU</t>
  </si>
  <si>
    <t>Allan Au</t>
  </si>
  <si>
    <t>Andrew Backay</t>
  </si>
  <si>
    <t>Conference Leave</t>
  </si>
  <si>
    <t>Andrew Dyall</t>
  </si>
  <si>
    <t>AM TL</t>
  </si>
  <si>
    <t>PM UFD</t>
  </si>
  <si>
    <t>Bashir Gondal</t>
  </si>
  <si>
    <t>PM MIC</t>
  </si>
  <si>
    <t>Chamara Walathara</t>
  </si>
  <si>
    <t>PM TL</t>
  </si>
  <si>
    <t>Chris Lim</t>
  </si>
  <si>
    <t>VHH</t>
  </si>
  <si>
    <t>Eva Chong</t>
  </si>
  <si>
    <t>Sabbatical Leave</t>
  </si>
  <si>
    <t>Gabriel Kwok</t>
  </si>
  <si>
    <t>LSL</t>
  </si>
  <si>
    <t>Grace Lau</t>
  </si>
  <si>
    <t>Hani Aljamal</t>
  </si>
  <si>
    <t>AM UFD</t>
  </si>
  <si>
    <t>Ian Summers</t>
  </si>
  <si>
    <t>James Skinner</t>
  </si>
  <si>
    <t xml:space="preserve">CS sick </t>
  </si>
  <si>
    <t xml:space="preserve">AM TL sick </t>
  </si>
  <si>
    <t>Jimmy Xavier</t>
  </si>
  <si>
    <t>Jarel Saw</t>
  </si>
  <si>
    <t>Jasmine Koh</t>
  </si>
  <si>
    <t>Jason Aw</t>
  </si>
  <si>
    <t>Jason Kwok</t>
  </si>
  <si>
    <t>Jonathan Barrett</t>
  </si>
  <si>
    <t>Kieran Barr</t>
  </si>
  <si>
    <t xml:space="preserve">PM TL sick </t>
  </si>
  <si>
    <t>Kishani Goonewardene</t>
  </si>
  <si>
    <t>PM PAEDS</t>
  </si>
  <si>
    <t>Lauren Dabarera</t>
  </si>
  <si>
    <t>Lewis Goverwa</t>
  </si>
  <si>
    <t>Liam Ryan</t>
  </si>
  <si>
    <t>Liza Del Rosario</t>
  </si>
  <si>
    <t>Matthew Brownlow</t>
  </si>
  <si>
    <t>Meg Griffiths</t>
  </si>
  <si>
    <t>(PAEDS) Muhammad Sial</t>
  </si>
  <si>
    <t>PM PAEDS + OC</t>
  </si>
  <si>
    <t>Mustafa Al-Asaad</t>
  </si>
  <si>
    <t>Narendra Duggirala</t>
  </si>
  <si>
    <t>Nathan Bushby</t>
  </si>
  <si>
    <t>Parya Fadavi</t>
  </si>
  <si>
    <t>Pourya Pouryahya</t>
  </si>
  <si>
    <t>Conf Leave</t>
  </si>
  <si>
    <t>Prashant Dabee</t>
  </si>
  <si>
    <t>Renee Stamation</t>
  </si>
  <si>
    <t>Roger Tong</t>
  </si>
  <si>
    <t>Rona Herman</t>
  </si>
  <si>
    <t>PM + CS</t>
  </si>
  <si>
    <t>Ruwan Mendis</t>
  </si>
  <si>
    <t>Sarah Mikhail</t>
  </si>
  <si>
    <t>Srujana Mashetty</t>
  </si>
  <si>
    <t>Suzan Fox</t>
  </si>
  <si>
    <t>Wei Ch'ng Chin</t>
  </si>
  <si>
    <t xml:space="preserve">OFF CS </t>
  </si>
  <si>
    <t>Yasir Obaida</t>
  </si>
  <si>
    <t>Ash Kafle - LOCUM</t>
  </si>
  <si>
    <t>Ken Chia - LOCUM</t>
  </si>
  <si>
    <t>PM T/L</t>
  </si>
  <si>
    <t>ONCALL SMS:</t>
  </si>
  <si>
    <t>HANI</t>
  </si>
  <si>
    <t>PARYA</t>
  </si>
  <si>
    <t>MEG</t>
  </si>
  <si>
    <t>SRUJANA</t>
  </si>
  <si>
    <t>LIAM</t>
  </si>
  <si>
    <t>WEI</t>
  </si>
  <si>
    <t>ANDREW D</t>
  </si>
  <si>
    <r>
      <t>ONCALL</t>
    </r>
    <r>
      <rPr>
        <b/>
        <i/>
        <sz val="10"/>
        <color rgb="FFFF66FF"/>
        <rFont val="Calibri"/>
        <family val="2"/>
      </rPr>
      <t xml:space="preserve"> PAEDS</t>
    </r>
    <r>
      <rPr>
        <b/>
        <i/>
        <sz val="10"/>
        <color indexed="8"/>
        <rFont val="Calibri"/>
        <family val="2"/>
      </rPr>
      <t xml:space="preserve"> SMS:</t>
    </r>
  </si>
  <si>
    <t>MUHAMMAD</t>
  </si>
  <si>
    <t>GERIATRICIAN</t>
  </si>
  <si>
    <t>Mon 4 May</t>
  </si>
  <si>
    <t>Tues 5 May</t>
  </si>
  <si>
    <t>Wed 6 May</t>
  </si>
  <si>
    <t>Thu 7 May</t>
  </si>
  <si>
    <t>Fri 8 May</t>
  </si>
  <si>
    <t>Sat 9 May</t>
  </si>
  <si>
    <t>Sun 10 May</t>
  </si>
  <si>
    <t>(GERI) Valerie Co</t>
  </si>
  <si>
    <t>0800-1600</t>
  </si>
  <si>
    <t>(GERI) Maneesha De Silva</t>
  </si>
  <si>
    <t>(GERI) Kumutha Palaniappan</t>
  </si>
  <si>
    <t>0800-1200</t>
  </si>
  <si>
    <t>(GERI) Dilshan Ariyarathna</t>
  </si>
  <si>
    <t>Snr CMOS</t>
  </si>
  <si>
    <t xml:space="preserve">Bryan Yap </t>
  </si>
  <si>
    <t>1430-0000 MIC</t>
  </si>
  <si>
    <t>1430-0000</t>
  </si>
  <si>
    <t>Dasha Xie</t>
  </si>
  <si>
    <t>0800-1730</t>
  </si>
  <si>
    <t>0800-1730 MIC</t>
  </si>
  <si>
    <t>Jae Lee</t>
  </si>
  <si>
    <t>Jon Lee</t>
  </si>
  <si>
    <t>1700-0300</t>
  </si>
  <si>
    <t>2300-0900</t>
  </si>
  <si>
    <t>ED GPS</t>
  </si>
  <si>
    <t>Saud Ahsan</t>
  </si>
  <si>
    <t>0800-1730 *</t>
  </si>
  <si>
    <t>1000-1930 sick</t>
  </si>
  <si>
    <t>Chloe Hooke</t>
  </si>
  <si>
    <t>Angela Graan</t>
  </si>
  <si>
    <t>Snr REGS</t>
  </si>
  <si>
    <r>
      <t xml:space="preserve">Mon 4 May    </t>
    </r>
    <r>
      <rPr>
        <b/>
        <sz val="10"/>
        <color rgb="FFFF0000"/>
        <rFont val="Calibri"/>
        <family val="2"/>
      </rPr>
      <t>ORIENTATION</t>
    </r>
  </si>
  <si>
    <r>
      <t xml:space="preserve">Wed 6 May      </t>
    </r>
    <r>
      <rPr>
        <b/>
        <sz val="10"/>
        <color rgb="FFFF0000"/>
        <rFont val="Calibri"/>
        <family val="2"/>
      </rPr>
      <t>TEACHING</t>
    </r>
  </si>
  <si>
    <t>(SR) Abdul Abbasi</t>
  </si>
  <si>
    <t>AL</t>
  </si>
  <si>
    <t>(SR) Alexis Pradilla</t>
  </si>
  <si>
    <t>(SR) Dennis Chung</t>
  </si>
  <si>
    <t>(SR) Grace Chin</t>
  </si>
  <si>
    <t>Orient 0800-1730</t>
  </si>
  <si>
    <t>1430-0000 PAEDS</t>
  </si>
  <si>
    <t>(SR) Miles Ma</t>
  </si>
  <si>
    <t>Teach</t>
  </si>
  <si>
    <t>0730-1700 PAEDS</t>
  </si>
  <si>
    <t>(SR) Patrick Tan</t>
  </si>
  <si>
    <t>1430-0000 T/L</t>
  </si>
  <si>
    <t>(SR) Shelley Yang</t>
  </si>
  <si>
    <t>Jnr REGS</t>
  </si>
  <si>
    <t>(TR) Laura Muldoon</t>
  </si>
  <si>
    <t>Orient 08-1730 sick</t>
  </si>
  <si>
    <t>1430-0000 sick</t>
  </si>
  <si>
    <t>1000-1930</t>
  </si>
  <si>
    <t>(TR) Lauren Kangisser</t>
  </si>
  <si>
    <t>2300-0830</t>
  </si>
  <si>
    <t>(TR) Rosemary Sasse</t>
  </si>
  <si>
    <t>(JR) Ankita Davis</t>
  </si>
  <si>
    <t>(JR) Bernadette Spencer</t>
  </si>
  <si>
    <t>(JR) Chelsea Lacey</t>
  </si>
  <si>
    <t>.2300-0830 sick</t>
  </si>
  <si>
    <t>(JR) Daphne Tan</t>
  </si>
  <si>
    <t>(JR) Daphne Wee</t>
  </si>
  <si>
    <t>(JR) Gillian O'Brien</t>
  </si>
  <si>
    <t>(JR) Holly Rennie</t>
  </si>
  <si>
    <t>(JR) Hon Yen Yap</t>
  </si>
  <si>
    <t>(JR) Jasmin Barratt</t>
  </si>
  <si>
    <t>(JR) Kelvin Raj Subhas</t>
  </si>
  <si>
    <t>Exam Leave</t>
  </si>
  <si>
    <t>Exam</t>
  </si>
  <si>
    <t>(JR) Magdalene John Samuel</t>
  </si>
  <si>
    <t>(JR) Maurie Visvakumar</t>
  </si>
  <si>
    <t>(JR) Noah Deubel</t>
  </si>
  <si>
    <t>1430-0000*</t>
  </si>
  <si>
    <t>(JR) Poh Ling Tan</t>
  </si>
  <si>
    <t xml:space="preserve">0800-1730 sick </t>
  </si>
  <si>
    <t xml:space="preserve">1430-0000 sick </t>
  </si>
  <si>
    <t>(JR) Rennu Mathavan</t>
  </si>
  <si>
    <t>(JR) Rizwana Sadaf</t>
  </si>
  <si>
    <t>(JR) Sinthuja Ratnam</t>
  </si>
  <si>
    <t>(JR) Sylvia Osahan</t>
  </si>
  <si>
    <t>(JR) Yi Heng Yong</t>
  </si>
  <si>
    <t>PAEDS ED HMOS</t>
  </si>
  <si>
    <t>(PAEDS HMO) Victor Ki Chung Li</t>
  </si>
  <si>
    <t>Orient 09-1730</t>
  </si>
  <si>
    <t>0730-1700</t>
  </si>
  <si>
    <t>(PAEDS HMO) Ally Hui</t>
  </si>
  <si>
    <t>HMOS</t>
  </si>
  <si>
    <t>(ED HMO) Alice Newton</t>
  </si>
  <si>
    <t>0730-1700 SSU</t>
  </si>
  <si>
    <t>(ED HMO) Felicity Greenfield</t>
  </si>
  <si>
    <t>(ED HMO) Cherechi Emenogu</t>
  </si>
  <si>
    <t>1430-0000 SSU</t>
  </si>
  <si>
    <t>(ED HMO) Nausheen Matloob</t>
  </si>
  <si>
    <t>(ED HMO) Daniel Tran</t>
  </si>
  <si>
    <t>(ED HMO) Jade Birley (7/fn)</t>
  </si>
  <si>
    <t>(ED HMO ) Jahan Zaib</t>
  </si>
  <si>
    <t xml:space="preserve">(ED HMO) Nicolene Cartsens </t>
  </si>
  <si>
    <t>(H) Hannah Hagose</t>
  </si>
  <si>
    <t>(H) Tinu Kurian Arackal</t>
  </si>
  <si>
    <t>(H) Zareef Alam</t>
  </si>
  <si>
    <t xml:space="preserve"> </t>
  </si>
  <si>
    <t>(H) Sadaf Nauman</t>
  </si>
  <si>
    <t>(H) Sean Xu</t>
  </si>
  <si>
    <t>(H) Jia Xi (Grace) Chung</t>
  </si>
  <si>
    <t>(H) Nikhitha Jacob</t>
  </si>
  <si>
    <t>(H) Eric Yang</t>
  </si>
  <si>
    <t>(H) Jainil Shah</t>
  </si>
  <si>
    <t>(H) Jia Ying (Chelsea) Tan</t>
  </si>
  <si>
    <t>(H) Michelle Zhong</t>
  </si>
  <si>
    <t>(H) Vicky Nie</t>
  </si>
  <si>
    <t>(H) Faiza Naseem</t>
  </si>
  <si>
    <t>(H) Madiha Batool</t>
  </si>
  <si>
    <t>(H) Aniqua Javid</t>
  </si>
  <si>
    <t>Paternity Leave</t>
  </si>
  <si>
    <t>(H) Muhammad Qasim Raza</t>
  </si>
  <si>
    <t>(H) Kimberley Chow</t>
  </si>
  <si>
    <t>INTERNS</t>
  </si>
  <si>
    <t xml:space="preserve">(I) Emily Cao </t>
  </si>
  <si>
    <t xml:space="preserve">(I) Christie Glennan </t>
  </si>
  <si>
    <t xml:space="preserve">(I) Arpit  Sharma </t>
  </si>
  <si>
    <t xml:space="preserve">(I) Daniel Ameen </t>
  </si>
  <si>
    <t xml:space="preserve">(I) Matilda Cristofaro </t>
  </si>
  <si>
    <t>(I) Ahnaf Chowdhury</t>
  </si>
  <si>
    <t>(I) Isabella Healy</t>
  </si>
  <si>
    <t xml:space="preserve">(I) Thomas Wright Hill </t>
  </si>
  <si>
    <t>LOCUMS / EXTRA STAFF</t>
  </si>
  <si>
    <t xml:space="preserve">(H) Rohit Hariharan </t>
  </si>
  <si>
    <t>0800-1730 sick</t>
  </si>
  <si>
    <t>(H) Maliha Hanif</t>
  </si>
  <si>
    <t>(H) Nicholas Crosbie</t>
  </si>
  <si>
    <t>(I) Christie  Ko</t>
  </si>
  <si>
    <t>0800-1730*</t>
  </si>
  <si>
    <t>1430-0000 PAEDS*</t>
  </si>
  <si>
    <t>(H) Sanna Wei</t>
  </si>
  <si>
    <t>(H) Shanker Bhandari</t>
  </si>
  <si>
    <t>1100-2030</t>
  </si>
  <si>
    <t>(H) Chandra Bairagi</t>
  </si>
  <si>
    <t>AMP COVER</t>
  </si>
  <si>
    <t xml:space="preserve">(AMP) </t>
  </si>
  <si>
    <t>0930-1800 Anita</t>
  </si>
  <si>
    <t>0930-1800 Scott</t>
  </si>
  <si>
    <t>0930-1800 Matt D</t>
  </si>
  <si>
    <t>0930-1800 David T</t>
  </si>
  <si>
    <t>0930-1800 Linda</t>
  </si>
  <si>
    <t>Rostered staff</t>
  </si>
  <si>
    <t>AM UFD CIC</t>
  </si>
  <si>
    <t>AM AMBULATORY CARE</t>
  </si>
  <si>
    <t>AM COMPLEX CARE</t>
  </si>
  <si>
    <t>AM MIC AREA</t>
  </si>
  <si>
    <t xml:space="preserve">Other AM / Flexi </t>
  </si>
  <si>
    <t>TOTAL AM SHIFTS</t>
  </si>
  <si>
    <t>PM UFD CIC</t>
  </si>
  <si>
    <t>PM AMBULATORY CARE</t>
  </si>
  <si>
    <t>PM COMPLEX CARE</t>
  </si>
  <si>
    <t>PM MIC AREA</t>
  </si>
  <si>
    <t>PM SSU</t>
  </si>
  <si>
    <t xml:space="preserve">Other PM / Flexi </t>
  </si>
  <si>
    <t>TOTAL PM SHIFTS</t>
  </si>
  <si>
    <t>ND</t>
  </si>
  <si>
    <t>PM TL CC</t>
  </si>
  <si>
    <t>AM CS Sick</t>
  </si>
  <si>
    <t>MMC</t>
  </si>
  <si>
    <t>Sabbatical</t>
  </si>
  <si>
    <t xml:space="preserve">AM UFD sick </t>
  </si>
  <si>
    <t>AM TL CC</t>
  </si>
  <si>
    <t>Conf</t>
  </si>
  <si>
    <t>TOX</t>
  </si>
  <si>
    <t>CS off</t>
  </si>
  <si>
    <t>Ophelia Wong - LOCUM</t>
  </si>
  <si>
    <t>RONA</t>
  </si>
  <si>
    <t>MUSTAFA</t>
  </si>
  <si>
    <t>KISHANI</t>
  </si>
  <si>
    <t>GRACE</t>
  </si>
  <si>
    <t>LIZA</t>
  </si>
  <si>
    <t>RUWAN</t>
  </si>
  <si>
    <t>SARAH</t>
  </si>
  <si>
    <t>Mon 11 May</t>
  </si>
  <si>
    <t>Tues 12 May</t>
  </si>
  <si>
    <t>Wed 13 May</t>
  </si>
  <si>
    <t>Thu 14 May</t>
  </si>
  <si>
    <t>Fri 15 May</t>
  </si>
  <si>
    <t>Sat 16 May</t>
  </si>
  <si>
    <t>Sun 17 May</t>
  </si>
  <si>
    <t>0800-1730 MIC *</t>
  </si>
  <si>
    <r>
      <t xml:space="preserve">Wed 13 May      </t>
    </r>
    <r>
      <rPr>
        <b/>
        <sz val="10"/>
        <color rgb="FFFF0000"/>
        <rFont val="Calibri"/>
        <family val="2"/>
      </rPr>
      <t>TEACHING</t>
    </r>
  </si>
  <si>
    <t>(ED HMO) Nicolene Cartsens</t>
  </si>
  <si>
    <t>0930-1800 Drew</t>
  </si>
  <si>
    <t>0930-1800 Nicola</t>
  </si>
  <si>
    <t>0930-1800 Lauren</t>
  </si>
  <si>
    <t>AM Clin Supp</t>
  </si>
  <si>
    <t>AM</t>
  </si>
  <si>
    <t>Long Service Leave</t>
  </si>
  <si>
    <t>LOCUM SMS</t>
  </si>
  <si>
    <t>ANDREW B</t>
  </si>
  <si>
    <t>POURYA</t>
  </si>
  <si>
    <t>JASON K</t>
  </si>
  <si>
    <t>SUZAN</t>
  </si>
  <si>
    <t>JASMINE</t>
  </si>
  <si>
    <t/>
  </si>
  <si>
    <t>(GERI) Jenny Liang</t>
  </si>
  <si>
    <t>Mon 18 May</t>
  </si>
  <si>
    <t>Tues 19 May</t>
  </si>
  <si>
    <t>Wed 20 May</t>
  </si>
  <si>
    <t>Thu 21 May</t>
  </si>
  <si>
    <t>Fri 22 May</t>
  </si>
  <si>
    <t>Sat 23 May</t>
  </si>
  <si>
    <t>Sun 24 May</t>
  </si>
  <si>
    <t xml:space="preserve">                              </t>
  </si>
  <si>
    <r>
      <t xml:space="preserve">Wed 20 May      </t>
    </r>
    <r>
      <rPr>
        <b/>
        <sz val="10"/>
        <color rgb="FFFF0000"/>
        <rFont val="Calibri"/>
        <family val="2"/>
      </rPr>
      <t>TEACHING</t>
    </r>
  </si>
  <si>
    <t xml:space="preserve">1430-0000 </t>
  </si>
  <si>
    <t>0730-1700 OFF</t>
  </si>
  <si>
    <t>(H) Patrick Clifford - Reliever</t>
  </si>
  <si>
    <t>0930-1800 Georgia</t>
  </si>
  <si>
    <t>DDH</t>
  </si>
  <si>
    <t>Ken Chia</t>
  </si>
  <si>
    <t xml:space="preserve"> AM MIC *</t>
  </si>
  <si>
    <t xml:space="preserve">JAREL </t>
  </si>
  <si>
    <t>ALI</t>
  </si>
  <si>
    <t>NATHAN</t>
  </si>
  <si>
    <t>GABRIEL</t>
  </si>
  <si>
    <r>
      <t xml:space="preserve">ONCALL </t>
    </r>
    <r>
      <rPr>
        <b/>
        <i/>
        <sz val="10"/>
        <color rgb="FFFF66FF"/>
        <rFont val="Calibri"/>
        <family val="2"/>
      </rPr>
      <t xml:space="preserve">PAEDS </t>
    </r>
    <r>
      <rPr>
        <b/>
        <i/>
        <sz val="10"/>
        <color indexed="8"/>
        <rFont val="Calibri"/>
        <family val="2"/>
      </rPr>
      <t>SMS:</t>
    </r>
  </si>
  <si>
    <t>ABHAY</t>
  </si>
  <si>
    <t>Mon 25 May</t>
  </si>
  <si>
    <t>Tues 26 May</t>
  </si>
  <si>
    <t>Wed 27 May</t>
  </si>
  <si>
    <t>Thu 28 May</t>
  </si>
  <si>
    <t>Fri 29 May</t>
  </si>
  <si>
    <t>Sat 30 May</t>
  </si>
  <si>
    <t>Sun 31 May</t>
  </si>
  <si>
    <r>
      <t xml:space="preserve">Wed 27 May      </t>
    </r>
    <r>
      <rPr>
        <b/>
        <sz val="10"/>
        <color rgb="FFFF0000"/>
        <rFont val="Calibri"/>
        <family val="2"/>
      </rPr>
      <t>TEACHING</t>
    </r>
  </si>
  <si>
    <t>off</t>
  </si>
  <si>
    <r>
      <t xml:space="preserve">INTERNS    </t>
    </r>
    <r>
      <rPr>
        <b/>
        <i/>
        <sz val="10"/>
        <color rgb="FFFF0000"/>
        <rFont val="Calibri"/>
        <family val="2"/>
      </rPr>
      <t>* LAST WEEK *</t>
    </r>
  </si>
  <si>
    <r>
      <t xml:space="preserve">(H) Aqsa Farooq </t>
    </r>
    <r>
      <rPr>
        <i/>
        <sz val="8"/>
        <color rgb="FF000000"/>
        <rFont val="Calibri"/>
        <family val="2"/>
      </rPr>
      <t>*Reliever</t>
    </r>
  </si>
  <si>
    <r>
      <rPr>
        <sz val="9"/>
        <color rgb="FF000000"/>
        <rFont val="Calibri"/>
        <family val="2"/>
      </rPr>
      <t xml:space="preserve">(H) Patrick Clifford </t>
    </r>
    <r>
      <rPr>
        <i/>
        <sz val="8"/>
        <color rgb="FF000000"/>
        <rFont val="Calibri"/>
        <family val="2"/>
      </rPr>
      <t>* Reliever</t>
    </r>
  </si>
  <si>
    <t>(H) Unopa Rumbidzai Thelma Kubeta</t>
  </si>
  <si>
    <t>0930-1800 Court P</t>
  </si>
  <si>
    <t xml:space="preserve">Annual </t>
  </si>
  <si>
    <t xml:space="preserve">PM TL </t>
  </si>
  <si>
    <t>PM TL OFF</t>
  </si>
  <si>
    <t>PM</t>
  </si>
  <si>
    <t>Steph Reilly</t>
  </si>
  <si>
    <t>YASIR</t>
  </si>
  <si>
    <t>JASON A</t>
  </si>
  <si>
    <t>NARENDRA</t>
  </si>
  <si>
    <t>PRASHANT</t>
  </si>
  <si>
    <t>KIERAN</t>
  </si>
  <si>
    <t>Mon 1 Jun</t>
  </si>
  <si>
    <t>Tues 2 Jun</t>
  </si>
  <si>
    <t>Wed 3 Jun</t>
  </si>
  <si>
    <t>Thu 4 Jun</t>
  </si>
  <si>
    <t>Fri 5 Jun</t>
  </si>
  <si>
    <t>Sat 6 Jun</t>
  </si>
  <si>
    <t>Sun 7 Jun</t>
  </si>
  <si>
    <t>1700-0300 MIC</t>
  </si>
  <si>
    <t>0800-1730 off</t>
  </si>
  <si>
    <r>
      <t xml:space="preserve">Wed 3 Jun      </t>
    </r>
    <r>
      <rPr>
        <b/>
        <sz val="10"/>
        <color rgb="FFFF0000"/>
        <rFont val="Calibri"/>
        <family val="2"/>
      </rPr>
      <t>TEACHING</t>
    </r>
  </si>
  <si>
    <t xml:space="preserve">0730-1700 </t>
  </si>
  <si>
    <t>0800-1730 OFF</t>
  </si>
  <si>
    <t>1430-0000 off</t>
  </si>
  <si>
    <r>
      <t xml:space="preserve">INTERNS    </t>
    </r>
    <r>
      <rPr>
        <b/>
        <i/>
        <sz val="10"/>
        <color rgb="FFFF0000"/>
        <rFont val="Calibri"/>
        <family val="2"/>
      </rPr>
      <t>* NEW *</t>
    </r>
  </si>
  <si>
    <t>(I) Ashley Wang</t>
  </si>
  <si>
    <t>(I) Roxana Fourcroy</t>
  </si>
  <si>
    <t>(I) Thuseyanthan Shanthakumar</t>
  </si>
  <si>
    <t>(I) Devni Nagodavithana</t>
  </si>
  <si>
    <t>(I) Rani El-Sukkari</t>
  </si>
  <si>
    <t>(I) Mary Ameen</t>
  </si>
  <si>
    <t>(I) Suvarna Soni</t>
  </si>
  <si>
    <t>(I) Hannah Richards</t>
  </si>
  <si>
    <t>0930-1800</t>
  </si>
  <si>
    <t>Annual</t>
  </si>
  <si>
    <t>annual</t>
  </si>
  <si>
    <t>Conference</t>
  </si>
  <si>
    <t>ROGER</t>
  </si>
  <si>
    <t>CHRIS</t>
  </si>
  <si>
    <t>AKIN</t>
  </si>
  <si>
    <t>ALLAN</t>
  </si>
  <si>
    <t>PHNW</t>
  </si>
  <si>
    <t>Mon 8 Jun</t>
  </si>
  <si>
    <t>Tues 9 Jun</t>
  </si>
  <si>
    <t>Wed 10 Jun</t>
  </si>
  <si>
    <t>Thu 11 Jun</t>
  </si>
  <si>
    <t>Fri 12 Jun</t>
  </si>
  <si>
    <t>Sat 13 Jun</t>
  </si>
  <si>
    <t>Sun 14 Jun</t>
  </si>
  <si>
    <r>
      <t xml:space="preserve">Wed 10 Jun      </t>
    </r>
    <r>
      <rPr>
        <b/>
        <sz val="10"/>
        <color rgb="FFFF0000"/>
        <rFont val="Calibri"/>
        <family val="2"/>
      </rPr>
      <t>TEACHING</t>
    </r>
  </si>
  <si>
    <t xml:space="preserve">INTERNS    </t>
  </si>
  <si>
    <t>(H) Reliever - TBA</t>
  </si>
  <si>
    <t>conf</t>
  </si>
  <si>
    <t>PM PAEDS OFF</t>
  </si>
  <si>
    <t>PM MIC OFF</t>
  </si>
  <si>
    <t xml:space="preserve">PM MIC </t>
  </si>
  <si>
    <t>AM TL OFF</t>
  </si>
  <si>
    <t>Ah Kafle - LOCUM</t>
  </si>
  <si>
    <t>RENEE</t>
  </si>
  <si>
    <t>CHAMARA</t>
  </si>
  <si>
    <t>LEWIS</t>
  </si>
  <si>
    <t>Mon 15 Jun</t>
  </si>
  <si>
    <t>Tues 16 Jun</t>
  </si>
  <si>
    <t>Wed 17 Jun</t>
  </si>
  <si>
    <t>Thu 18 Jun</t>
  </si>
  <si>
    <t>Fri 19 Jun</t>
  </si>
  <si>
    <t>Sat 20 Jun</t>
  </si>
  <si>
    <t>Sun 21 Jun</t>
  </si>
  <si>
    <r>
      <t xml:space="preserve">Wed 17 Jun      </t>
    </r>
    <r>
      <rPr>
        <b/>
        <sz val="10"/>
        <color rgb="FFFF0000"/>
        <rFont val="Calibri"/>
        <family val="2"/>
      </rPr>
      <t>TEACHING</t>
    </r>
  </si>
  <si>
    <t>2300-0830 *Late</t>
  </si>
  <si>
    <t>1430-00000</t>
  </si>
  <si>
    <t>SIM</t>
  </si>
  <si>
    <t>Reliever - TBA</t>
  </si>
  <si>
    <t>(H) Patrick Clifford</t>
  </si>
  <si>
    <t>JAMES S</t>
  </si>
  <si>
    <t>Mon 22 Jun</t>
  </si>
  <si>
    <t>Tues 23 Jun</t>
  </si>
  <si>
    <t>Wed 24 Jun</t>
  </si>
  <si>
    <t>Thu 25 Jun</t>
  </si>
  <si>
    <t>Fri 26 Jun</t>
  </si>
  <si>
    <t>Sat 27 Jun</t>
  </si>
  <si>
    <t>Sun 28 Jun</t>
  </si>
  <si>
    <r>
      <t xml:space="preserve">Wed 24 Jun      </t>
    </r>
    <r>
      <rPr>
        <b/>
        <sz val="10"/>
        <color rgb="FFFF0000"/>
        <rFont val="Calibri"/>
        <family val="2"/>
      </rPr>
      <t>TEACHING</t>
    </r>
  </si>
  <si>
    <t>JONATHAN</t>
  </si>
  <si>
    <t>IAN</t>
  </si>
  <si>
    <t>JAMES X</t>
  </si>
  <si>
    <t>Mon 29 Jun</t>
  </si>
  <si>
    <t>Tues 30 Jun</t>
  </si>
  <si>
    <t>Wed 1 Jul</t>
  </si>
  <si>
    <t>Thu 2 Jul</t>
  </si>
  <si>
    <t>Fri 3 Jul</t>
  </si>
  <si>
    <t>Sat 4 Jul</t>
  </si>
  <si>
    <t>Sun 5 Jul</t>
  </si>
  <si>
    <r>
      <t xml:space="preserve">Wed 1 Jul      </t>
    </r>
    <r>
      <rPr>
        <b/>
        <sz val="10"/>
        <color rgb="FFFF0000"/>
        <rFont val="Calibri"/>
        <family val="2"/>
      </rPr>
      <t>TEACHING</t>
    </r>
  </si>
  <si>
    <t>Conference leave x 4 shifts</t>
  </si>
  <si>
    <t xml:space="preserve"> 1430-0000</t>
  </si>
  <si>
    <t>(GERI) Arrhchie Balachandran</t>
  </si>
  <si>
    <t>Mon 6 Jul</t>
  </si>
  <si>
    <t>Tues 7 Jul</t>
  </si>
  <si>
    <t>Wed 8 Jul</t>
  </si>
  <si>
    <t>Thu 9 Jul</t>
  </si>
  <si>
    <t>Fri 10 Jul</t>
  </si>
  <si>
    <t>Sat 11 Jul</t>
  </si>
  <si>
    <t>Sun 12 Jul</t>
  </si>
  <si>
    <r>
      <t xml:space="preserve">Wed 8 Jul      </t>
    </r>
    <r>
      <rPr>
        <b/>
        <sz val="10"/>
        <color rgb="FFFF0000"/>
        <rFont val="Calibri"/>
        <family val="2"/>
      </rPr>
      <t>TEACHING</t>
    </r>
  </si>
  <si>
    <t>Mon 13 Jul</t>
  </si>
  <si>
    <t>Tues 14 Jul</t>
  </si>
  <si>
    <t>Wed 15 Jul</t>
  </si>
  <si>
    <t>Thu 16 Jul</t>
  </si>
  <si>
    <t>Fri 17 Jul</t>
  </si>
  <si>
    <t>Sat 18 Jul</t>
  </si>
  <si>
    <t>Sun 19 Jul</t>
  </si>
  <si>
    <r>
      <t xml:space="preserve">Wed 15 Jul      </t>
    </r>
    <r>
      <rPr>
        <b/>
        <sz val="10"/>
        <color rgb="FFFF0000"/>
        <rFont val="Calibri"/>
        <family val="2"/>
      </rPr>
      <t>TEACHING</t>
    </r>
  </si>
  <si>
    <t>Conference leave</t>
  </si>
  <si>
    <t>CONF</t>
  </si>
  <si>
    <t>JAREL</t>
  </si>
  <si>
    <t>ADELINE</t>
  </si>
  <si>
    <t>Mon 20 Jul</t>
  </si>
  <si>
    <t>Tues 21 Jul</t>
  </si>
  <si>
    <t>Wed 22 Jul</t>
  </si>
  <si>
    <t>Thu 23 Jul</t>
  </si>
  <si>
    <t>Fri 24 Jul</t>
  </si>
  <si>
    <t>Sat 25 Jul</t>
  </si>
  <si>
    <t>Sun 26 Jul</t>
  </si>
  <si>
    <r>
      <t xml:space="preserve">Wed 22 Jul      </t>
    </r>
    <r>
      <rPr>
        <b/>
        <sz val="10"/>
        <color rgb="FFFF0000"/>
        <rFont val="Calibri"/>
        <family val="2"/>
      </rPr>
      <t>TEACHING</t>
    </r>
  </si>
  <si>
    <t>Mon 27 Jul</t>
  </si>
  <si>
    <t>Tues 28 Jul</t>
  </si>
  <si>
    <t>Wed 29 Jul</t>
  </si>
  <si>
    <t>Thu 30 Jul</t>
  </si>
  <si>
    <t>Fri 31 Jul</t>
  </si>
  <si>
    <t>Sat 1 Aug</t>
  </si>
  <si>
    <t>Sun 2 Aug</t>
  </si>
  <si>
    <t>Roster for Sunday</t>
  </si>
  <si>
    <t>Week Commencing</t>
  </si>
  <si>
    <t>Roster for</t>
  </si>
  <si>
    <t>Upfront DR CIC</t>
  </si>
  <si>
    <t>2300-0830 C/CARE</t>
  </si>
  <si>
    <t>Complex Care</t>
  </si>
  <si>
    <t>2300-0830 PAEDS/SSU</t>
  </si>
  <si>
    <t>2300-0830 SSU</t>
  </si>
  <si>
    <t>Ambulatory Care</t>
  </si>
  <si>
    <t>MIC Area</t>
  </si>
  <si>
    <t>SSU</t>
  </si>
  <si>
    <t>PAEDS</t>
  </si>
  <si>
    <t>Other Dr / Flexi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</si>
</sst>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d\-mmm;@"/>
  </numFmts>
  <fonts count="57">
    <font>
      <sz val="11"/>
      <color theme="1"/>
      <name val="Calibri"/>
      <family val="2"/>
      <scheme val="minor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8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9"/>
      <name val="Calibri"/>
      <family val="2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indexed="8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Calibri"/>
      <family val="2"/>
    </font>
    <font>
      <u/>
      <sz val="11"/>
      <color theme="10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10"/>
      <name val="Calibri"/>
      <family val="2"/>
    </font>
    <font>
      <u/>
      <sz val="11"/>
      <color theme="11"/>
      <name val="Calibri"/>
      <family val="2"/>
      <scheme val="minor"/>
    </font>
    <font>
      <sz val="9"/>
      <color rgb="FF000000"/>
      <name val="Calibri"/>
      <family val="2"/>
    </font>
    <font>
      <sz val="9"/>
      <name val="Calibri"/>
      <family val="2"/>
    </font>
    <font>
      <sz val="8.5"/>
      <name val="Calibri"/>
      <family val="2"/>
    </font>
    <font>
      <b/>
      <i/>
      <sz val="8.5"/>
      <name val="Calibri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indexed="9"/>
      <name val="Calibri"/>
      <family val="2"/>
      <scheme val="minor"/>
    </font>
    <font>
      <i/>
      <sz val="8.5"/>
      <name val="Calibri"/>
      <family val="2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b/>
      <u/>
      <sz val="10"/>
      <name val="Calibri"/>
      <family val="2"/>
    </font>
    <font>
      <b/>
      <sz val="12"/>
      <name val="Calibri"/>
      <family val="2"/>
    </font>
    <font>
      <sz val="8.5"/>
      <name val="Calibri"/>
      <family val="2"/>
      <scheme val="minor"/>
    </font>
    <font>
      <b/>
      <i/>
      <sz val="10"/>
      <color rgb="FFFF0000"/>
      <name val="Calibri"/>
      <family val="2"/>
    </font>
    <font>
      <sz val="8.5"/>
      <color rgb="FFFF0000"/>
      <name val="Calibri"/>
      <family val="2"/>
    </font>
    <font>
      <b/>
      <sz val="8.5"/>
      <color rgb="FFFFFFFF"/>
      <name val="Calibri"/>
      <family val="2"/>
      <scheme val="minor"/>
    </font>
    <font>
      <sz val="9"/>
      <color rgb="FFFF0000"/>
      <name val="Calibri"/>
      <family val="2"/>
    </font>
    <font>
      <b/>
      <sz val="8.5"/>
      <color theme="0"/>
      <name val="Calibri"/>
      <family val="2"/>
    </font>
    <font>
      <b/>
      <i/>
      <sz val="10"/>
      <color rgb="FFFF66FF"/>
      <name val="Calibri"/>
      <family val="2"/>
    </font>
    <font>
      <i/>
      <sz val="8"/>
      <color rgb="FF000000"/>
      <name val="Calibri"/>
      <family val="2"/>
    </font>
    <font>
      <sz val="10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trike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82">
    <xf numFmtId="0" fontId="0" fillId="0" borderId="0"/>
    <xf numFmtId="0" fontId="2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13" fillId="0" borderId="0"/>
    <xf numFmtId="0" fontId="14" fillId="0" borderId="0"/>
    <xf numFmtId="0" fontId="2" fillId="0" borderId="0"/>
    <xf numFmtId="0" fontId="15" fillId="0" borderId="0"/>
    <xf numFmtId="0" fontId="2" fillId="0" borderId="0"/>
    <xf numFmtId="165" fontId="2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5" fontId="2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2" fillId="0" borderId="0"/>
    <xf numFmtId="0" fontId="2" fillId="0" borderId="0"/>
    <xf numFmtId="0" fontId="13" fillId="0" borderId="0"/>
    <xf numFmtId="0" fontId="26" fillId="0" borderId="0"/>
    <xf numFmtId="0" fontId="2" fillId="0" borderId="0"/>
    <xf numFmtId="0" fontId="2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134">
    <xf numFmtId="0" fontId="0" fillId="0" borderId="0" xfId="0"/>
    <xf numFmtId="0" fontId="1" fillId="2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1" fillId="0" borderId="2" xfId="0" applyFont="1" applyBorder="1"/>
    <xf numFmtId="0" fontId="6" fillId="0" borderId="0" xfId="0" applyFont="1" applyAlignment="1">
      <alignment wrapText="1"/>
    </xf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10" fillId="6" borderId="2" xfId="1" applyNumberFormat="1" applyFont="1" applyFill="1" applyBorder="1" applyAlignment="1">
      <alignment horizontal="left" vertical="center"/>
    </xf>
    <xf numFmtId="0" fontId="11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3" fillId="0" borderId="2" xfId="0" applyFont="1" applyBorder="1" applyAlignment="1">
      <alignment horizontal="left" vertical="center" wrapText="1"/>
    </xf>
    <xf numFmtId="0" fontId="9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3" fillId="0" borderId="0" xfId="0" applyFont="1"/>
    <xf numFmtId="0" fontId="1" fillId="0" borderId="2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0" fillId="0" borderId="0" xfId="0" applyFont="1" applyAlignment="1">
      <alignment horizontal="right"/>
    </xf>
    <xf numFmtId="0" fontId="22" fillId="0" borderId="2" xfId="0" applyFont="1" applyBorder="1"/>
    <xf numFmtId="0" fontId="23" fillId="0" borderId="2" xfId="0" applyFont="1" applyBorder="1"/>
    <xf numFmtId="0" fontId="1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4" fillId="0" borderId="2" xfId="1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left"/>
    </xf>
    <xf numFmtId="0" fontId="24" fillId="9" borderId="2" xfId="1" applyNumberFormat="1" applyFont="1" applyFill="1" applyBorder="1" applyAlignment="1">
      <alignment horizontal="center" vertical="center"/>
    </xf>
    <xf numFmtId="0" fontId="1" fillId="9" borderId="2" xfId="1" applyNumberFormat="1" applyFont="1" applyFill="1" applyBorder="1" applyAlignment="1">
      <alignment horizontal="left" vertical="center"/>
    </xf>
    <xf numFmtId="0" fontId="27" fillId="0" borderId="0" xfId="0" applyFont="1"/>
    <xf numFmtId="14" fontId="27" fillId="0" borderId="0" xfId="0" applyNumberFormat="1" applyFont="1"/>
    <xf numFmtId="0" fontId="27" fillId="0" borderId="8" xfId="0" applyFont="1" applyBorder="1"/>
    <xf numFmtId="0" fontId="27" fillId="0" borderId="9" xfId="0" applyFont="1" applyBorder="1"/>
    <xf numFmtId="0" fontId="27" fillId="0" borderId="10" xfId="0" applyFont="1" applyBorder="1"/>
    <xf numFmtId="0" fontId="27" fillId="0" borderId="11" xfId="0" applyFont="1" applyBorder="1"/>
    <xf numFmtId="0" fontId="27" fillId="3" borderId="8" xfId="0" applyFont="1" applyFill="1" applyBorder="1"/>
    <xf numFmtId="0" fontId="27" fillId="4" borderId="8" xfId="0" applyFont="1" applyFill="1" applyBorder="1"/>
    <xf numFmtId="0" fontId="27" fillId="11" borderId="8" xfId="0" applyFont="1" applyFill="1" applyBorder="1"/>
    <xf numFmtId="0" fontId="27" fillId="12" borderId="8" xfId="0" applyFont="1" applyFill="1" applyBorder="1"/>
    <xf numFmtId="0" fontId="28" fillId="10" borderId="8" xfId="0" applyFont="1" applyFill="1" applyBorder="1"/>
    <xf numFmtId="0" fontId="27" fillId="13" borderId="8" xfId="0" applyFont="1" applyFill="1" applyBorder="1"/>
    <xf numFmtId="0" fontId="23" fillId="0" borderId="3" xfId="0" applyFont="1" applyBorder="1"/>
    <xf numFmtId="0" fontId="1" fillId="6" borderId="2" xfId="1" applyNumberFormat="1" applyFont="1" applyFill="1" applyBorder="1" applyAlignment="1">
      <alignment horizontal="left" vertical="center"/>
    </xf>
    <xf numFmtId="0" fontId="24" fillId="6" borderId="2" xfId="1" applyNumberFormat="1" applyFont="1" applyFill="1" applyBorder="1" applyAlignment="1">
      <alignment horizontal="center" vertical="center"/>
    </xf>
    <xf numFmtId="0" fontId="30" fillId="0" borderId="2" xfId="0" applyFont="1" applyBorder="1"/>
    <xf numFmtId="0" fontId="31" fillId="0" borderId="0" xfId="0" applyFont="1"/>
    <xf numFmtId="0" fontId="30" fillId="0" borderId="2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27" fillId="0" borderId="13" xfId="0" applyFont="1" applyBorder="1"/>
    <xf numFmtId="0" fontId="4" fillId="0" borderId="2" xfId="0" applyFont="1" applyBorder="1" applyAlignment="1">
      <alignment horizontal="left" wrapText="1"/>
    </xf>
    <xf numFmtId="0" fontId="25" fillId="0" borderId="2" xfId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3" fillId="0" borderId="0" xfId="0" applyFont="1" applyAlignment="1">
      <alignment horizontal="center"/>
    </xf>
    <xf numFmtId="2" fontId="33" fillId="0" borderId="0" xfId="0" applyNumberFormat="1" applyFont="1" applyAlignment="1">
      <alignment horizontal="center"/>
    </xf>
    <xf numFmtId="0" fontId="34" fillId="0" borderId="0" xfId="0" applyFont="1" applyAlignment="1">
      <alignment horizontal="right"/>
    </xf>
    <xf numFmtId="2" fontId="34" fillId="0" borderId="0" xfId="0" applyNumberFormat="1" applyFont="1"/>
    <xf numFmtId="0" fontId="33" fillId="0" borderId="0" xfId="0" applyFont="1" applyAlignment="1">
      <alignment horizontal="center" wrapText="1"/>
    </xf>
    <xf numFmtId="14" fontId="37" fillId="0" borderId="0" xfId="0" applyNumberFormat="1" applyFont="1" applyAlignment="1">
      <alignment horizontal="left" vertical="center" wrapText="1"/>
    </xf>
    <xf numFmtId="0" fontId="3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Border="1" applyAlignment="1">
      <alignment horizontal="center" vertical="center"/>
    </xf>
    <xf numFmtId="0" fontId="38" fillId="0" borderId="0" xfId="1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23" fillId="0" borderId="18" xfId="1" applyNumberFormat="1" applyFont="1" applyFill="1" applyBorder="1" applyAlignment="1">
      <alignment horizontal="center" vertical="center"/>
    </xf>
    <xf numFmtId="0" fontId="23" fillId="0" borderId="2" xfId="1" applyNumberFormat="1" applyFont="1" applyFill="1" applyBorder="1" applyAlignment="1">
      <alignment horizontal="center" vertical="center"/>
    </xf>
    <xf numFmtId="0" fontId="23" fillId="0" borderId="19" xfId="1" applyNumberFormat="1" applyFont="1" applyFill="1" applyBorder="1" applyAlignment="1">
      <alignment horizontal="center" vertical="center"/>
    </xf>
    <xf numFmtId="0" fontId="23" fillId="0" borderId="19" xfId="1" applyNumberFormat="1" applyFont="1" applyFill="1" applyBorder="1" applyAlignment="1" applyProtection="1">
      <alignment horizontal="center" vertical="center"/>
    </xf>
    <xf numFmtId="0" fontId="23" fillId="0" borderId="2" xfId="1" applyNumberFormat="1" applyFont="1" applyFill="1" applyBorder="1" applyAlignment="1" applyProtection="1">
      <alignment horizontal="center" vertical="center"/>
    </xf>
    <xf numFmtId="0" fontId="23" fillId="0" borderId="20" xfId="1" applyNumberFormat="1" applyFont="1" applyFill="1" applyBorder="1" applyAlignment="1">
      <alignment horizontal="center" vertical="center"/>
    </xf>
    <xf numFmtId="0" fontId="23" fillId="0" borderId="15" xfId="1" applyNumberFormat="1" applyFont="1" applyFill="1" applyBorder="1" applyAlignment="1">
      <alignment horizontal="center" vertical="center"/>
    </xf>
    <xf numFmtId="0" fontId="23" fillId="0" borderId="15" xfId="1" applyNumberFormat="1" applyFont="1" applyFill="1" applyBorder="1" applyAlignment="1" applyProtection="1">
      <alignment horizontal="center" vertical="center"/>
    </xf>
    <xf numFmtId="0" fontId="23" fillId="0" borderId="21" xfId="1" applyNumberFormat="1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40" fillId="0" borderId="0" xfId="0" applyFont="1" applyAlignment="1">
      <alignment horizontal="left" vertical="center"/>
    </xf>
    <xf numFmtId="0" fontId="41" fillId="0" borderId="16" xfId="0" applyFont="1" applyBorder="1"/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 vertical="center"/>
    </xf>
    <xf numFmtId="0" fontId="43" fillId="0" borderId="17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14" fontId="23" fillId="0" borderId="24" xfId="0" applyNumberFormat="1" applyFont="1" applyBorder="1" applyAlignment="1">
      <alignment horizontal="left" vertical="center" wrapText="1"/>
    </xf>
    <xf numFmtId="14" fontId="23" fillId="0" borderId="22" xfId="0" applyNumberFormat="1" applyFont="1" applyBorder="1" applyAlignment="1">
      <alignment horizontal="left" vertical="center" wrapText="1"/>
    </xf>
    <xf numFmtId="14" fontId="23" fillId="0" borderId="23" xfId="0" applyNumberFormat="1" applyFont="1" applyBorder="1" applyAlignment="1">
      <alignment horizontal="left" vertical="center" wrapText="1"/>
    </xf>
    <xf numFmtId="14" fontId="0" fillId="0" borderId="0" xfId="0" applyNumberFormat="1"/>
    <xf numFmtId="0" fontId="24" fillId="7" borderId="2" xfId="1" applyNumberFormat="1" applyFont="1" applyFill="1" applyBorder="1" applyAlignment="1" applyProtection="1">
      <alignment horizontal="center" vertical="center"/>
    </xf>
    <xf numFmtId="0" fontId="45" fillId="14" borderId="2" xfId="1" applyNumberFormat="1" applyFont="1" applyFill="1" applyBorder="1" applyAlignment="1" applyProtection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0" fillId="0" borderId="12" xfId="0" applyBorder="1"/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47" fillId="0" borderId="2" xfId="1" applyNumberFormat="1" applyFont="1" applyFill="1" applyBorder="1" applyAlignment="1">
      <alignment horizontal="center" vertical="center"/>
    </xf>
    <xf numFmtId="0" fontId="48" fillId="15" borderId="2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vertical="center"/>
    </xf>
    <xf numFmtId="0" fontId="1" fillId="16" borderId="2" xfId="0" applyFont="1" applyFill="1" applyBorder="1" applyAlignment="1">
      <alignment horizontal="center"/>
    </xf>
    <xf numFmtId="49" fontId="1" fillId="16" borderId="4" xfId="0" applyNumberFormat="1" applyFont="1" applyFill="1" applyBorder="1" applyAlignment="1">
      <alignment vertical="center"/>
    </xf>
    <xf numFmtId="166" fontId="1" fillId="16" borderId="1" xfId="0" applyNumberFormat="1" applyFont="1" applyFill="1" applyBorder="1" applyAlignment="1">
      <alignment horizontal="center"/>
    </xf>
    <xf numFmtId="0" fontId="1" fillId="16" borderId="2" xfId="0" applyFont="1" applyFill="1" applyBorder="1" applyAlignment="1">
      <alignment horizontal="left" vertical="center"/>
    </xf>
    <xf numFmtId="166" fontId="1" fillId="16" borderId="2" xfId="0" applyNumberFormat="1" applyFont="1" applyFill="1" applyBorder="1" applyAlignment="1">
      <alignment horizontal="center"/>
    </xf>
    <xf numFmtId="166" fontId="1" fillId="16" borderId="2" xfId="0" applyNumberFormat="1" applyFont="1" applyFill="1" applyBorder="1" applyAlignment="1">
      <alignment horizontal="center" wrapText="1"/>
    </xf>
    <xf numFmtId="0" fontId="29" fillId="17" borderId="2" xfId="1" applyNumberFormat="1" applyFont="1" applyFill="1" applyBorder="1" applyAlignment="1">
      <alignment horizontal="center" vertical="center"/>
    </xf>
    <xf numFmtId="0" fontId="24" fillId="4" borderId="2" xfId="1" applyNumberFormat="1" applyFont="1" applyFill="1" applyBorder="1" applyAlignment="1">
      <alignment horizontal="center" vertical="center"/>
    </xf>
    <xf numFmtId="0" fontId="45" fillId="0" borderId="2" xfId="0" applyFont="1" applyBorder="1" applyAlignment="1">
      <alignment horizontal="center"/>
    </xf>
    <xf numFmtId="0" fontId="24" fillId="17" borderId="2" xfId="1" applyNumberFormat="1" applyFont="1" applyFill="1" applyBorder="1" applyAlignment="1">
      <alignment horizontal="center" vertical="center"/>
    </xf>
    <xf numFmtId="0" fontId="24" fillId="18" borderId="2" xfId="1" applyNumberFormat="1" applyFont="1" applyFill="1" applyBorder="1" applyAlignment="1">
      <alignment horizontal="center" vertical="center"/>
    </xf>
    <xf numFmtId="0" fontId="49" fillId="0" borderId="2" xfId="0" applyFont="1" applyBorder="1"/>
    <xf numFmtId="0" fontId="50" fillId="19" borderId="2" xfId="1" applyNumberFormat="1" applyFont="1" applyFill="1" applyBorder="1" applyAlignment="1">
      <alignment horizontal="center" vertical="center"/>
    </xf>
    <xf numFmtId="0" fontId="50" fillId="8" borderId="2" xfId="1" applyNumberFormat="1" applyFont="1" applyFill="1" applyBorder="1" applyAlignment="1">
      <alignment horizontal="center" vertical="center"/>
    </xf>
    <xf numFmtId="0" fontId="45" fillId="14" borderId="2" xfId="0" applyFont="1" applyFill="1" applyBorder="1" applyAlignment="1">
      <alignment horizontal="center" vertical="center"/>
    </xf>
    <xf numFmtId="0" fontId="45" fillId="20" borderId="2" xfId="0" applyFont="1" applyFill="1" applyBorder="1" applyAlignment="1">
      <alignment horizontal="center" vertical="center"/>
    </xf>
    <xf numFmtId="0" fontId="24" fillId="0" borderId="6" xfId="1" applyNumberFormat="1" applyFont="1" applyFill="1" applyBorder="1" applyAlignment="1">
      <alignment horizontal="center" vertical="center"/>
    </xf>
    <xf numFmtId="0" fontId="24" fillId="3" borderId="2" xfId="1" applyNumberFormat="1" applyFont="1" applyFill="1" applyBorder="1" applyAlignment="1">
      <alignment horizontal="center" vertical="center"/>
    </xf>
    <xf numFmtId="0" fontId="24" fillId="7" borderId="2" xfId="1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24" fillId="21" borderId="2" xfId="1" applyNumberFormat="1" applyFont="1" applyFill="1" applyBorder="1" applyAlignment="1">
      <alignment horizontal="center" vertical="center"/>
    </xf>
    <xf numFmtId="0" fontId="53" fillId="0" borderId="30" xfId="0" applyFont="1" applyBorder="1"/>
    <xf numFmtId="0" fontId="56" fillId="0" borderId="11" xfId="0" applyFont="1" applyBorder="1"/>
    <xf numFmtId="0" fontId="56" fillId="0" borderId="0" xfId="0" applyFont="1"/>
    <xf numFmtId="0" fontId="29" fillId="17" borderId="6" xfId="1" applyNumberFormat="1" applyFont="1" applyFill="1" applyBorder="1" applyAlignment="1">
      <alignment horizontal="center" vertical="center"/>
    </xf>
    <xf numFmtId="0" fontId="29" fillId="17" borderId="7" xfId="1" applyNumberFormat="1" applyFont="1" applyFill="1" applyBorder="1" applyAlignment="1">
      <alignment horizontal="center" vertical="center"/>
    </xf>
    <xf numFmtId="0" fontId="29" fillId="17" borderId="5" xfId="1" applyNumberFormat="1" applyFont="1" applyFill="1" applyBorder="1" applyAlignment="1">
      <alignment horizontal="center" vertical="center"/>
    </xf>
    <xf numFmtId="0" fontId="25" fillId="17" borderId="6" xfId="1" applyNumberFormat="1" applyFont="1" applyFill="1" applyBorder="1" applyAlignment="1">
      <alignment horizontal="center" vertical="center"/>
    </xf>
    <xf numFmtId="0" fontId="25" fillId="17" borderId="7" xfId="1" applyNumberFormat="1" applyFont="1" applyFill="1" applyBorder="1" applyAlignment="1">
      <alignment horizontal="center" vertical="center"/>
    </xf>
    <xf numFmtId="0" fontId="25" fillId="17" borderId="5" xfId="1" applyNumberFormat="1" applyFont="1" applyFill="1" applyBorder="1" applyAlignment="1">
      <alignment horizontal="center" vertical="center"/>
    </xf>
    <xf numFmtId="0" fontId="41" fillId="0" borderId="16" xfId="0" applyFont="1" applyBorder="1" applyAlignment="1">
      <alignment horizontal="center"/>
    </xf>
  </cellXfs>
  <cellStyles count="182">
    <cellStyle name="Currency 10" xfId="9" xr:uid="{00000000-0005-0000-0000-000000000000}"/>
    <cellStyle name="Currency 10 2" xfId="66" xr:uid="{00000000-0005-0000-0000-000001000000}"/>
    <cellStyle name="Currency 10 2 2" xfId="135" xr:uid="{00000000-0005-0000-0000-000002000000}"/>
    <cellStyle name="Currency 10 2 2 2" xfId="166" xr:uid="{00000000-0005-0000-0000-000003000000}"/>
    <cellStyle name="Currency 10 2_Feb 5" xfId="134" xr:uid="{00000000-0005-0000-0000-000004000000}"/>
    <cellStyle name="Currency 10 3" xfId="136" xr:uid="{00000000-0005-0000-0000-000005000000}"/>
    <cellStyle name="Currency 10 3 2" xfId="167" xr:uid="{00000000-0005-0000-0000-000006000000}"/>
    <cellStyle name="Currency 10_Feb 5" xfId="133" xr:uid="{00000000-0005-0000-0000-000007000000}"/>
    <cellStyle name="Currency 2" xfId="10" xr:uid="{00000000-0005-0000-0000-000008000000}"/>
    <cellStyle name="Currency 2 10" xfId="165" xr:uid="{00000000-0005-0000-0000-000009000000}"/>
    <cellStyle name="Currency 2 2" xfId="11" xr:uid="{00000000-0005-0000-0000-00000A000000}"/>
    <cellStyle name="Currency 2 2 2" xfId="68" xr:uid="{00000000-0005-0000-0000-00000B000000}"/>
    <cellStyle name="Currency 2 2 2 2" xfId="140" xr:uid="{00000000-0005-0000-0000-00000C000000}"/>
    <cellStyle name="Currency 2 2 2 2 2" xfId="168" xr:uid="{00000000-0005-0000-0000-00000D000000}"/>
    <cellStyle name="Currency 2 2 2_Feb 5" xfId="139" xr:uid="{00000000-0005-0000-0000-00000E000000}"/>
    <cellStyle name="Currency 2 2 3" xfId="141" xr:uid="{00000000-0005-0000-0000-00000F000000}"/>
    <cellStyle name="Currency 2 2 3 2" xfId="169" xr:uid="{00000000-0005-0000-0000-000010000000}"/>
    <cellStyle name="Currency 2 2_Feb 5" xfId="138" xr:uid="{00000000-0005-0000-0000-000011000000}"/>
    <cellStyle name="Currency 2 3" xfId="67" xr:uid="{00000000-0005-0000-0000-000012000000}"/>
    <cellStyle name="Currency 2 3 2" xfId="143" xr:uid="{00000000-0005-0000-0000-000013000000}"/>
    <cellStyle name="Currency 2 3 2 2" xfId="144" xr:uid="{00000000-0005-0000-0000-000014000000}"/>
    <cellStyle name="Currency 2 3 2 2 2" xfId="171" xr:uid="{00000000-0005-0000-0000-000015000000}"/>
    <cellStyle name="Currency 2 3 2 3" xfId="170" xr:uid="{00000000-0005-0000-0000-000016000000}"/>
    <cellStyle name="Currency 2 3 3" xfId="145" xr:uid="{00000000-0005-0000-0000-000017000000}"/>
    <cellStyle name="Currency 2 3 3 2" xfId="172" xr:uid="{00000000-0005-0000-0000-000018000000}"/>
    <cellStyle name="Currency 2 3 4" xfId="163" xr:uid="{00000000-0005-0000-0000-000019000000}"/>
    <cellStyle name="Currency 2 3_Feb 5" xfId="142" xr:uid="{00000000-0005-0000-0000-00001A000000}"/>
    <cellStyle name="Currency 2 4" xfId="146" xr:uid="{00000000-0005-0000-0000-00001B000000}"/>
    <cellStyle name="Currency 2 4 2" xfId="147" xr:uid="{00000000-0005-0000-0000-00001C000000}"/>
    <cellStyle name="Currency 2 4 2 2" xfId="148" xr:uid="{00000000-0005-0000-0000-00001D000000}"/>
    <cellStyle name="Currency 2 4 2 2 2" xfId="175" xr:uid="{00000000-0005-0000-0000-00001E000000}"/>
    <cellStyle name="Currency 2 4 2 3" xfId="174" xr:uid="{00000000-0005-0000-0000-00001F000000}"/>
    <cellStyle name="Currency 2 4 3" xfId="149" xr:uid="{00000000-0005-0000-0000-000020000000}"/>
    <cellStyle name="Currency 2 4 3 2" xfId="176" xr:uid="{00000000-0005-0000-0000-000021000000}"/>
    <cellStyle name="Currency 2 4 4" xfId="173" xr:uid="{00000000-0005-0000-0000-000022000000}"/>
    <cellStyle name="Currency 2 5" xfId="150" xr:uid="{00000000-0005-0000-0000-000023000000}"/>
    <cellStyle name="Currency 2 5 2" xfId="151" xr:uid="{00000000-0005-0000-0000-000024000000}"/>
    <cellStyle name="Currency 2 5 2 2" xfId="178" xr:uid="{00000000-0005-0000-0000-000025000000}"/>
    <cellStyle name="Currency 2 5 3" xfId="177" xr:uid="{00000000-0005-0000-0000-000026000000}"/>
    <cellStyle name="Currency 2 6" xfId="152" xr:uid="{00000000-0005-0000-0000-000027000000}"/>
    <cellStyle name="Currency 2 6 2" xfId="179" xr:uid="{00000000-0005-0000-0000-000028000000}"/>
    <cellStyle name="Currency 2 7" xfId="161" xr:uid="{00000000-0005-0000-0000-000029000000}"/>
    <cellStyle name="Currency 2 8" xfId="164" xr:uid="{00000000-0005-0000-0000-00002A000000}"/>
    <cellStyle name="Currency 2 9" xfId="162" xr:uid="{00000000-0005-0000-0000-00002B000000}"/>
    <cellStyle name="Currency 2_Feb 5" xfId="137" xr:uid="{00000000-0005-0000-0000-00002C000000}"/>
    <cellStyle name="Currency 4" xfId="153" xr:uid="{00000000-0005-0000-0000-00002D000000}"/>
    <cellStyle name="Currency 4 2" xfId="180" xr:uid="{00000000-0005-0000-0000-00002E000000}"/>
    <cellStyle name="Currency 8" xfId="154" xr:uid="{00000000-0005-0000-0000-00002F000000}"/>
    <cellStyle name="Currency 8 2" xfId="181" xr:uid="{00000000-0005-0000-0000-000030000000}"/>
    <cellStyle name="Followed Hyperlink" xfId="98" builtinId="9" hidden="1"/>
    <cellStyle name="Followed Hyperlink" xfId="106" builtinId="9" hidden="1"/>
    <cellStyle name="Followed Hyperlink" xfId="7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6" builtinId="9" hidden="1"/>
    <cellStyle name="Followed Hyperlink" xfId="92" builtinId="9" hidden="1"/>
    <cellStyle name="Followed Hyperlink" xfId="72" builtinId="9" hidden="1"/>
    <cellStyle name="Followed Hyperlink" xfId="88" builtinId="9" hidden="1"/>
    <cellStyle name="Followed Hyperlink" xfId="130" builtinId="9" hidden="1"/>
    <cellStyle name="Followed Hyperlink" xfId="82" builtinId="9" hidden="1"/>
    <cellStyle name="Followed Hyperlink" xfId="108" builtinId="9" hidden="1"/>
    <cellStyle name="Followed Hyperlink" xfId="110" builtinId="9" hidden="1"/>
    <cellStyle name="Followed Hyperlink" xfId="94" builtinId="9" hidden="1"/>
    <cellStyle name="Followed Hyperlink" xfId="70" builtinId="9" hidden="1"/>
    <cellStyle name="Followed Hyperlink" xfId="122" builtinId="9" hidden="1"/>
    <cellStyle name="Followed Hyperlink" xfId="132" builtinId="9" hidden="1"/>
    <cellStyle name="Followed Hyperlink" xfId="114" builtinId="9" hidden="1"/>
    <cellStyle name="Followed Hyperlink" xfId="84" builtinId="9" hidden="1"/>
    <cellStyle name="Followed Hyperlink" xfId="90" builtinId="9" hidden="1"/>
    <cellStyle name="Followed Hyperlink" xfId="78" builtinId="9" hidden="1"/>
    <cellStyle name="Followed Hyperlink" xfId="100" builtinId="9" hidden="1"/>
    <cellStyle name="Followed Hyperlink" xfId="128" builtinId="9" hidden="1"/>
    <cellStyle name="Followed Hyperlink" xfId="124" builtinId="9" hidden="1"/>
    <cellStyle name="Followed Hyperlink" xfId="104" builtinId="9" hidden="1"/>
    <cellStyle name="Followed Hyperlink" xfId="102" builtinId="9" hidden="1"/>
    <cellStyle name="Followed Hyperlink" xfId="112" builtinId="9" hidden="1"/>
    <cellStyle name="Followed Hyperlink" xfId="96" builtinId="9" hidden="1"/>
    <cellStyle name="Followed Hyperlink" xfId="86" builtinId="9" hidden="1"/>
    <cellStyle name="Followed Hyperlink" xfId="80" builtinId="9" hidden="1"/>
    <cellStyle name="Followed Hyperlink" xfId="76" builtinId="9" hidden="1"/>
    <cellStyle name="Hyperlink" xfId="77" builtinId="8" hidden="1"/>
    <cellStyle name="Hyperlink" xfId="111" builtinId="8" hidden="1"/>
    <cellStyle name="Hyperlink" xfId="109" builtinId="8" hidden="1"/>
    <cellStyle name="Hyperlink" xfId="91" builtinId="8" hidden="1"/>
    <cellStyle name="Hyperlink" xfId="127" builtinId="8" hidden="1"/>
    <cellStyle name="Hyperlink" xfId="131" builtinId="8" hidden="1"/>
    <cellStyle name="Hyperlink" xfId="113" builtinId="8" hidden="1"/>
    <cellStyle name="Hyperlink" xfId="129" builtinId="8" hidden="1"/>
    <cellStyle name="Hyperlink" xfId="99" builtinId="8" hidden="1"/>
    <cellStyle name="Hyperlink" xfId="103" builtinId="8" hidden="1"/>
    <cellStyle name="Hyperlink" xfId="117" builtinId="8" hidden="1"/>
    <cellStyle name="Hyperlink" xfId="125" builtinId="8" hidden="1"/>
    <cellStyle name="Hyperlink" xfId="97" builtinId="8" hidden="1"/>
    <cellStyle name="Hyperlink" xfId="85" builtinId="8" hidden="1"/>
    <cellStyle name="Hyperlink" xfId="71" builtinId="8" hidden="1"/>
    <cellStyle name="Hyperlink" xfId="123" builtinId="8" hidden="1"/>
    <cellStyle name="Hyperlink" xfId="81" builtinId="8" hidden="1"/>
    <cellStyle name="Hyperlink" xfId="107" builtinId="8" hidden="1"/>
    <cellStyle name="Hyperlink" xfId="89" builtinId="8" hidden="1"/>
    <cellStyle name="Hyperlink" xfId="119" builtinId="8" hidden="1"/>
    <cellStyle name="Hyperlink" xfId="121" builtinId="8" hidden="1"/>
    <cellStyle name="Hyperlink" xfId="83" builtinId="8" hidden="1"/>
    <cellStyle name="Hyperlink" xfId="75" builtinId="8" hidden="1"/>
    <cellStyle name="Hyperlink" xfId="87" builtinId="8" hidden="1"/>
    <cellStyle name="Hyperlink" xfId="79" builtinId="8" hidden="1"/>
    <cellStyle name="Hyperlink" xfId="115" builtinId="8" hidden="1"/>
    <cellStyle name="Hyperlink" xfId="95" builtinId="8" hidden="1"/>
    <cellStyle name="Hyperlink" xfId="73" builtinId="8" hidden="1"/>
    <cellStyle name="Hyperlink" xfId="105" builtinId="8" hidden="1"/>
    <cellStyle name="Hyperlink" xfId="69" builtinId="8" hidden="1"/>
    <cellStyle name="Hyperlink" xfId="93" builtinId="8" hidden="1"/>
    <cellStyle name="Hyperlink" xfId="101" builtinId="8" hidden="1"/>
    <cellStyle name="Hyperlink 2" xfId="12" xr:uid="{00000000-0005-0000-0000-000071000000}"/>
    <cellStyle name="Hyperlink 2 2" xfId="13" xr:uid="{00000000-0005-0000-0000-000072000000}"/>
    <cellStyle name="Hyperlink 3" xfId="14" xr:uid="{00000000-0005-0000-0000-000073000000}"/>
    <cellStyle name="Normal" xfId="0" builtinId="0"/>
    <cellStyle name="Normal 13" xfId="15" xr:uid="{00000000-0005-0000-0000-000075000000}"/>
    <cellStyle name="Normal 14" xfId="16" xr:uid="{00000000-0005-0000-0000-000076000000}"/>
    <cellStyle name="Normal 15" xfId="17" xr:uid="{00000000-0005-0000-0000-000077000000}"/>
    <cellStyle name="Normal 16" xfId="18" xr:uid="{00000000-0005-0000-0000-000078000000}"/>
    <cellStyle name="Normal 17" xfId="19" xr:uid="{00000000-0005-0000-0000-000079000000}"/>
    <cellStyle name="Normal 18" xfId="20" xr:uid="{00000000-0005-0000-0000-00007A000000}"/>
    <cellStyle name="Normal 19" xfId="21" xr:uid="{00000000-0005-0000-0000-00007B000000}"/>
    <cellStyle name="Normal 2" xfId="2" xr:uid="{00000000-0005-0000-0000-00007C000000}"/>
    <cellStyle name="Normal 2 2" xfId="22" xr:uid="{00000000-0005-0000-0000-00007D000000}"/>
    <cellStyle name="Normal 2 3" xfId="23" xr:uid="{00000000-0005-0000-0000-00007E000000}"/>
    <cellStyle name="Normal 2_Feb 5" xfId="155" xr:uid="{00000000-0005-0000-0000-00007F000000}"/>
    <cellStyle name="Normal 20" xfId="24" xr:uid="{00000000-0005-0000-0000-000080000000}"/>
    <cellStyle name="Normal 21" xfId="25" xr:uid="{00000000-0005-0000-0000-000081000000}"/>
    <cellStyle name="Normal 22" xfId="26" xr:uid="{00000000-0005-0000-0000-000082000000}"/>
    <cellStyle name="Normal 23" xfId="27" xr:uid="{00000000-0005-0000-0000-000083000000}"/>
    <cellStyle name="Normal 24" xfId="28" xr:uid="{00000000-0005-0000-0000-000084000000}"/>
    <cellStyle name="Normal 25" xfId="29" xr:uid="{00000000-0005-0000-0000-000085000000}"/>
    <cellStyle name="Normal 26" xfId="30" xr:uid="{00000000-0005-0000-0000-000086000000}"/>
    <cellStyle name="Normal 27" xfId="31" xr:uid="{00000000-0005-0000-0000-000087000000}"/>
    <cellStyle name="Normal 28" xfId="32" xr:uid="{00000000-0005-0000-0000-000088000000}"/>
    <cellStyle name="Normal 29" xfId="33" xr:uid="{00000000-0005-0000-0000-000089000000}"/>
    <cellStyle name="Normal 3" xfId="4" xr:uid="{00000000-0005-0000-0000-00008A000000}"/>
    <cellStyle name="Normal 3 2" xfId="34" xr:uid="{00000000-0005-0000-0000-00008B000000}"/>
    <cellStyle name="Normal 3_Feb 5" xfId="156" xr:uid="{00000000-0005-0000-0000-00008C000000}"/>
    <cellStyle name="Normal 30" xfId="35" xr:uid="{00000000-0005-0000-0000-00008D000000}"/>
    <cellStyle name="Normal 31" xfId="36" xr:uid="{00000000-0005-0000-0000-00008E000000}"/>
    <cellStyle name="Normal 32" xfId="37" xr:uid="{00000000-0005-0000-0000-00008F000000}"/>
    <cellStyle name="Normal 33" xfId="38" xr:uid="{00000000-0005-0000-0000-000090000000}"/>
    <cellStyle name="Normal 34" xfId="39" xr:uid="{00000000-0005-0000-0000-000091000000}"/>
    <cellStyle name="Normal 35" xfId="40" xr:uid="{00000000-0005-0000-0000-000092000000}"/>
    <cellStyle name="Normal 36" xfId="41" xr:uid="{00000000-0005-0000-0000-000093000000}"/>
    <cellStyle name="Normal 37" xfId="42" xr:uid="{00000000-0005-0000-0000-000094000000}"/>
    <cellStyle name="Normal 38" xfId="43" xr:uid="{00000000-0005-0000-0000-000095000000}"/>
    <cellStyle name="Normal 39" xfId="44" xr:uid="{00000000-0005-0000-0000-000096000000}"/>
    <cellStyle name="Normal 4" xfId="1" xr:uid="{00000000-0005-0000-0000-000097000000}"/>
    <cellStyle name="Normal 4 2" xfId="45" xr:uid="{00000000-0005-0000-0000-000098000000}"/>
    <cellStyle name="Normal 4 3" xfId="46" xr:uid="{00000000-0005-0000-0000-000099000000}"/>
    <cellStyle name="Normal 4_2.) Positions" xfId="157" xr:uid="{00000000-0005-0000-0000-00009A000000}"/>
    <cellStyle name="Normal 40" xfId="47" xr:uid="{00000000-0005-0000-0000-00009B000000}"/>
    <cellStyle name="Normal 41" xfId="48" xr:uid="{00000000-0005-0000-0000-00009C000000}"/>
    <cellStyle name="Normal 42" xfId="49" xr:uid="{00000000-0005-0000-0000-00009D000000}"/>
    <cellStyle name="Normal 44" xfId="50" xr:uid="{00000000-0005-0000-0000-00009E000000}"/>
    <cellStyle name="Normal 45" xfId="51" xr:uid="{00000000-0005-0000-0000-00009F000000}"/>
    <cellStyle name="Normal 46" xfId="52" xr:uid="{00000000-0005-0000-0000-0000A0000000}"/>
    <cellStyle name="Normal 47" xfId="53" xr:uid="{00000000-0005-0000-0000-0000A1000000}"/>
    <cellStyle name="Normal 48" xfId="54" xr:uid="{00000000-0005-0000-0000-0000A2000000}"/>
    <cellStyle name="Normal 49" xfId="55" xr:uid="{00000000-0005-0000-0000-0000A3000000}"/>
    <cellStyle name="Normal 5" xfId="3" xr:uid="{00000000-0005-0000-0000-0000A4000000}"/>
    <cellStyle name="Normal 5 2" xfId="5" xr:uid="{00000000-0005-0000-0000-0000A5000000}"/>
    <cellStyle name="Normal 5 2 2" xfId="6" xr:uid="{00000000-0005-0000-0000-0000A6000000}"/>
    <cellStyle name="Normal 5 2 3" xfId="7" xr:uid="{00000000-0005-0000-0000-0000A7000000}"/>
    <cellStyle name="Normal 5 2 3 2" xfId="8" xr:uid="{00000000-0005-0000-0000-0000A8000000}"/>
    <cellStyle name="Normal 5 2 3_Feb 3" xfId="160" xr:uid="{00000000-0005-0000-0000-0000A9000000}"/>
    <cellStyle name="Normal 5 2_Feb 3" xfId="159" xr:uid="{00000000-0005-0000-0000-0000AA000000}"/>
    <cellStyle name="Normal 50" xfId="56" xr:uid="{00000000-0005-0000-0000-0000AB000000}"/>
    <cellStyle name="Normal 51" xfId="57" xr:uid="{00000000-0005-0000-0000-0000AC000000}"/>
    <cellStyle name="Normal 52" xfId="58" xr:uid="{00000000-0005-0000-0000-0000AD000000}"/>
    <cellStyle name="Normal 53" xfId="59" xr:uid="{00000000-0005-0000-0000-0000AE000000}"/>
    <cellStyle name="Normal 54" xfId="60" xr:uid="{00000000-0005-0000-0000-0000AF000000}"/>
    <cellStyle name="Normal 55" xfId="61" xr:uid="{00000000-0005-0000-0000-0000B0000000}"/>
    <cellStyle name="Normal 56" xfId="62" xr:uid="{00000000-0005-0000-0000-0000B1000000}"/>
    <cellStyle name="Normal 57" xfId="63" xr:uid="{00000000-0005-0000-0000-0000B2000000}"/>
    <cellStyle name="Normal 58" xfId="64" xr:uid="{00000000-0005-0000-0000-0000B3000000}"/>
    <cellStyle name="Normal 6" xfId="65" xr:uid="{00000000-0005-0000-0000-0000B4000000}"/>
    <cellStyle name="Normal 7" xfId="158" xr:uid="{00000000-0005-0000-0000-0000B5000000}"/>
  </cellStyles>
  <dxfs count="7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99"/>
      <color rgb="FFE5FFE5"/>
      <color rgb="FFCCFFCC"/>
      <color rgb="FF00FF00"/>
      <color rgb="FFFF66FF"/>
      <color rgb="FFEDF7F9"/>
      <color rgb="FF00B0F0"/>
      <color rgb="FFF3FFF3"/>
      <color rgb="FF7030A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onashhealth.sharepoint.com/Users/566158/AppData/Local/Microsoft/Windows/Temporary%20Internet%20Files/Content.Outlook/1LMLTB8N/Casey%20SMS%20Rosters%20-%20TERM%204%20FINAL%20FOR%20RELEASE.xlsx" TargetMode="External"/><Relationship Id="rId1" Type="http://schemas.openxmlformats.org/officeDocument/2006/relationships/externalLinkPath" Target="/Users/566158/AppData/Local/Microsoft/Windows/Temporary%20Internet%20Files/Content.Outlook/1LMLTB8N/Casey%20SMS%20Rosters%20-%20TERM%204%20FINAL%20FOR%20RELE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taff List"/>
      <sheetName val="Week 1"/>
      <sheetName val="Week 2"/>
      <sheetName val="Week 3"/>
      <sheetName val="Week 4"/>
      <sheetName val="Week 5"/>
      <sheetName val="Week 6"/>
      <sheetName val="Week 7"/>
      <sheetName val="Week 8"/>
      <sheetName val="Week 9"/>
      <sheetName val="Week 10"/>
      <sheetName val="Week 11"/>
      <sheetName val="Week 12"/>
      <sheetName val="Week 13"/>
      <sheetName val="Week 14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ah Williams" id="{D0434DBC-976E-4B9E-99B6-069134108621}" userId="S::566158@monashhealth.org::2a9ed492-21a7-4701-9ac0-b77ba456ee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8" dT="2026-04-22T00:00:55.76" personId="{D0434DBC-976E-4B9E-99B6-069134108621}" id="{14B73470-CA82-4C66-8CAB-75B3F6083613}">
    <text>Compassionate Leave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8">
    <tabColor rgb="FFCCFFCC"/>
    <pageSetUpPr fitToPage="1"/>
  </sheetPr>
  <dimension ref="A1:AH167"/>
  <sheetViews>
    <sheetView tabSelected="1" topLeftCell="A127" zoomScaleNormal="100" workbookViewId="0">
      <selection activeCell="H1" sqref="H1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3" width="4" hidden="1" customWidth="1"/>
    <col min="24" max="24" width="0.42578125" hidden="1" customWidth="1"/>
    <col min="25" max="25" width="0.28515625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46146</v>
      </c>
      <c r="C2" s="105">
        <f t="shared" ref="C2:H2" si="0">B2+1</f>
        <v>46147</v>
      </c>
      <c r="D2" s="105">
        <f t="shared" si="0"/>
        <v>46148</v>
      </c>
      <c r="E2" s="105">
        <f t="shared" si="0"/>
        <v>46149</v>
      </c>
      <c r="F2" s="105">
        <f t="shared" si="0"/>
        <v>46150</v>
      </c>
      <c r="G2" s="105">
        <f t="shared" si="0"/>
        <v>46151</v>
      </c>
      <c r="H2" s="105">
        <f t="shared" si="0"/>
        <v>46152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110" t="s">
        <v>16</v>
      </c>
      <c r="H3" s="25"/>
      <c r="J3" t="e">
        <f t="shared" ref="J3:J4" ca="1" si="1">colorindex(B3)</f>
        <v>#NAME?</v>
      </c>
      <c r="K3" t="e">
        <f t="shared" ref="K3:K4" ca="1" si="2">colorindex(C3)</f>
        <v>#NAME?</v>
      </c>
      <c r="L3" t="e">
        <f t="shared" ref="L3:L4" ca="1" si="3">colorindex(D3)</f>
        <v>#NAME?</v>
      </c>
      <c r="M3" t="e">
        <f t="shared" ref="M3:M4" ca="1" si="4">colorindex(E3)</f>
        <v>#NAME?</v>
      </c>
      <c r="N3" t="e">
        <f t="shared" ref="N3:N4" ca="1" si="5">colorindex(F3)</f>
        <v>#NAME?</v>
      </c>
      <c r="O3" t="e">
        <f t="shared" ref="O3:O4" ca="1" si="6">colorindex(G3)</f>
        <v>#NAME?</v>
      </c>
      <c r="P3" t="e">
        <f t="shared" ref="P3:P4" ca="1" si="7">colorindex(H3)</f>
        <v>#NAME?</v>
      </c>
      <c r="R3" t="e">
        <f t="shared" ref="R3:R4" ca="1" si="8">ShiftIndex(B3)</f>
        <v>#NAME?</v>
      </c>
      <c r="S3" t="e">
        <f t="shared" ref="S3:S4" ca="1" si="9">ShiftIndex(C3)</f>
        <v>#NAME?</v>
      </c>
      <c r="T3" t="e">
        <f t="shared" ref="T3:T4" ca="1" si="10">ShiftIndex(D3)</f>
        <v>#NAME?</v>
      </c>
      <c r="U3" t="e">
        <f t="shared" ref="U3:U4" ca="1" si="11">ShiftIndex(E3)</f>
        <v>#NAME?</v>
      </c>
      <c r="V3" t="e">
        <f t="shared" ref="V3:V4" ca="1" si="12">ShiftIndex(F3)</f>
        <v>#NAME?</v>
      </c>
      <c r="W3" t="e">
        <f t="shared" ref="W3:W4" ca="1" si="13">ShiftIndex(G3)</f>
        <v>#NAME?</v>
      </c>
      <c r="X3" t="e">
        <f t="shared" ref="X3:X50" ca="1" si="14">ShiftIndex(H3)</f>
        <v>#NAME?</v>
      </c>
      <c r="Z3" s="15">
        <v>0.25</v>
      </c>
    </row>
    <row r="4" spans="1:26" ht="14.45" customHeight="1">
      <c r="A4" s="21" t="s">
        <v>17</v>
      </c>
      <c r="B4" s="127" t="s">
        <v>18</v>
      </c>
      <c r="C4" s="128"/>
      <c r="D4" s="128"/>
      <c r="E4" s="128"/>
      <c r="F4" s="128"/>
      <c r="G4" s="128"/>
      <c r="H4" s="129"/>
      <c r="J4" t="e">
        <f t="shared" ca="1" si="1"/>
        <v>#NAME?</v>
      </c>
      <c r="K4" t="e">
        <f t="shared" ca="1" si="2"/>
        <v>#NAME?</v>
      </c>
      <c r="L4" t="e">
        <f t="shared" ca="1" si="3"/>
        <v>#NAME?</v>
      </c>
      <c r="M4" t="e">
        <f t="shared" ca="1" si="4"/>
        <v>#NAME?</v>
      </c>
      <c r="N4" t="e">
        <f t="shared" ca="1" si="5"/>
        <v>#NAME?</v>
      </c>
      <c r="O4" t="e">
        <f t="shared" ca="1" si="6"/>
        <v>#NAME?</v>
      </c>
      <c r="P4" t="e">
        <f t="shared" ca="1" si="7"/>
        <v>#NAME?</v>
      </c>
      <c r="R4" t="e">
        <f t="shared" ca="1" si="8"/>
        <v>#NAME?</v>
      </c>
      <c r="S4" t="e">
        <f t="shared" ca="1" si="9"/>
        <v>#NAME?</v>
      </c>
      <c r="T4" t="e">
        <f t="shared" ca="1" si="10"/>
        <v>#NAME?</v>
      </c>
      <c r="U4" t="e">
        <f t="shared" ca="1" si="11"/>
        <v>#NAME?</v>
      </c>
      <c r="V4" t="e">
        <f t="shared" ca="1" si="12"/>
        <v>#NAME?</v>
      </c>
      <c r="W4" t="e">
        <f t="shared" ca="1" si="13"/>
        <v>#NAME?</v>
      </c>
      <c r="X4" t="e">
        <f t="shared" ca="1" si="14"/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ref="J5:J69" ca="1" si="15">colorindex(B5)</f>
        <v>#NAME?</v>
      </c>
      <c r="K5" t="e">
        <f t="shared" ref="K5:K69" ca="1" si="16">colorindex(C5)</f>
        <v>#NAME?</v>
      </c>
      <c r="L5" t="e">
        <f t="shared" ref="L5:L69" ca="1" si="17">colorindex(D5)</f>
        <v>#NAME?</v>
      </c>
      <c r="M5" t="e">
        <f t="shared" ref="M5:M69" ca="1" si="18">colorindex(E5)</f>
        <v>#NAME?</v>
      </c>
      <c r="N5" t="e">
        <f t="shared" ref="N5:N69" ca="1" si="19">colorindex(F5)</f>
        <v>#NAME?</v>
      </c>
      <c r="O5" t="e">
        <f t="shared" ref="O5:O69" ca="1" si="20">colorindex(G5)</f>
        <v>#NAME?</v>
      </c>
      <c r="P5" t="e">
        <f t="shared" ref="P5:P69" ca="1" si="21">colorindex(H5)</f>
        <v>#NAME?</v>
      </c>
      <c r="R5" t="e">
        <f t="shared" ref="R5:R69" ca="1" si="22">ShiftIndex(B5)</f>
        <v>#NAME?</v>
      </c>
      <c r="S5" t="e">
        <f t="shared" ref="S5:S69" ca="1" si="23">ShiftIndex(C5)</f>
        <v>#NAME?</v>
      </c>
      <c r="T5" t="e">
        <f t="shared" ref="T5:T69" ca="1" si="24">ShiftIndex(D5)</f>
        <v>#NAME?</v>
      </c>
      <c r="U5" t="e">
        <f t="shared" ref="U5:U69" ca="1" si="25">ShiftIndex(E5)</f>
        <v>#NAME?</v>
      </c>
      <c r="V5" t="e">
        <f t="shared" ref="V5:V69" ca="1" si="26">ShiftIndex(F5)</f>
        <v>#NAME?</v>
      </c>
      <c r="W5" t="e">
        <f t="shared" ref="W5:W69" ca="1" si="27">ShiftIndex(G5)</f>
        <v>#NAME?</v>
      </c>
      <c r="X5" t="e">
        <f t="shared" ca="1" si="14"/>
        <v>#NAME?</v>
      </c>
      <c r="Z5" s="15">
        <v>0.25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5"/>
        <v>#NAME?</v>
      </c>
      <c r="K6" t="e">
        <f t="shared" ca="1" si="16"/>
        <v>#NAME?</v>
      </c>
      <c r="L6" t="e">
        <f t="shared" ca="1" si="17"/>
        <v>#NAME?</v>
      </c>
      <c r="M6" t="e">
        <f t="shared" ca="1" si="18"/>
        <v>#NAME?</v>
      </c>
      <c r="N6" t="e">
        <f t="shared" ca="1" si="19"/>
        <v>#NAME?</v>
      </c>
      <c r="O6" t="e">
        <f t="shared" ca="1" si="20"/>
        <v>#NAME?</v>
      </c>
      <c r="P6" t="e">
        <f t="shared" ca="1" si="21"/>
        <v>#NAME?</v>
      </c>
      <c r="R6" t="e">
        <f t="shared" ca="1" si="22"/>
        <v>#NAME?</v>
      </c>
      <c r="S6" t="e">
        <f t="shared" ca="1" si="23"/>
        <v>#NAME?</v>
      </c>
      <c r="T6" t="e">
        <f t="shared" ca="1" si="24"/>
        <v>#NAME?</v>
      </c>
      <c r="U6" t="e">
        <f t="shared" ca="1" si="25"/>
        <v>#NAME?</v>
      </c>
      <c r="V6" t="e">
        <f t="shared" ca="1" si="26"/>
        <v>#NAME?</v>
      </c>
      <c r="W6" t="e">
        <f t="shared" ca="1" si="27"/>
        <v>#NAME?</v>
      </c>
      <c r="X6" t="e">
        <f t="shared" ca="1" si="14"/>
        <v>#NAME?</v>
      </c>
      <c r="Z6" s="15">
        <v>1</v>
      </c>
    </row>
    <row r="7" spans="1:26" ht="14.45" customHeight="1">
      <c r="A7" s="21" t="s">
        <v>22</v>
      </c>
      <c r="B7" s="115" t="s">
        <v>23</v>
      </c>
      <c r="C7" s="25"/>
      <c r="D7" s="25" t="s">
        <v>24</v>
      </c>
      <c r="E7" s="25"/>
      <c r="F7" s="28" t="s">
        <v>25</v>
      </c>
      <c r="G7" s="25"/>
      <c r="H7" s="44" t="s">
        <v>26</v>
      </c>
      <c r="J7" t="e">
        <f t="shared" ca="1" si="15"/>
        <v>#NAME?</v>
      </c>
      <c r="K7" t="e">
        <f t="shared" ca="1" si="16"/>
        <v>#NAME?</v>
      </c>
      <c r="L7" t="e">
        <f t="shared" ca="1" si="17"/>
        <v>#NAME?</v>
      </c>
      <c r="M7" t="e">
        <f t="shared" ca="1" si="18"/>
        <v>#NAME?</v>
      </c>
      <c r="N7" t="e">
        <f t="shared" ca="1" si="19"/>
        <v>#NAME?</v>
      </c>
      <c r="O7" t="e">
        <f t="shared" ca="1" si="20"/>
        <v>#NAME?</v>
      </c>
      <c r="P7" t="e">
        <f t="shared" ca="1" si="21"/>
        <v>#NAME?</v>
      </c>
      <c r="R7" t="e">
        <f t="shared" ca="1" si="22"/>
        <v>#NAME?</v>
      </c>
      <c r="S7" t="e">
        <f t="shared" ca="1" si="23"/>
        <v>#NAME?</v>
      </c>
      <c r="T7" t="e">
        <f t="shared" ca="1" si="24"/>
        <v>#NAME?</v>
      </c>
      <c r="U7" t="e">
        <f t="shared" ca="1" si="25"/>
        <v>#NAME?</v>
      </c>
      <c r="V7" t="e">
        <f t="shared" ca="1" si="26"/>
        <v>#NAME?</v>
      </c>
      <c r="W7" t="e">
        <f t="shared" ca="1" si="27"/>
        <v>#NAME?</v>
      </c>
      <c r="X7" t="e">
        <f t="shared" ca="1" si="14"/>
        <v>#NAME?</v>
      </c>
      <c r="Z7" s="15">
        <v>1</v>
      </c>
    </row>
    <row r="8" spans="1:26" ht="14.45" customHeight="1">
      <c r="A8" s="21" t="s">
        <v>27</v>
      </c>
      <c r="B8" s="127" t="s">
        <v>18</v>
      </c>
      <c r="C8" s="128"/>
      <c r="D8" s="128"/>
      <c r="E8" s="128"/>
      <c r="F8" s="128"/>
      <c r="G8" s="128"/>
      <c r="H8" s="129"/>
      <c r="J8" t="e">
        <f t="shared" ca="1" si="15"/>
        <v>#NAME?</v>
      </c>
      <c r="K8" t="e">
        <f t="shared" ca="1" si="16"/>
        <v>#NAME?</v>
      </c>
      <c r="L8" t="e">
        <f t="shared" ca="1" si="17"/>
        <v>#NAME?</v>
      </c>
      <c r="M8" t="e">
        <f t="shared" ca="1" si="18"/>
        <v>#NAME?</v>
      </c>
      <c r="N8" t="e">
        <f t="shared" ca="1" si="19"/>
        <v>#NAME?</v>
      </c>
      <c r="O8" t="e">
        <f t="shared" ca="1" si="20"/>
        <v>#NAME?</v>
      </c>
      <c r="P8" t="e">
        <f t="shared" ca="1" si="21"/>
        <v>#NAME?</v>
      </c>
      <c r="R8" t="e">
        <f t="shared" ca="1" si="22"/>
        <v>#NAME?</v>
      </c>
      <c r="S8" t="e">
        <f t="shared" ca="1" si="23"/>
        <v>#NAME?</v>
      </c>
      <c r="T8" t="e">
        <f t="shared" ca="1" si="24"/>
        <v>#NAME?</v>
      </c>
      <c r="U8" t="e">
        <f t="shared" ca="1" si="25"/>
        <v>#NAME?</v>
      </c>
      <c r="V8" t="e">
        <f t="shared" ca="1" si="26"/>
        <v>#NAME?</v>
      </c>
      <c r="W8" t="e">
        <f t="shared" ca="1" si="27"/>
        <v>#NAME?</v>
      </c>
      <c r="X8" t="e">
        <f t="shared" ca="1" si="14"/>
        <v>#NAME?</v>
      </c>
      <c r="Z8" s="15">
        <v>0.5</v>
      </c>
    </row>
    <row r="9" spans="1:26" ht="15" customHeight="1">
      <c r="A9" s="21" t="s">
        <v>28</v>
      </c>
      <c r="B9" s="127" t="s">
        <v>29</v>
      </c>
      <c r="C9" s="128"/>
      <c r="D9" s="128"/>
      <c r="E9" s="128"/>
      <c r="F9" s="128"/>
      <c r="G9" s="128"/>
      <c r="H9" s="129"/>
      <c r="J9" t="e">
        <f t="shared" ca="1" si="15"/>
        <v>#NAME?</v>
      </c>
      <c r="K9" t="e">
        <f t="shared" ca="1" si="16"/>
        <v>#NAME?</v>
      </c>
      <c r="L9" t="e">
        <f t="shared" ca="1" si="17"/>
        <v>#NAME?</v>
      </c>
      <c r="M9" t="e">
        <f t="shared" ca="1" si="18"/>
        <v>#NAME?</v>
      </c>
      <c r="N9" t="e">
        <f t="shared" ca="1" si="19"/>
        <v>#NAME?</v>
      </c>
      <c r="O9" t="e">
        <f t="shared" ca="1" si="20"/>
        <v>#NAME?</v>
      </c>
      <c r="P9" t="e">
        <f t="shared" ca="1" si="21"/>
        <v>#NAME?</v>
      </c>
      <c r="R9" t="e">
        <f t="shared" ca="1" si="22"/>
        <v>#NAME?</v>
      </c>
      <c r="S9" t="e">
        <f t="shared" ca="1" si="23"/>
        <v>#NAME?</v>
      </c>
      <c r="T9" t="e">
        <f t="shared" ca="1" si="24"/>
        <v>#NAME?</v>
      </c>
      <c r="U9" t="e">
        <f t="shared" ca="1" si="25"/>
        <v>#NAME?</v>
      </c>
      <c r="V9" t="e">
        <f t="shared" ca="1" si="26"/>
        <v>#NAME?</v>
      </c>
      <c r="W9" t="e">
        <f t="shared" ca="1" si="27"/>
        <v>#NAME?</v>
      </c>
      <c r="X9" t="e">
        <f t="shared" ca="1" si="14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44" t="s">
        <v>26</v>
      </c>
      <c r="E10" s="115" t="s">
        <v>23</v>
      </c>
      <c r="F10" s="25"/>
      <c r="G10" s="90" t="s">
        <v>31</v>
      </c>
      <c r="H10" s="116" t="s">
        <v>32</v>
      </c>
      <c r="J10" t="e">
        <f t="shared" ca="1" si="15"/>
        <v>#NAME?</v>
      </c>
      <c r="K10" t="e">
        <f t="shared" ca="1" si="16"/>
        <v>#NAME?</v>
      </c>
      <c r="L10" t="e">
        <f t="shared" ca="1" si="17"/>
        <v>#NAME?</v>
      </c>
      <c r="M10" t="e">
        <f t="shared" ca="1" si="18"/>
        <v>#NAME?</v>
      </c>
      <c r="N10" t="e">
        <f t="shared" ca="1" si="19"/>
        <v>#NAME?</v>
      </c>
      <c r="O10" t="e">
        <f t="shared" ca="1" si="20"/>
        <v>#NAME?</v>
      </c>
      <c r="P10" t="e">
        <f t="shared" ca="1" si="21"/>
        <v>#NAME?</v>
      </c>
      <c r="R10" t="e">
        <f t="shared" ca="1" si="22"/>
        <v>#NAME?</v>
      </c>
      <c r="S10" t="e">
        <f t="shared" ca="1" si="23"/>
        <v>#NAME?</v>
      </c>
      <c r="T10" t="e">
        <f t="shared" ca="1" si="24"/>
        <v>#NAME?</v>
      </c>
      <c r="U10" t="e">
        <f t="shared" ca="1" si="25"/>
        <v>#NAME?</v>
      </c>
      <c r="V10" t="e">
        <f t="shared" ca="1" si="26"/>
        <v>#NAME?</v>
      </c>
      <c r="W10" t="e">
        <f t="shared" ca="1" si="27"/>
        <v>#NAME?</v>
      </c>
      <c r="X10" t="e">
        <f t="shared" ca="1" si="14"/>
        <v>#NAME?</v>
      </c>
      <c r="Z10" s="15">
        <v>0.75</v>
      </c>
    </row>
    <row r="11" spans="1:26" ht="14.45" customHeight="1">
      <c r="A11" s="21" t="s">
        <v>33</v>
      </c>
      <c r="B11" s="28" t="s">
        <v>34</v>
      </c>
      <c r="C11" s="28" t="s">
        <v>34</v>
      </c>
      <c r="D11" s="25"/>
      <c r="E11" s="25"/>
      <c r="F11" s="91" t="s">
        <v>31</v>
      </c>
      <c r="G11" s="25"/>
      <c r="H11" s="25"/>
      <c r="J11" t="e">
        <f t="shared" ca="1" si="15"/>
        <v>#NAME?</v>
      </c>
      <c r="K11" t="e">
        <f t="shared" ca="1" si="16"/>
        <v>#NAME?</v>
      </c>
      <c r="L11" t="e">
        <f t="shared" ca="1" si="17"/>
        <v>#NAME?</v>
      </c>
      <c r="M11" t="e">
        <f t="shared" ca="1" si="18"/>
        <v>#NAME?</v>
      </c>
      <c r="N11" t="e">
        <f t="shared" ca="1" si="19"/>
        <v>#NAME?</v>
      </c>
      <c r="O11" t="e">
        <f t="shared" ca="1" si="20"/>
        <v>#NAME?</v>
      </c>
      <c r="P11" t="e">
        <f t="shared" ca="1" si="21"/>
        <v>#NAME?</v>
      </c>
      <c r="R11" t="e">
        <f t="shared" ca="1" si="22"/>
        <v>#NAME?</v>
      </c>
      <c r="S11" t="e">
        <f t="shared" ca="1" si="23"/>
        <v>#NAME?</v>
      </c>
      <c r="T11" t="e">
        <f t="shared" ca="1" si="24"/>
        <v>#NAME?</v>
      </c>
      <c r="U11" t="e">
        <f t="shared" ca="1" si="25"/>
        <v>#NAME?</v>
      </c>
      <c r="V11" t="e">
        <f t="shared" ca="1" si="26"/>
        <v>#NAME?</v>
      </c>
      <c r="W11" t="e">
        <f t="shared" ca="1" si="27"/>
        <v>#NAME?</v>
      </c>
      <c r="X11" t="e">
        <f t="shared" ca="1" si="14"/>
        <v>#NAME?</v>
      </c>
      <c r="Z11" s="15">
        <v>1</v>
      </c>
    </row>
    <row r="12" spans="1:26" ht="15" customHeight="1">
      <c r="A12" s="22" t="s">
        <v>35</v>
      </c>
      <c r="B12" s="25"/>
      <c r="C12" s="110" t="s">
        <v>16</v>
      </c>
      <c r="D12" s="25" t="s">
        <v>24</v>
      </c>
      <c r="E12" s="91" t="s">
        <v>31</v>
      </c>
      <c r="F12" s="91" t="s">
        <v>36</v>
      </c>
      <c r="G12" s="25"/>
      <c r="H12" s="25"/>
      <c r="J12" t="e">
        <f t="shared" ca="1" si="15"/>
        <v>#NAME?</v>
      </c>
      <c r="K12" t="e">
        <f t="shared" ca="1" si="16"/>
        <v>#NAME?</v>
      </c>
      <c r="L12" t="e">
        <f t="shared" ca="1" si="17"/>
        <v>#NAME?</v>
      </c>
      <c r="M12" t="e">
        <f t="shared" ca="1" si="18"/>
        <v>#NAME?</v>
      </c>
      <c r="N12" t="e">
        <f t="shared" ca="1" si="19"/>
        <v>#NAME?</v>
      </c>
      <c r="O12" t="e">
        <f t="shared" ca="1" si="20"/>
        <v>#NAME?</v>
      </c>
      <c r="P12" t="e">
        <f t="shared" ca="1" si="21"/>
        <v>#NAME?</v>
      </c>
      <c r="R12" t="e">
        <f t="shared" ca="1" si="22"/>
        <v>#NAME?</v>
      </c>
      <c r="S12" t="e">
        <f t="shared" ca="1" si="23"/>
        <v>#NAME?</v>
      </c>
      <c r="T12" t="e">
        <f t="shared" ca="1" si="24"/>
        <v>#NAME?</v>
      </c>
      <c r="U12" t="e">
        <f t="shared" ca="1" si="25"/>
        <v>#NAME?</v>
      </c>
      <c r="V12" t="e">
        <f t="shared" ca="1" si="26"/>
        <v>#NAME?</v>
      </c>
      <c r="W12" t="e">
        <f t="shared" ca="1" si="27"/>
        <v>#NAME?</v>
      </c>
      <c r="X12" t="e">
        <f t="shared" ca="1" si="14"/>
        <v>#NAME?</v>
      </c>
      <c r="Z12" s="15">
        <v>0.5</v>
      </c>
    </row>
    <row r="13" spans="1:26" ht="15" customHeight="1">
      <c r="A13" s="22" t="s">
        <v>37</v>
      </c>
      <c r="B13" s="127" t="s">
        <v>38</v>
      </c>
      <c r="C13" s="128"/>
      <c r="D13" s="128"/>
      <c r="E13" s="128"/>
      <c r="F13" s="128"/>
      <c r="G13" s="128"/>
      <c r="H13" s="129"/>
      <c r="J13" t="e">
        <f t="shared" ca="1" si="15"/>
        <v>#NAME?</v>
      </c>
      <c r="K13" t="e">
        <f t="shared" ca="1" si="16"/>
        <v>#NAME?</v>
      </c>
      <c r="L13" t="e">
        <f t="shared" ca="1" si="17"/>
        <v>#NAME?</v>
      </c>
      <c r="M13" t="e">
        <f t="shared" ca="1" si="18"/>
        <v>#NAME?</v>
      </c>
      <c r="N13" t="e">
        <f t="shared" ca="1" si="19"/>
        <v>#NAME?</v>
      </c>
      <c r="O13" t="e">
        <f t="shared" ca="1" si="20"/>
        <v>#NAME?</v>
      </c>
      <c r="P13" t="e">
        <f t="shared" ca="1" si="21"/>
        <v>#NAME?</v>
      </c>
      <c r="R13" t="e">
        <f t="shared" ca="1" si="22"/>
        <v>#NAME?</v>
      </c>
      <c r="S13" t="e">
        <f t="shared" ca="1" si="23"/>
        <v>#NAME?</v>
      </c>
      <c r="T13" t="e">
        <f t="shared" ca="1" si="24"/>
        <v>#NAME?</v>
      </c>
      <c r="U13" t="e">
        <f t="shared" ca="1" si="25"/>
        <v>#NAME?</v>
      </c>
      <c r="V13" t="e">
        <f t="shared" ca="1" si="26"/>
        <v>#NAME?</v>
      </c>
      <c r="W13" t="e">
        <f t="shared" ca="1" si="27"/>
        <v>#NAME?</v>
      </c>
      <c r="X13" t="e">
        <f t="shared" ca="1" si="14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5"/>
        <v>#NAME?</v>
      </c>
      <c r="K14" t="e">
        <f t="shared" ca="1" si="16"/>
        <v>#NAME?</v>
      </c>
      <c r="L14" t="e">
        <f t="shared" ca="1" si="17"/>
        <v>#NAME?</v>
      </c>
      <c r="M14" t="e">
        <f t="shared" ca="1" si="18"/>
        <v>#NAME?</v>
      </c>
      <c r="N14" t="e">
        <f t="shared" ca="1" si="19"/>
        <v>#NAME?</v>
      </c>
      <c r="O14" t="e">
        <f t="shared" ca="1" si="20"/>
        <v>#NAME?</v>
      </c>
      <c r="P14" t="e">
        <f t="shared" ca="1" si="21"/>
        <v>#NAME?</v>
      </c>
      <c r="R14" t="e">
        <f t="shared" ca="1" si="22"/>
        <v>#NAME?</v>
      </c>
      <c r="S14" t="e">
        <f t="shared" ca="1" si="23"/>
        <v>#NAME?</v>
      </c>
      <c r="T14" t="e">
        <f t="shared" ca="1" si="24"/>
        <v>#NAME?</v>
      </c>
      <c r="U14" t="e">
        <f t="shared" ca="1" si="25"/>
        <v>#NAME?</v>
      </c>
      <c r="V14" t="e">
        <f t="shared" ca="1" si="26"/>
        <v>#NAME?</v>
      </c>
      <c r="W14" t="e">
        <f t="shared" ca="1" si="27"/>
        <v>#NAME?</v>
      </c>
      <c r="X14" t="e">
        <f t="shared" ca="1" si="14"/>
        <v>#NAME?</v>
      </c>
      <c r="Z14" s="15">
        <v>0.25</v>
      </c>
    </row>
    <row r="15" spans="1:26">
      <c r="A15" s="21" t="s">
        <v>41</v>
      </c>
      <c r="B15" s="127" t="s">
        <v>42</v>
      </c>
      <c r="C15" s="128"/>
      <c r="D15" s="128"/>
      <c r="E15" s="128"/>
      <c r="F15" s="128"/>
      <c r="G15" s="128"/>
      <c r="H15" s="129"/>
      <c r="J15" t="e">
        <f t="shared" ca="1" si="15"/>
        <v>#NAME?</v>
      </c>
      <c r="K15" t="e">
        <f t="shared" ca="1" si="16"/>
        <v>#NAME?</v>
      </c>
      <c r="L15" t="e">
        <f t="shared" ca="1" si="17"/>
        <v>#NAME?</v>
      </c>
      <c r="M15" t="e">
        <f t="shared" ca="1" si="18"/>
        <v>#NAME?</v>
      </c>
      <c r="N15" t="e">
        <f t="shared" ca="1" si="19"/>
        <v>#NAME?</v>
      </c>
      <c r="O15" t="e">
        <f t="shared" ca="1" si="20"/>
        <v>#NAME?</v>
      </c>
      <c r="P15" t="e">
        <f t="shared" ca="1" si="21"/>
        <v>#NAME?</v>
      </c>
      <c r="R15" t="e">
        <f t="shared" ca="1" si="22"/>
        <v>#NAME?</v>
      </c>
      <c r="S15" t="e">
        <f t="shared" ca="1" si="23"/>
        <v>#NAME?</v>
      </c>
      <c r="T15" t="e">
        <f t="shared" ca="1" si="24"/>
        <v>#NAME?</v>
      </c>
      <c r="U15" t="e">
        <f t="shared" ca="1" si="25"/>
        <v>#NAME?</v>
      </c>
      <c r="V15" t="e">
        <f t="shared" ca="1" si="26"/>
        <v>#NAME?</v>
      </c>
      <c r="W15" t="e">
        <f t="shared" ca="1" si="27"/>
        <v>#NAME?</v>
      </c>
      <c r="X15" t="e">
        <f t="shared" ca="1" si="14"/>
        <v>#NAME?</v>
      </c>
      <c r="Z15" s="15">
        <v>1</v>
      </c>
    </row>
    <row r="16" spans="1:26">
      <c r="A16" s="21" t="s">
        <v>43</v>
      </c>
      <c r="B16" s="25"/>
      <c r="C16" s="25"/>
      <c r="D16" s="115" t="s">
        <v>23</v>
      </c>
      <c r="E16" s="90" t="s">
        <v>31</v>
      </c>
      <c r="F16" s="25"/>
      <c r="G16" s="25"/>
      <c r="H16" s="25"/>
      <c r="J16" t="e">
        <f t="shared" ca="1" si="15"/>
        <v>#NAME?</v>
      </c>
      <c r="K16" t="e">
        <f t="shared" ca="1" si="16"/>
        <v>#NAME?</v>
      </c>
      <c r="L16" t="e">
        <f t="shared" ca="1" si="17"/>
        <v>#NAME?</v>
      </c>
      <c r="M16" t="e">
        <f t="shared" ca="1" si="18"/>
        <v>#NAME?</v>
      </c>
      <c r="N16" t="e">
        <f t="shared" ca="1" si="19"/>
        <v>#NAME?</v>
      </c>
      <c r="O16" t="e">
        <f t="shared" ca="1" si="20"/>
        <v>#NAME?</v>
      </c>
      <c r="P16" t="e">
        <f t="shared" ca="1" si="21"/>
        <v>#NAME?</v>
      </c>
      <c r="R16" t="e">
        <f t="shared" ca="1" si="22"/>
        <v>#NAME?</v>
      </c>
      <c r="S16" t="e">
        <f t="shared" ca="1" si="23"/>
        <v>#NAME?</v>
      </c>
      <c r="T16" t="e">
        <f t="shared" ca="1" si="24"/>
        <v>#NAME?</v>
      </c>
      <c r="U16" t="e">
        <f t="shared" ca="1" si="25"/>
        <v>#NAME?</v>
      </c>
      <c r="V16" t="e">
        <f t="shared" ca="1" si="26"/>
        <v>#NAME?</v>
      </c>
      <c r="W16" t="e">
        <f t="shared" ca="1" si="27"/>
        <v>#NAME?</v>
      </c>
      <c r="X16" t="e">
        <f t="shared" ca="1" si="14"/>
        <v>#NAME?</v>
      </c>
      <c r="Z16" s="15">
        <v>0.5</v>
      </c>
    </row>
    <row r="17" spans="1:26">
      <c r="A17" s="21" t="s">
        <v>44</v>
      </c>
      <c r="B17" s="116" t="s">
        <v>32</v>
      </c>
      <c r="C17" s="25" t="s">
        <v>24</v>
      </c>
      <c r="D17" s="25"/>
      <c r="E17" s="25"/>
      <c r="F17" s="25"/>
      <c r="G17" s="116" t="s">
        <v>45</v>
      </c>
      <c r="H17" s="90" t="s">
        <v>31</v>
      </c>
      <c r="J17" t="e">
        <f t="shared" ca="1" si="15"/>
        <v>#NAME?</v>
      </c>
      <c r="K17" t="e">
        <f t="shared" ca="1" si="16"/>
        <v>#NAME?</v>
      </c>
      <c r="L17" t="e">
        <f t="shared" ca="1" si="17"/>
        <v>#NAME?</v>
      </c>
      <c r="M17" t="e">
        <f t="shared" ca="1" si="18"/>
        <v>#NAME?</v>
      </c>
      <c r="N17" t="e">
        <f t="shared" ca="1" si="19"/>
        <v>#NAME?</v>
      </c>
      <c r="O17" t="e">
        <f t="shared" ca="1" si="20"/>
        <v>#NAME?</v>
      </c>
      <c r="P17" t="e">
        <f t="shared" ca="1" si="21"/>
        <v>#NAME?</v>
      </c>
      <c r="R17" t="e">
        <f t="shared" ca="1" si="22"/>
        <v>#NAME?</v>
      </c>
      <c r="S17" t="e">
        <f t="shared" ca="1" si="23"/>
        <v>#NAME?</v>
      </c>
      <c r="T17" t="e">
        <f t="shared" ca="1" si="24"/>
        <v>#NAME?</v>
      </c>
      <c r="U17" t="e">
        <f t="shared" ca="1" si="25"/>
        <v>#NAME?</v>
      </c>
      <c r="V17" t="e">
        <f t="shared" ca="1" si="26"/>
        <v>#NAME?</v>
      </c>
      <c r="W17" t="e">
        <f t="shared" ca="1" si="27"/>
        <v>#NAME?</v>
      </c>
      <c r="X17" t="e">
        <f t="shared" ca="1" si="14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91" t="s">
        <v>36</v>
      </c>
      <c r="F18" s="25"/>
      <c r="G18" s="25"/>
      <c r="H18" s="25"/>
      <c r="J18" t="e">
        <f t="shared" ca="1" si="15"/>
        <v>#NAME?</v>
      </c>
      <c r="K18" t="e">
        <f t="shared" ca="1" si="16"/>
        <v>#NAME?</v>
      </c>
      <c r="L18" t="e">
        <f t="shared" ca="1" si="17"/>
        <v>#NAME?</v>
      </c>
      <c r="M18" t="e">
        <f t="shared" ca="1" si="18"/>
        <v>#NAME?</v>
      </c>
      <c r="N18" t="e">
        <f t="shared" ca="1" si="19"/>
        <v>#NAME?</v>
      </c>
      <c r="O18" t="e">
        <f t="shared" ca="1" si="20"/>
        <v>#NAME?</v>
      </c>
      <c r="P18" t="e">
        <f t="shared" ca="1" si="21"/>
        <v>#NAME?</v>
      </c>
      <c r="R18" t="e">
        <f t="shared" ca="1" si="22"/>
        <v>#NAME?</v>
      </c>
      <c r="S18" t="e">
        <f t="shared" ca="1" si="23"/>
        <v>#NAME?</v>
      </c>
      <c r="T18" t="e">
        <f t="shared" ca="1" si="24"/>
        <v>#NAME?</v>
      </c>
      <c r="U18" t="e">
        <f t="shared" ca="1" si="25"/>
        <v>#NAME?</v>
      </c>
      <c r="V18" t="e">
        <f t="shared" ca="1" si="26"/>
        <v>#NAME?</v>
      </c>
      <c r="W18" t="e">
        <f t="shared" ca="1" si="27"/>
        <v>#NAME?</v>
      </c>
      <c r="X18" t="e">
        <f t="shared" ca="1" si="14"/>
        <v>#NAME?</v>
      </c>
      <c r="Z18" s="15">
        <v>0.25</v>
      </c>
    </row>
    <row r="19" spans="1:26">
      <c r="A19" s="21" t="s">
        <v>47</v>
      </c>
      <c r="B19" s="25"/>
      <c r="C19" s="25" t="s">
        <v>48</v>
      </c>
      <c r="D19" s="25" t="s">
        <v>49</v>
      </c>
      <c r="E19" s="25"/>
      <c r="F19" s="25"/>
      <c r="G19" s="25"/>
      <c r="H19" s="25"/>
      <c r="J19" t="e">
        <f t="shared" ca="1" si="15"/>
        <v>#NAME?</v>
      </c>
      <c r="K19" t="e">
        <f t="shared" ca="1" si="16"/>
        <v>#NAME?</v>
      </c>
      <c r="L19" t="e">
        <f t="shared" ca="1" si="17"/>
        <v>#NAME?</v>
      </c>
      <c r="M19" t="e">
        <f t="shared" ca="1" si="18"/>
        <v>#NAME?</v>
      </c>
      <c r="N19" t="e">
        <f t="shared" ca="1" si="19"/>
        <v>#NAME?</v>
      </c>
      <c r="O19" t="e">
        <f t="shared" ca="1" si="20"/>
        <v>#NAME?</v>
      </c>
      <c r="P19" t="e">
        <f t="shared" ca="1" si="21"/>
        <v>#NAME?</v>
      </c>
      <c r="R19" t="e">
        <f t="shared" ca="1" si="22"/>
        <v>#NAME?</v>
      </c>
      <c r="S19" t="e">
        <f t="shared" ca="1" si="23"/>
        <v>#NAME?</v>
      </c>
      <c r="T19" t="e">
        <f t="shared" ca="1" si="24"/>
        <v>#NAME?</v>
      </c>
      <c r="U19" t="e">
        <f t="shared" ca="1" si="25"/>
        <v>#NAME?</v>
      </c>
      <c r="V19" t="e">
        <f t="shared" ca="1" si="26"/>
        <v>#NAME?</v>
      </c>
      <c r="W19" t="e">
        <f t="shared" ca="1" si="27"/>
        <v>#NAME?</v>
      </c>
      <c r="X19" t="e">
        <f t="shared" ca="1" si="14"/>
        <v>#NAME?</v>
      </c>
      <c r="Z19" s="15">
        <v>0.5</v>
      </c>
    </row>
    <row r="20" spans="1:26" ht="15" customHeight="1">
      <c r="A20" s="21" t="s">
        <v>50</v>
      </c>
      <c r="B20" s="127" t="s">
        <v>29</v>
      </c>
      <c r="C20" s="128"/>
      <c r="D20" s="128"/>
      <c r="E20" s="128"/>
      <c r="F20" s="128"/>
      <c r="G20" s="128"/>
      <c r="H20" s="129"/>
      <c r="J20" t="e">
        <f t="shared" ca="1" si="15"/>
        <v>#NAME?</v>
      </c>
      <c r="K20" t="e">
        <f t="shared" ca="1" si="16"/>
        <v>#NAME?</v>
      </c>
      <c r="L20" t="e">
        <f t="shared" ca="1" si="17"/>
        <v>#NAME?</v>
      </c>
      <c r="M20" t="e">
        <f t="shared" ca="1" si="18"/>
        <v>#NAME?</v>
      </c>
      <c r="N20" t="e">
        <f t="shared" ca="1" si="19"/>
        <v>#NAME?</v>
      </c>
      <c r="O20" t="e">
        <f t="shared" ca="1" si="20"/>
        <v>#NAME?</v>
      </c>
      <c r="P20" t="e">
        <f t="shared" ca="1" si="21"/>
        <v>#NAME?</v>
      </c>
      <c r="R20" t="e">
        <f t="shared" ca="1" si="22"/>
        <v>#NAME?</v>
      </c>
      <c r="S20" t="e">
        <f t="shared" ca="1" si="23"/>
        <v>#NAME?</v>
      </c>
      <c r="T20" t="e">
        <f t="shared" ca="1" si="24"/>
        <v>#NAME?</v>
      </c>
      <c r="U20" t="e">
        <f t="shared" ca="1" si="25"/>
        <v>#NAME?</v>
      </c>
      <c r="V20" t="e">
        <f t="shared" ca="1" si="26"/>
        <v>#NAME?</v>
      </c>
      <c r="W20" t="e">
        <f t="shared" ca="1" si="27"/>
        <v>#NAME?</v>
      </c>
      <c r="X20" t="e">
        <f t="shared" ca="1" si="14"/>
        <v>#NAME?</v>
      </c>
      <c r="Z20" s="15">
        <v>0.5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15"/>
        <v>#NAME?</v>
      </c>
      <c r="K21" t="e">
        <f t="shared" ca="1" si="16"/>
        <v>#NAME?</v>
      </c>
      <c r="L21" t="e">
        <f t="shared" ca="1" si="17"/>
        <v>#NAME?</v>
      </c>
      <c r="M21" t="e">
        <f t="shared" ca="1" si="18"/>
        <v>#NAME?</v>
      </c>
      <c r="N21" t="e">
        <f t="shared" ca="1" si="19"/>
        <v>#NAME?</v>
      </c>
      <c r="O21" t="e">
        <f t="shared" ca="1" si="20"/>
        <v>#NAME?</v>
      </c>
      <c r="P21" t="e">
        <f t="shared" ca="1" si="21"/>
        <v>#NAME?</v>
      </c>
      <c r="R21" t="e">
        <f t="shared" ca="1" si="22"/>
        <v>#NAME?</v>
      </c>
      <c r="S21" t="e">
        <f t="shared" ca="1" si="23"/>
        <v>#NAME?</v>
      </c>
      <c r="T21" t="e">
        <f t="shared" ca="1" si="24"/>
        <v>#NAME?</v>
      </c>
      <c r="U21" t="e">
        <f t="shared" ca="1" si="25"/>
        <v>#NAME?</v>
      </c>
      <c r="V21" t="e">
        <f t="shared" ca="1" si="26"/>
        <v>#NAME?</v>
      </c>
      <c r="W21" t="e">
        <f t="shared" ca="1" si="27"/>
        <v>#NAME?</v>
      </c>
      <c r="X21" t="e">
        <f t="shared" ca="1" si="14"/>
        <v>#NAME?</v>
      </c>
      <c r="Z21" s="15">
        <v>0.5</v>
      </c>
    </row>
    <row r="22" spans="1:26">
      <c r="A22" s="21" t="s">
        <v>52</v>
      </c>
      <c r="B22" s="25" t="s">
        <v>24</v>
      </c>
      <c r="C22" s="91" t="s">
        <v>36</v>
      </c>
      <c r="D22" s="25"/>
      <c r="E22" s="25"/>
      <c r="F22" s="25"/>
      <c r="G22" s="91" t="s">
        <v>31</v>
      </c>
      <c r="H22" s="25"/>
      <c r="J22" t="e">
        <f t="shared" ca="1" si="15"/>
        <v>#NAME?</v>
      </c>
      <c r="K22" t="e">
        <f t="shared" ca="1" si="16"/>
        <v>#NAME?</v>
      </c>
      <c r="L22" t="e">
        <f t="shared" ca="1" si="17"/>
        <v>#NAME?</v>
      </c>
      <c r="M22" t="e">
        <f t="shared" ca="1" si="18"/>
        <v>#NAME?</v>
      </c>
      <c r="N22" t="e">
        <f t="shared" ca="1" si="19"/>
        <v>#NAME?</v>
      </c>
      <c r="O22" t="e">
        <f t="shared" ca="1" si="20"/>
        <v>#NAME?</v>
      </c>
      <c r="P22" t="e">
        <f t="shared" ca="1" si="21"/>
        <v>#NAME?</v>
      </c>
      <c r="R22" t="e">
        <f t="shared" ca="1" si="22"/>
        <v>#NAME?</v>
      </c>
      <c r="S22" t="e">
        <f t="shared" ca="1" si="23"/>
        <v>#NAME?</v>
      </c>
      <c r="T22" t="e">
        <f t="shared" ca="1" si="24"/>
        <v>#NAME?</v>
      </c>
      <c r="U22" t="e">
        <f t="shared" ca="1" si="25"/>
        <v>#NAME?</v>
      </c>
      <c r="V22" t="e">
        <f t="shared" ca="1" si="26"/>
        <v>#NAME?</v>
      </c>
      <c r="W22" t="e">
        <f t="shared" ca="1" si="27"/>
        <v>#NAME?</v>
      </c>
      <c r="X22" t="e">
        <f t="shared" ca="1" si="14"/>
        <v>#NAME?</v>
      </c>
      <c r="Z22" s="15">
        <v>0.875</v>
      </c>
    </row>
    <row r="23" spans="1:26">
      <c r="A23" s="21" t="s">
        <v>53</v>
      </c>
      <c r="B23" s="127" t="s">
        <v>29</v>
      </c>
      <c r="C23" s="128"/>
      <c r="D23" s="128"/>
      <c r="E23" s="128"/>
      <c r="F23" s="128"/>
      <c r="G23" s="128"/>
      <c r="H23" s="129"/>
      <c r="J23" t="e">
        <f t="shared" ca="1" si="15"/>
        <v>#NAME?</v>
      </c>
      <c r="K23" t="e">
        <f t="shared" ca="1" si="16"/>
        <v>#NAME?</v>
      </c>
      <c r="L23" t="e">
        <f t="shared" ca="1" si="17"/>
        <v>#NAME?</v>
      </c>
      <c r="M23" t="e">
        <f t="shared" ca="1" si="18"/>
        <v>#NAME?</v>
      </c>
      <c r="N23" t="e">
        <f t="shared" ca="1" si="19"/>
        <v>#NAME?</v>
      </c>
      <c r="O23" t="e">
        <f t="shared" ca="1" si="20"/>
        <v>#NAME?</v>
      </c>
      <c r="P23" t="e">
        <f t="shared" ca="1" si="21"/>
        <v>#NAME?</v>
      </c>
      <c r="R23" t="e">
        <f t="shared" ca="1" si="22"/>
        <v>#NAME?</v>
      </c>
      <c r="S23" t="e">
        <f t="shared" ca="1" si="23"/>
        <v>#NAME?</v>
      </c>
      <c r="T23" t="e">
        <f t="shared" ca="1" si="24"/>
        <v>#NAME?</v>
      </c>
      <c r="U23" t="e">
        <f t="shared" ca="1" si="25"/>
        <v>#NAME?</v>
      </c>
      <c r="V23" t="e">
        <f t="shared" ca="1" si="26"/>
        <v>#NAME?</v>
      </c>
      <c r="W23" t="e">
        <f t="shared" ca="1" si="27"/>
        <v>#NAME?</v>
      </c>
      <c r="X23" t="e">
        <f t="shared" ca="1" si="14"/>
        <v>#NAME?</v>
      </c>
      <c r="Z23" s="15">
        <v>0.5</v>
      </c>
    </row>
    <row r="24" spans="1:26">
      <c r="A24" s="21" t="s">
        <v>54</v>
      </c>
      <c r="B24" s="127" t="s">
        <v>18</v>
      </c>
      <c r="C24" s="128"/>
      <c r="D24" s="128"/>
      <c r="E24" s="128"/>
      <c r="F24" s="128"/>
      <c r="G24" s="128"/>
      <c r="H24" s="129"/>
      <c r="J24" t="e">
        <f t="shared" ca="1" si="15"/>
        <v>#NAME?</v>
      </c>
      <c r="K24" t="e">
        <f t="shared" ca="1" si="16"/>
        <v>#NAME?</v>
      </c>
      <c r="L24" t="e">
        <f t="shared" ca="1" si="17"/>
        <v>#NAME?</v>
      </c>
      <c r="M24" t="e">
        <f t="shared" ca="1" si="18"/>
        <v>#NAME?</v>
      </c>
      <c r="N24" t="e">
        <f t="shared" ca="1" si="19"/>
        <v>#NAME?</v>
      </c>
      <c r="O24" t="e">
        <f t="shared" ca="1" si="20"/>
        <v>#NAME?</v>
      </c>
      <c r="P24" t="e">
        <f t="shared" ca="1" si="21"/>
        <v>#NAME?</v>
      </c>
      <c r="R24" t="e">
        <f t="shared" ca="1" si="22"/>
        <v>#NAME?</v>
      </c>
      <c r="S24" t="e">
        <f t="shared" ca="1" si="23"/>
        <v>#NAME?</v>
      </c>
      <c r="T24" t="e">
        <f t="shared" ca="1" si="24"/>
        <v>#NAME?</v>
      </c>
      <c r="U24" t="e">
        <f t="shared" ca="1" si="25"/>
        <v>#NAME?</v>
      </c>
      <c r="V24" t="e">
        <f t="shared" ca="1" si="26"/>
        <v>#NAME?</v>
      </c>
      <c r="W24" t="e">
        <f t="shared" ca="1" si="27"/>
        <v>#NAME?</v>
      </c>
      <c r="X24" t="e">
        <f t="shared" ca="1" si="14"/>
        <v>#NAME?</v>
      </c>
      <c r="Z24" s="15">
        <v>0.75</v>
      </c>
    </row>
    <row r="25" spans="1:26">
      <c r="A25" s="21" t="s">
        <v>55</v>
      </c>
      <c r="B25" s="25"/>
      <c r="C25" s="25"/>
      <c r="D25" s="25"/>
      <c r="E25" s="25"/>
      <c r="F25" s="90" t="s">
        <v>31</v>
      </c>
      <c r="G25" s="25"/>
      <c r="H25" s="91" t="s">
        <v>36</v>
      </c>
      <c r="J25" t="e">
        <f t="shared" ca="1" si="15"/>
        <v>#NAME?</v>
      </c>
      <c r="K25" t="e">
        <f t="shared" ca="1" si="16"/>
        <v>#NAME?</v>
      </c>
      <c r="L25" t="e">
        <f t="shared" ca="1" si="17"/>
        <v>#NAME?</v>
      </c>
      <c r="M25" t="e">
        <f t="shared" ca="1" si="18"/>
        <v>#NAME?</v>
      </c>
      <c r="N25" t="e">
        <f t="shared" ca="1" si="19"/>
        <v>#NAME?</v>
      </c>
      <c r="O25" t="e">
        <f t="shared" ca="1" si="20"/>
        <v>#NAME?</v>
      </c>
      <c r="P25" t="e">
        <f t="shared" ca="1" si="21"/>
        <v>#NAME?</v>
      </c>
      <c r="R25" t="e">
        <f t="shared" ca="1" si="22"/>
        <v>#NAME?</v>
      </c>
      <c r="S25" t="e">
        <f t="shared" ca="1" si="23"/>
        <v>#NAME?</v>
      </c>
      <c r="T25" t="e">
        <f t="shared" ca="1" si="24"/>
        <v>#NAME?</v>
      </c>
      <c r="U25" t="e">
        <f t="shared" ca="1" si="25"/>
        <v>#NAME?</v>
      </c>
      <c r="V25" t="e">
        <f t="shared" ca="1" si="26"/>
        <v>#NAME?</v>
      </c>
      <c r="W25" t="e">
        <f t="shared" ca="1" si="27"/>
        <v>#NAME?</v>
      </c>
      <c r="X25" t="e">
        <f t="shared" ca="1" si="14"/>
        <v>#NAME?</v>
      </c>
      <c r="Z25" s="15">
        <v>0.5</v>
      </c>
    </row>
    <row r="26" spans="1:26">
      <c r="A26" s="21" t="s">
        <v>56</v>
      </c>
      <c r="B26" s="25"/>
      <c r="C26" s="25"/>
      <c r="D26" s="25" t="s">
        <v>24</v>
      </c>
      <c r="E26" s="25"/>
      <c r="F26" s="25" t="s">
        <v>57</v>
      </c>
      <c r="G26" s="90" t="s">
        <v>36</v>
      </c>
      <c r="H26" s="25"/>
      <c r="J26" t="e">
        <f t="shared" ca="1" si="15"/>
        <v>#NAME?</v>
      </c>
      <c r="K26" t="e">
        <f t="shared" ca="1" si="16"/>
        <v>#NAME?</v>
      </c>
      <c r="L26" t="e">
        <f t="shared" ca="1" si="17"/>
        <v>#NAME?</v>
      </c>
      <c r="M26" t="e">
        <f t="shared" ca="1" si="18"/>
        <v>#NAME?</v>
      </c>
      <c r="N26" t="e">
        <f t="shared" ca="1" si="19"/>
        <v>#NAME?</v>
      </c>
      <c r="O26" t="e">
        <f t="shared" ca="1" si="20"/>
        <v>#NAME?</v>
      </c>
      <c r="P26" t="e">
        <f t="shared" ca="1" si="21"/>
        <v>#NAME?</v>
      </c>
      <c r="R26" t="e">
        <f t="shared" ca="1" si="22"/>
        <v>#NAME?</v>
      </c>
      <c r="S26" t="e">
        <f t="shared" ca="1" si="23"/>
        <v>#NAME?</v>
      </c>
      <c r="T26" t="e">
        <f t="shared" ca="1" si="24"/>
        <v>#NAME?</v>
      </c>
      <c r="U26" t="e">
        <f t="shared" ca="1" si="25"/>
        <v>#NAME?</v>
      </c>
      <c r="V26" t="e">
        <f t="shared" ca="1" si="26"/>
        <v>#NAME?</v>
      </c>
      <c r="W26" t="e">
        <f t="shared" ca="1" si="27"/>
        <v>#NAME?</v>
      </c>
      <c r="X26" t="e">
        <f t="shared" ca="1" si="14"/>
        <v>#NAME?</v>
      </c>
      <c r="Z26" s="15">
        <v>0.75</v>
      </c>
    </row>
    <row r="27" spans="1:26">
      <c r="A27" s="21" t="s">
        <v>58</v>
      </c>
      <c r="B27" s="25"/>
      <c r="C27" s="90" t="s">
        <v>31</v>
      </c>
      <c r="D27" s="110" t="s">
        <v>59</v>
      </c>
      <c r="E27" s="25"/>
      <c r="F27" s="25" t="s">
        <v>24</v>
      </c>
      <c r="G27" s="25"/>
      <c r="H27" s="25"/>
      <c r="J27" t="e">
        <f t="shared" ca="1" si="15"/>
        <v>#NAME?</v>
      </c>
      <c r="K27" t="e">
        <f t="shared" ca="1" si="16"/>
        <v>#NAME?</v>
      </c>
      <c r="L27" t="e">
        <f t="shared" ca="1" si="17"/>
        <v>#NAME?</v>
      </c>
      <c r="M27" t="e">
        <f t="shared" ca="1" si="18"/>
        <v>#NAME?</v>
      </c>
      <c r="N27" t="e">
        <f t="shared" ca="1" si="19"/>
        <v>#NAME?</v>
      </c>
      <c r="O27" t="e">
        <f t="shared" ca="1" si="20"/>
        <v>#NAME?</v>
      </c>
      <c r="P27" t="e">
        <f t="shared" ca="1" si="21"/>
        <v>#NAME?</v>
      </c>
      <c r="R27" t="e">
        <f t="shared" ca="1" si="22"/>
        <v>#NAME?</v>
      </c>
      <c r="S27" t="e">
        <f t="shared" ca="1" si="23"/>
        <v>#NAME?</v>
      </c>
      <c r="T27" t="e">
        <f t="shared" ca="1" si="24"/>
        <v>#NAME?</v>
      </c>
      <c r="U27" t="e">
        <f t="shared" ca="1" si="25"/>
        <v>#NAME?</v>
      </c>
      <c r="V27" t="e">
        <f t="shared" ca="1" si="26"/>
        <v>#NAME?</v>
      </c>
      <c r="W27" t="e">
        <f t="shared" ca="1" si="27"/>
        <v>#NAME?</v>
      </c>
      <c r="X27" t="e">
        <f t="shared" ca="1" si="1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15"/>
        <v>#NAME?</v>
      </c>
      <c r="K28" t="e">
        <f t="shared" ca="1" si="16"/>
        <v>#NAME?</v>
      </c>
      <c r="L28" t="e">
        <f t="shared" ca="1" si="17"/>
        <v>#NAME?</v>
      </c>
      <c r="M28" t="e">
        <f t="shared" ca="1" si="18"/>
        <v>#NAME?</v>
      </c>
      <c r="N28" t="e">
        <f t="shared" ca="1" si="19"/>
        <v>#NAME?</v>
      </c>
      <c r="O28" t="e">
        <f t="shared" ca="1" si="20"/>
        <v>#NAME?</v>
      </c>
      <c r="P28" t="e">
        <f t="shared" ca="1" si="21"/>
        <v>#NAME?</v>
      </c>
      <c r="R28" t="e">
        <f t="shared" ca="1" si="22"/>
        <v>#NAME?</v>
      </c>
      <c r="S28" t="e">
        <f t="shared" ca="1" si="23"/>
        <v>#NAME?</v>
      </c>
      <c r="T28" t="e">
        <f t="shared" ca="1" si="24"/>
        <v>#NAME?</v>
      </c>
      <c r="U28" t="e">
        <f t="shared" ca="1" si="25"/>
        <v>#NAME?</v>
      </c>
      <c r="V28" t="e">
        <f t="shared" ca="1" si="26"/>
        <v>#NAME?</v>
      </c>
      <c r="W28" t="e">
        <f t="shared" ca="1" si="27"/>
        <v>#NAME?</v>
      </c>
      <c r="X28" t="e">
        <f t="shared" ca="1" si="14"/>
        <v>#NAME?</v>
      </c>
      <c r="Z28" s="15">
        <v>1</v>
      </c>
    </row>
    <row r="29" spans="1:26">
      <c r="A29" s="21" t="s">
        <v>61</v>
      </c>
      <c r="B29" s="25" t="s">
        <v>24</v>
      </c>
      <c r="C29" s="110" t="s">
        <v>59</v>
      </c>
      <c r="D29" s="25"/>
      <c r="E29" s="44" t="s">
        <v>26</v>
      </c>
      <c r="F29" s="25"/>
      <c r="G29" s="25"/>
      <c r="H29" s="25"/>
      <c r="J29" t="e">
        <f t="shared" ca="1" si="15"/>
        <v>#NAME?</v>
      </c>
      <c r="K29" t="e">
        <f t="shared" ca="1" si="16"/>
        <v>#NAME?</v>
      </c>
      <c r="L29" t="e">
        <f t="shared" ca="1" si="17"/>
        <v>#NAME?</v>
      </c>
      <c r="M29" t="e">
        <f t="shared" ca="1" si="18"/>
        <v>#NAME?</v>
      </c>
      <c r="N29" t="e">
        <f t="shared" ca="1" si="19"/>
        <v>#NAME?</v>
      </c>
      <c r="O29" t="e">
        <f t="shared" ca="1" si="20"/>
        <v>#NAME?</v>
      </c>
      <c r="P29" t="e">
        <f t="shared" ca="1" si="21"/>
        <v>#NAME?</v>
      </c>
      <c r="R29" t="e">
        <f t="shared" ca="1" si="22"/>
        <v>#NAME?</v>
      </c>
      <c r="S29" t="e">
        <f t="shared" ca="1" si="23"/>
        <v>#NAME?</v>
      </c>
      <c r="T29" t="e">
        <f t="shared" ca="1" si="24"/>
        <v>#NAME?</v>
      </c>
      <c r="U29" t="e">
        <f t="shared" ca="1" si="25"/>
        <v>#NAME?</v>
      </c>
      <c r="V29" t="e">
        <f t="shared" ca="1" si="26"/>
        <v>#NAME?</v>
      </c>
      <c r="W29" t="e">
        <f t="shared" ca="1" si="27"/>
        <v>#NAME?</v>
      </c>
      <c r="X29" t="e">
        <f t="shared" ca="1" si="14"/>
        <v>#NAME?</v>
      </c>
      <c r="Z29" s="15">
        <v>0.75</v>
      </c>
    </row>
    <row r="30" spans="1:26">
      <c r="A30" s="21" t="s">
        <v>62</v>
      </c>
      <c r="B30" s="25"/>
      <c r="C30" s="25" t="s">
        <v>24</v>
      </c>
      <c r="D30" s="25"/>
      <c r="E30" s="110" t="s">
        <v>16</v>
      </c>
      <c r="F30" s="116" t="s">
        <v>32</v>
      </c>
      <c r="G30" s="25"/>
      <c r="H30" s="91" t="s">
        <v>31</v>
      </c>
      <c r="J30" t="e">
        <f t="shared" ca="1" si="15"/>
        <v>#NAME?</v>
      </c>
      <c r="K30" t="e">
        <f t="shared" ca="1" si="16"/>
        <v>#NAME?</v>
      </c>
      <c r="L30" t="e">
        <f t="shared" ca="1" si="17"/>
        <v>#NAME?</v>
      </c>
      <c r="M30" t="e">
        <f t="shared" ca="1" si="18"/>
        <v>#NAME?</v>
      </c>
      <c r="N30" t="e">
        <f t="shared" ca="1" si="19"/>
        <v>#NAME?</v>
      </c>
      <c r="O30" t="e">
        <f t="shared" ca="1" si="20"/>
        <v>#NAME?</v>
      </c>
      <c r="P30" t="e">
        <f t="shared" ca="1" si="21"/>
        <v>#NAME?</v>
      </c>
      <c r="R30" t="e">
        <f t="shared" ca="1" si="22"/>
        <v>#NAME?</v>
      </c>
      <c r="S30" t="e">
        <f t="shared" ca="1" si="23"/>
        <v>#NAME?</v>
      </c>
      <c r="T30" t="e">
        <f t="shared" ca="1" si="24"/>
        <v>#NAME?</v>
      </c>
      <c r="U30" t="e">
        <f t="shared" ca="1" si="25"/>
        <v>#NAME?</v>
      </c>
      <c r="V30" t="e">
        <f t="shared" ca="1" si="26"/>
        <v>#NAME?</v>
      </c>
      <c r="W30" t="e">
        <f t="shared" ca="1" si="27"/>
        <v>#NAME?</v>
      </c>
      <c r="X30" t="e">
        <f t="shared" ca="1" si="1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15"/>
        <v>#NAME?</v>
      </c>
      <c r="K31" t="e">
        <f t="shared" ca="1" si="16"/>
        <v>#NAME?</v>
      </c>
      <c r="L31" t="e">
        <f t="shared" ca="1" si="17"/>
        <v>#NAME?</v>
      </c>
      <c r="M31" t="e">
        <f t="shared" ca="1" si="18"/>
        <v>#NAME?</v>
      </c>
      <c r="N31" t="e">
        <f t="shared" ca="1" si="19"/>
        <v>#NAME?</v>
      </c>
      <c r="O31" t="e">
        <f t="shared" ca="1" si="20"/>
        <v>#NAME?</v>
      </c>
      <c r="P31" t="e">
        <f t="shared" ca="1" si="21"/>
        <v>#NAME?</v>
      </c>
      <c r="R31" t="e">
        <f t="shared" ca="1" si="22"/>
        <v>#NAME?</v>
      </c>
      <c r="S31" t="e">
        <f t="shared" ca="1" si="23"/>
        <v>#NAME?</v>
      </c>
      <c r="T31" t="e">
        <f t="shared" ca="1" si="24"/>
        <v>#NAME?</v>
      </c>
      <c r="U31" t="e">
        <f t="shared" ca="1" si="25"/>
        <v>#NAME?</v>
      </c>
      <c r="V31" t="e">
        <f t="shared" ca="1" si="26"/>
        <v>#NAME?</v>
      </c>
      <c r="W31" t="e">
        <f t="shared" ca="1" si="27"/>
        <v>#NAME?</v>
      </c>
      <c r="X31" t="e">
        <f t="shared" ca="1" si="14"/>
        <v>#NAME?</v>
      </c>
      <c r="Z31" s="15">
        <v>0.5</v>
      </c>
    </row>
    <row r="32" spans="1:26" ht="14.45" customHeight="1">
      <c r="A32" s="21" t="s">
        <v>64</v>
      </c>
      <c r="B32" s="90" t="s">
        <v>31</v>
      </c>
      <c r="C32" s="116" t="s">
        <v>45</v>
      </c>
      <c r="D32" s="25" t="s">
        <v>24</v>
      </c>
      <c r="E32" s="25"/>
      <c r="F32" s="25"/>
      <c r="G32" s="25"/>
      <c r="H32" s="25"/>
      <c r="J32" t="e">
        <f t="shared" ca="1" si="15"/>
        <v>#NAME?</v>
      </c>
      <c r="K32" t="e">
        <f t="shared" ca="1" si="16"/>
        <v>#NAME?</v>
      </c>
      <c r="L32" t="e">
        <f t="shared" ca="1" si="17"/>
        <v>#NAME?</v>
      </c>
      <c r="M32" t="e">
        <f t="shared" ca="1" si="18"/>
        <v>#NAME?</v>
      </c>
      <c r="N32" t="e">
        <f t="shared" ca="1" si="19"/>
        <v>#NAME?</v>
      </c>
      <c r="O32" t="e">
        <f t="shared" ca="1" si="20"/>
        <v>#NAME?</v>
      </c>
      <c r="P32" t="e">
        <f t="shared" ca="1" si="21"/>
        <v>#NAME?</v>
      </c>
      <c r="R32" t="e">
        <f t="shared" ca="1" si="22"/>
        <v>#NAME?</v>
      </c>
      <c r="S32" t="e">
        <f t="shared" ca="1" si="23"/>
        <v>#NAME?</v>
      </c>
      <c r="T32" t="e">
        <f t="shared" ca="1" si="24"/>
        <v>#NAME?</v>
      </c>
      <c r="U32" t="e">
        <f t="shared" ca="1" si="25"/>
        <v>#NAME?</v>
      </c>
      <c r="V32" t="e">
        <f t="shared" ca="1" si="26"/>
        <v>#NAME?</v>
      </c>
      <c r="W32" t="e">
        <f t="shared" ca="1" si="27"/>
        <v>#NAME?</v>
      </c>
      <c r="X32" t="e">
        <f t="shared" ca="1" si="14"/>
        <v>#NAME?</v>
      </c>
      <c r="Z32" s="15">
        <v>0.5</v>
      </c>
    </row>
    <row r="33" spans="1:26" ht="14.45" customHeight="1">
      <c r="A33" s="21" t="s">
        <v>65</v>
      </c>
      <c r="B33" s="110" t="s">
        <v>59</v>
      </c>
      <c r="C33" s="25"/>
      <c r="D33" s="116" t="s">
        <v>32</v>
      </c>
      <c r="E33" s="25"/>
      <c r="F33" s="115" t="s">
        <v>23</v>
      </c>
      <c r="G33" s="25"/>
      <c r="H33" s="116" t="s">
        <v>45</v>
      </c>
      <c r="J33" t="e">
        <f t="shared" ca="1" si="15"/>
        <v>#NAME?</v>
      </c>
      <c r="K33" t="e">
        <f t="shared" ca="1" si="16"/>
        <v>#NAME?</v>
      </c>
      <c r="L33" t="e">
        <f t="shared" ca="1" si="17"/>
        <v>#NAME?</v>
      </c>
      <c r="M33" t="e">
        <f t="shared" ca="1" si="18"/>
        <v>#NAME?</v>
      </c>
      <c r="N33" t="e">
        <f t="shared" ca="1" si="19"/>
        <v>#NAME?</v>
      </c>
      <c r="O33" t="e">
        <f t="shared" ca="1" si="20"/>
        <v>#NAME?</v>
      </c>
      <c r="P33" t="e">
        <f t="shared" ca="1" si="21"/>
        <v>#NAME?</v>
      </c>
      <c r="R33" t="e">
        <f t="shared" ca="1" si="22"/>
        <v>#NAME?</v>
      </c>
      <c r="S33" t="e">
        <f t="shared" ca="1" si="23"/>
        <v>#NAME?</v>
      </c>
      <c r="T33" t="e">
        <f t="shared" ca="1" si="24"/>
        <v>#NAME?</v>
      </c>
      <c r="U33" t="e">
        <f t="shared" ca="1" si="25"/>
        <v>#NAME?</v>
      </c>
      <c r="V33" t="e">
        <f t="shared" ca="1" si="26"/>
        <v>#NAME?</v>
      </c>
      <c r="W33" t="e">
        <f t="shared" ca="1" si="27"/>
        <v>#NAME?</v>
      </c>
      <c r="X33" t="e">
        <f t="shared" ca="1" si="1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67</v>
      </c>
      <c r="G34" s="25"/>
      <c r="H34" s="25"/>
      <c r="J34" t="e">
        <f t="shared" ca="1" si="15"/>
        <v>#NAME?</v>
      </c>
      <c r="K34" t="e">
        <f t="shared" ca="1" si="16"/>
        <v>#NAME?</v>
      </c>
      <c r="L34" t="e">
        <f t="shared" ca="1" si="17"/>
        <v>#NAME?</v>
      </c>
      <c r="M34" t="e">
        <f t="shared" ca="1" si="18"/>
        <v>#NAME?</v>
      </c>
      <c r="N34" t="e">
        <f t="shared" ca="1" si="19"/>
        <v>#NAME?</v>
      </c>
      <c r="O34" t="e">
        <f t="shared" ca="1" si="20"/>
        <v>#NAME?</v>
      </c>
      <c r="P34" t="e">
        <f t="shared" ca="1" si="21"/>
        <v>#NAME?</v>
      </c>
      <c r="R34" t="e">
        <f t="shared" ca="1" si="22"/>
        <v>#NAME?</v>
      </c>
      <c r="S34" t="e">
        <f t="shared" ca="1" si="23"/>
        <v>#NAME?</v>
      </c>
      <c r="T34" t="e">
        <f t="shared" ca="1" si="24"/>
        <v>#NAME?</v>
      </c>
      <c r="U34" t="e">
        <f t="shared" ca="1" si="25"/>
        <v>#NAME?</v>
      </c>
      <c r="V34" t="e">
        <f t="shared" ca="1" si="26"/>
        <v>#NAME?</v>
      </c>
      <c r="W34" t="e">
        <f t="shared" ca="1" si="27"/>
        <v>#NAME?</v>
      </c>
      <c r="X34" t="e">
        <f t="shared" ca="1" si="14"/>
        <v>#NAME?</v>
      </c>
      <c r="Z34" s="15">
        <v>0.25</v>
      </c>
    </row>
    <row r="35" spans="1:26">
      <c r="A35" s="21" t="s">
        <v>68</v>
      </c>
      <c r="B35" s="127" t="s">
        <v>29</v>
      </c>
      <c r="C35" s="128"/>
      <c r="D35" s="128"/>
      <c r="E35" s="128"/>
      <c r="F35" s="128"/>
      <c r="G35" s="128"/>
      <c r="H35" s="129"/>
      <c r="J35" t="e">
        <f t="shared" ca="1" si="15"/>
        <v>#NAME?</v>
      </c>
      <c r="K35" t="e">
        <f t="shared" ca="1" si="16"/>
        <v>#NAME?</v>
      </c>
      <c r="L35" t="e">
        <f t="shared" ca="1" si="17"/>
        <v>#NAME?</v>
      </c>
      <c r="M35" t="e">
        <f t="shared" ca="1" si="18"/>
        <v>#NAME?</v>
      </c>
      <c r="N35" t="e">
        <f t="shared" ca="1" si="19"/>
        <v>#NAME?</v>
      </c>
      <c r="O35" t="e">
        <f t="shared" ca="1" si="20"/>
        <v>#NAME?</v>
      </c>
      <c r="P35" t="e">
        <f t="shared" ca="1" si="21"/>
        <v>#NAME?</v>
      </c>
      <c r="R35" t="e">
        <f t="shared" ca="1" si="22"/>
        <v>#NAME?</v>
      </c>
      <c r="S35" t="e">
        <f t="shared" ca="1" si="23"/>
        <v>#NAME?</v>
      </c>
      <c r="T35" t="e">
        <f t="shared" ca="1" si="24"/>
        <v>#NAME?</v>
      </c>
      <c r="U35" t="e">
        <f t="shared" ca="1" si="25"/>
        <v>#NAME?</v>
      </c>
      <c r="V35" t="e">
        <f t="shared" ca="1" si="26"/>
        <v>#NAME?</v>
      </c>
      <c r="W35" t="e">
        <f t="shared" ca="1" si="27"/>
        <v>#NAME?</v>
      </c>
      <c r="X35" t="e">
        <f t="shared" ca="1" si="14"/>
        <v>#NAME?</v>
      </c>
      <c r="Z35" s="15">
        <v>0.75</v>
      </c>
    </row>
    <row r="36" spans="1:26">
      <c r="A36" s="21" t="s">
        <v>69</v>
      </c>
      <c r="B36" s="28" t="s">
        <v>25</v>
      </c>
      <c r="C36" s="115" t="s">
        <v>23</v>
      </c>
      <c r="D36" s="90" t="s">
        <v>31</v>
      </c>
      <c r="E36" s="110" t="s">
        <v>59</v>
      </c>
      <c r="F36" s="25"/>
      <c r="G36" s="25"/>
      <c r="H36" s="25"/>
      <c r="J36" t="e">
        <f t="shared" ca="1" si="15"/>
        <v>#NAME?</v>
      </c>
      <c r="K36" t="e">
        <f t="shared" ca="1" si="16"/>
        <v>#NAME?</v>
      </c>
      <c r="L36" t="e">
        <f t="shared" ca="1" si="17"/>
        <v>#NAME?</v>
      </c>
      <c r="M36" t="e">
        <f t="shared" ca="1" si="18"/>
        <v>#NAME?</v>
      </c>
      <c r="N36" t="e">
        <f t="shared" ca="1" si="19"/>
        <v>#NAME?</v>
      </c>
      <c r="O36" t="e">
        <f t="shared" ca="1" si="20"/>
        <v>#NAME?</v>
      </c>
      <c r="P36" t="e">
        <f t="shared" ca="1" si="21"/>
        <v>#NAME?</v>
      </c>
      <c r="R36" t="e">
        <f t="shared" ca="1" si="22"/>
        <v>#NAME?</v>
      </c>
      <c r="S36" t="e">
        <f t="shared" ca="1" si="23"/>
        <v>#NAME?</v>
      </c>
      <c r="T36" t="e">
        <f t="shared" ca="1" si="24"/>
        <v>#NAME?</v>
      </c>
      <c r="U36" t="e">
        <f t="shared" ca="1" si="25"/>
        <v>#NAME?</v>
      </c>
      <c r="V36" t="e">
        <f t="shared" ca="1" si="26"/>
        <v>#NAME?</v>
      </c>
      <c r="W36" t="e">
        <f t="shared" ca="1" si="27"/>
        <v>#NAME?</v>
      </c>
      <c r="X36" t="e">
        <f t="shared" ca="1" si="14"/>
        <v>#NAME?</v>
      </c>
      <c r="Z36" s="15">
        <v>1</v>
      </c>
    </row>
    <row r="37" spans="1:26">
      <c r="A37" s="21" t="s">
        <v>70</v>
      </c>
      <c r="B37" s="25" t="s">
        <v>24</v>
      </c>
      <c r="C37" s="91" t="s">
        <v>31</v>
      </c>
      <c r="D37" s="25" t="s">
        <v>24</v>
      </c>
      <c r="E37" s="25"/>
      <c r="F37" s="25"/>
      <c r="G37" s="25"/>
      <c r="H37" s="25"/>
      <c r="J37" t="e">
        <f t="shared" ca="1" si="15"/>
        <v>#NAME?</v>
      </c>
      <c r="K37" t="e">
        <f t="shared" ca="1" si="16"/>
        <v>#NAME?</v>
      </c>
      <c r="L37" t="e">
        <f t="shared" ca="1" si="17"/>
        <v>#NAME?</v>
      </c>
      <c r="M37" t="e">
        <f t="shared" ca="1" si="18"/>
        <v>#NAME?</v>
      </c>
      <c r="N37" t="e">
        <f t="shared" ca="1" si="19"/>
        <v>#NAME?</v>
      </c>
      <c r="O37" t="e">
        <f t="shared" ca="1" si="20"/>
        <v>#NAME?</v>
      </c>
      <c r="P37" t="e">
        <f t="shared" ca="1" si="21"/>
        <v>#NAME?</v>
      </c>
      <c r="R37" t="e">
        <f t="shared" ca="1" si="22"/>
        <v>#NAME?</v>
      </c>
      <c r="S37" t="e">
        <f t="shared" ca="1" si="23"/>
        <v>#NAME?</v>
      </c>
      <c r="T37" t="e">
        <f t="shared" ca="1" si="24"/>
        <v>#NAME?</v>
      </c>
      <c r="U37" t="e">
        <f t="shared" ca="1" si="25"/>
        <v>#NAME?</v>
      </c>
      <c r="V37" t="e">
        <f t="shared" ca="1" si="26"/>
        <v>#NAME?</v>
      </c>
      <c r="W37" t="e">
        <f t="shared" ca="1" si="27"/>
        <v>#NAME?</v>
      </c>
      <c r="X37" t="e">
        <f t="shared" ca="1" si="14"/>
        <v>#NAME?</v>
      </c>
      <c r="Z37" s="15">
        <v>1</v>
      </c>
    </row>
    <row r="38" spans="1:26">
      <c r="A38" s="21" t="s">
        <v>71</v>
      </c>
      <c r="B38" s="91" t="s">
        <v>31</v>
      </c>
      <c r="C38" s="116" t="s">
        <v>32</v>
      </c>
      <c r="D38" s="25" t="s">
        <v>24</v>
      </c>
      <c r="E38" s="25"/>
      <c r="F38" s="25"/>
      <c r="G38" s="25"/>
      <c r="H38" s="25"/>
      <c r="J38" t="e">
        <f t="shared" ca="1" si="15"/>
        <v>#NAME?</v>
      </c>
      <c r="K38" t="e">
        <f t="shared" ca="1" si="16"/>
        <v>#NAME?</v>
      </c>
      <c r="L38" t="e">
        <f t="shared" ca="1" si="17"/>
        <v>#NAME?</v>
      </c>
      <c r="M38" t="e">
        <f t="shared" ca="1" si="18"/>
        <v>#NAME?</v>
      </c>
      <c r="N38" t="e">
        <f t="shared" ca="1" si="19"/>
        <v>#NAME?</v>
      </c>
      <c r="O38" t="e">
        <f t="shared" ca="1" si="20"/>
        <v>#NAME?</v>
      </c>
      <c r="P38" t="e">
        <f t="shared" ca="1" si="21"/>
        <v>#NAME?</v>
      </c>
      <c r="R38" t="e">
        <f t="shared" ca="1" si="22"/>
        <v>#NAME?</v>
      </c>
      <c r="S38" t="e">
        <f t="shared" ca="1" si="23"/>
        <v>#NAME?</v>
      </c>
      <c r="T38" t="e">
        <f t="shared" ca="1" si="24"/>
        <v>#NAME?</v>
      </c>
      <c r="U38" t="e">
        <f t="shared" ca="1" si="25"/>
        <v>#NAME?</v>
      </c>
      <c r="V38" t="e">
        <f t="shared" ca="1" si="26"/>
        <v>#NAME?</v>
      </c>
      <c r="W38" t="e">
        <f t="shared" ca="1" si="27"/>
        <v>#NAME?</v>
      </c>
      <c r="X38" t="e">
        <f t="shared" ca="1" si="14"/>
        <v>#NAME?</v>
      </c>
      <c r="Z38" s="15">
        <v>0.75</v>
      </c>
    </row>
    <row r="39" spans="1:26">
      <c r="A39" s="21" t="s">
        <v>72</v>
      </c>
      <c r="B39" s="116" t="s">
        <v>45</v>
      </c>
      <c r="C39" s="44" t="s">
        <v>26</v>
      </c>
      <c r="D39" s="25" t="s">
        <v>24</v>
      </c>
      <c r="E39" s="109" t="s">
        <v>73</v>
      </c>
      <c r="F39" s="25"/>
      <c r="G39" s="25"/>
      <c r="H39" s="25"/>
      <c r="J39" t="e">
        <f t="shared" ca="1" si="15"/>
        <v>#NAME?</v>
      </c>
      <c r="K39" t="e">
        <f t="shared" ca="1" si="16"/>
        <v>#NAME?</v>
      </c>
      <c r="L39" t="e">
        <f t="shared" ca="1" si="17"/>
        <v>#NAME?</v>
      </c>
      <c r="M39" t="e">
        <f t="shared" ca="1" si="18"/>
        <v>#NAME?</v>
      </c>
      <c r="N39" t="e">
        <f t="shared" ca="1" si="19"/>
        <v>#NAME?</v>
      </c>
      <c r="O39" t="e">
        <f t="shared" ca="1" si="20"/>
        <v>#NAME?</v>
      </c>
      <c r="P39" t="e">
        <f t="shared" ca="1" si="21"/>
        <v>#NAME?</v>
      </c>
      <c r="R39" t="e">
        <f t="shared" ca="1" si="22"/>
        <v>#NAME?</v>
      </c>
      <c r="S39" t="e">
        <f t="shared" ca="1" si="23"/>
        <v>#NAME?</v>
      </c>
      <c r="T39" t="e">
        <f t="shared" ca="1" si="24"/>
        <v>#NAME?</v>
      </c>
      <c r="U39" t="e">
        <f t="shared" ca="1" si="25"/>
        <v>#NAME?</v>
      </c>
      <c r="V39" t="e">
        <f t="shared" ca="1" si="26"/>
        <v>#NAME?</v>
      </c>
      <c r="W39" t="e">
        <f t="shared" ca="1" si="27"/>
        <v>#NAME?</v>
      </c>
      <c r="X39" t="e">
        <f t="shared" ca="1" si="14"/>
        <v>#NAME?</v>
      </c>
      <c r="Z39" s="15">
        <v>1</v>
      </c>
    </row>
    <row r="40" spans="1:26">
      <c r="A40" s="21" t="s">
        <v>74</v>
      </c>
      <c r="B40" s="127" t="s">
        <v>29</v>
      </c>
      <c r="C40" s="128"/>
      <c r="D40" s="128"/>
      <c r="E40" s="128"/>
      <c r="F40" s="128"/>
      <c r="G40" s="128"/>
      <c r="H40" s="129"/>
      <c r="J40" t="e">
        <f t="shared" ca="1" si="15"/>
        <v>#NAME?</v>
      </c>
      <c r="K40" t="e">
        <f t="shared" ca="1" si="16"/>
        <v>#NAME?</v>
      </c>
      <c r="L40" t="e">
        <f t="shared" ca="1" si="17"/>
        <v>#NAME?</v>
      </c>
      <c r="M40" t="e">
        <f t="shared" ca="1" si="18"/>
        <v>#NAME?</v>
      </c>
      <c r="N40" t="e">
        <f t="shared" ca="1" si="19"/>
        <v>#NAME?</v>
      </c>
      <c r="O40" t="e">
        <f t="shared" ca="1" si="20"/>
        <v>#NAME?</v>
      </c>
      <c r="P40" t="e">
        <f t="shared" ca="1" si="21"/>
        <v>#NAME?</v>
      </c>
      <c r="R40" t="e">
        <f t="shared" ca="1" si="22"/>
        <v>#NAME?</v>
      </c>
      <c r="S40" t="e">
        <f t="shared" ca="1" si="23"/>
        <v>#NAME?</v>
      </c>
      <c r="T40" t="e">
        <f t="shared" ca="1" si="24"/>
        <v>#NAME?</v>
      </c>
      <c r="U40" t="e">
        <f t="shared" ca="1" si="25"/>
        <v>#NAME?</v>
      </c>
      <c r="V40" t="e">
        <f t="shared" ca="1" si="26"/>
        <v>#NAME?</v>
      </c>
      <c r="W40" t="e">
        <f t="shared" ca="1" si="27"/>
        <v>#NAME?</v>
      </c>
      <c r="X40" t="e">
        <f t="shared" ca="1" si="1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25"/>
      <c r="E41" s="25"/>
      <c r="F41" s="116" t="s">
        <v>45</v>
      </c>
      <c r="G41" s="25"/>
      <c r="H41" s="110" t="s">
        <v>16</v>
      </c>
      <c r="J41" t="e">
        <f t="shared" ca="1" si="15"/>
        <v>#NAME?</v>
      </c>
      <c r="K41" t="e">
        <f t="shared" ca="1" si="16"/>
        <v>#NAME?</v>
      </c>
      <c r="L41" t="e">
        <f t="shared" ca="1" si="17"/>
        <v>#NAME?</v>
      </c>
      <c r="M41" t="e">
        <f t="shared" ca="1" si="18"/>
        <v>#NAME?</v>
      </c>
      <c r="N41" t="e">
        <f t="shared" ca="1" si="19"/>
        <v>#NAME?</v>
      </c>
      <c r="O41" t="e">
        <f t="shared" ca="1" si="20"/>
        <v>#NAME?</v>
      </c>
      <c r="P41" t="e">
        <f t="shared" ca="1" si="21"/>
        <v>#NAME?</v>
      </c>
      <c r="R41" t="e">
        <f t="shared" ca="1" si="22"/>
        <v>#NAME?</v>
      </c>
      <c r="S41" t="e">
        <f t="shared" ca="1" si="23"/>
        <v>#NAME?</v>
      </c>
      <c r="T41" t="e">
        <f t="shared" ca="1" si="24"/>
        <v>#NAME?</v>
      </c>
      <c r="U41" t="e">
        <f t="shared" ca="1" si="25"/>
        <v>#NAME?</v>
      </c>
      <c r="V41" t="e">
        <f t="shared" ca="1" si="26"/>
        <v>#NAME?</v>
      </c>
      <c r="W41" t="e">
        <f t="shared" ca="1" si="27"/>
        <v>#NAME?</v>
      </c>
      <c r="X41" t="e">
        <f t="shared" ca="1" si="14"/>
        <v>#NAME?</v>
      </c>
      <c r="Z41" s="15">
        <v>0.5</v>
      </c>
    </row>
    <row r="42" spans="1:26">
      <c r="A42" s="21" t="s">
        <v>76</v>
      </c>
      <c r="B42" s="127" t="s">
        <v>20</v>
      </c>
      <c r="C42" s="128"/>
      <c r="D42" s="128"/>
      <c r="E42" s="128"/>
      <c r="F42" s="128"/>
      <c r="G42" s="128"/>
      <c r="H42" s="129"/>
      <c r="J42" t="e">
        <f t="shared" ca="1" si="15"/>
        <v>#NAME?</v>
      </c>
      <c r="K42" t="e">
        <f t="shared" ca="1" si="16"/>
        <v>#NAME?</v>
      </c>
      <c r="L42" t="e">
        <f t="shared" ca="1" si="17"/>
        <v>#NAME?</v>
      </c>
      <c r="M42" t="e">
        <f t="shared" ca="1" si="18"/>
        <v>#NAME?</v>
      </c>
      <c r="N42" t="e">
        <f t="shared" ca="1" si="19"/>
        <v>#NAME?</v>
      </c>
      <c r="O42" t="e">
        <f t="shared" ca="1" si="20"/>
        <v>#NAME?</v>
      </c>
      <c r="P42" t="e">
        <f t="shared" ca="1" si="21"/>
        <v>#NAME?</v>
      </c>
      <c r="R42" t="e">
        <f t="shared" ca="1" si="22"/>
        <v>#NAME?</v>
      </c>
      <c r="S42" t="e">
        <f t="shared" ca="1" si="23"/>
        <v>#NAME?</v>
      </c>
      <c r="T42" t="e">
        <f t="shared" ca="1" si="24"/>
        <v>#NAME?</v>
      </c>
      <c r="U42" t="e">
        <f t="shared" ca="1" si="25"/>
        <v>#NAME?</v>
      </c>
      <c r="V42" t="e">
        <f t="shared" ca="1" si="26"/>
        <v>#NAME?</v>
      </c>
      <c r="W42" t="e">
        <f t="shared" ca="1" si="27"/>
        <v>#NAME?</v>
      </c>
      <c r="X42" t="e">
        <f t="shared" ca="1" si="14"/>
        <v>#NAME?</v>
      </c>
      <c r="Z42" s="15">
        <v>0.5</v>
      </c>
    </row>
    <row r="43" spans="1:26" ht="15" customHeight="1">
      <c r="A43" s="21" t="s">
        <v>77</v>
      </c>
      <c r="B43" s="90" t="s">
        <v>78</v>
      </c>
      <c r="C43" s="25"/>
      <c r="D43" s="91" t="s">
        <v>31</v>
      </c>
      <c r="E43" s="25"/>
      <c r="F43" s="44" t="s">
        <v>26</v>
      </c>
      <c r="G43" s="25"/>
      <c r="H43" s="25"/>
      <c r="J43" t="e">
        <f t="shared" ca="1" si="15"/>
        <v>#NAME?</v>
      </c>
      <c r="K43" t="e">
        <f t="shared" ca="1" si="16"/>
        <v>#NAME?</v>
      </c>
      <c r="L43" t="e">
        <f t="shared" ca="1" si="17"/>
        <v>#NAME?</v>
      </c>
      <c r="M43" t="e">
        <f t="shared" ca="1" si="18"/>
        <v>#NAME?</v>
      </c>
      <c r="N43" t="e">
        <f t="shared" ca="1" si="19"/>
        <v>#NAME?</v>
      </c>
      <c r="O43" t="e">
        <f t="shared" ca="1" si="20"/>
        <v>#NAME?</v>
      </c>
      <c r="P43" t="e">
        <f t="shared" ca="1" si="21"/>
        <v>#NAME?</v>
      </c>
      <c r="R43" t="e">
        <f t="shared" ca="1" si="22"/>
        <v>#NAME?</v>
      </c>
      <c r="S43" t="e">
        <f t="shared" ca="1" si="23"/>
        <v>#NAME?</v>
      </c>
      <c r="T43" t="e">
        <f t="shared" ca="1" si="24"/>
        <v>#NAME?</v>
      </c>
      <c r="U43" t="e">
        <f t="shared" ca="1" si="25"/>
        <v>#NAME?</v>
      </c>
      <c r="V43" t="e">
        <f t="shared" ca="1" si="26"/>
        <v>#NAME?</v>
      </c>
      <c r="W43" t="e">
        <f t="shared" ca="1" si="27"/>
        <v>#NAME?</v>
      </c>
      <c r="X43" t="e">
        <f t="shared" ca="1" si="14"/>
        <v>#NAME?</v>
      </c>
      <c r="Z43" s="15">
        <v>0.5</v>
      </c>
    </row>
    <row r="44" spans="1:26" ht="14.45" customHeight="1">
      <c r="A44" s="21" t="s">
        <v>79</v>
      </c>
      <c r="B44" s="25"/>
      <c r="C44" s="90" t="s">
        <v>36</v>
      </c>
      <c r="D44" s="25" t="s">
        <v>24</v>
      </c>
      <c r="E44" s="116" t="s">
        <v>45</v>
      </c>
      <c r="F44" s="25"/>
      <c r="G44" s="25"/>
      <c r="H44" s="25"/>
      <c r="J44" t="e">
        <f t="shared" ca="1" si="15"/>
        <v>#NAME?</v>
      </c>
      <c r="K44" t="e">
        <f t="shared" ca="1" si="16"/>
        <v>#NAME?</v>
      </c>
      <c r="L44" t="e">
        <f t="shared" ca="1" si="17"/>
        <v>#NAME?</v>
      </c>
      <c r="M44" t="e">
        <f t="shared" ca="1" si="18"/>
        <v>#NAME?</v>
      </c>
      <c r="N44" t="e">
        <f t="shared" ca="1" si="19"/>
        <v>#NAME?</v>
      </c>
      <c r="O44" t="e">
        <f t="shared" ca="1" si="20"/>
        <v>#NAME?</v>
      </c>
      <c r="P44" t="e">
        <f t="shared" ca="1" si="21"/>
        <v>#NAME?</v>
      </c>
      <c r="R44" t="e">
        <f t="shared" ca="1" si="22"/>
        <v>#NAME?</v>
      </c>
      <c r="S44" t="e">
        <f t="shared" ca="1" si="23"/>
        <v>#NAME?</v>
      </c>
      <c r="T44" t="e">
        <f t="shared" ca="1" si="24"/>
        <v>#NAME?</v>
      </c>
      <c r="U44" t="e">
        <f t="shared" ca="1" si="25"/>
        <v>#NAME?</v>
      </c>
      <c r="V44" t="e">
        <f t="shared" ca="1" si="26"/>
        <v>#NAME?</v>
      </c>
      <c r="W44" t="e">
        <f t="shared" ca="1" si="27"/>
        <v>#NAME?</v>
      </c>
      <c r="X44" t="e">
        <f t="shared" ca="1" si="14"/>
        <v>#NAME?</v>
      </c>
      <c r="Z44" s="15">
        <v>0.875</v>
      </c>
    </row>
    <row r="45" spans="1:26">
      <c r="A45" s="21" t="s">
        <v>80</v>
      </c>
      <c r="B45" s="25"/>
      <c r="C45" s="25"/>
      <c r="D45" s="116" t="s">
        <v>45</v>
      </c>
      <c r="E45" s="90" t="s">
        <v>36</v>
      </c>
      <c r="F45" s="25"/>
      <c r="G45" s="44" t="s">
        <v>26</v>
      </c>
      <c r="H45" s="90" t="s">
        <v>36</v>
      </c>
      <c r="J45" t="e">
        <f t="shared" ca="1" si="15"/>
        <v>#NAME?</v>
      </c>
      <c r="K45" t="e">
        <f t="shared" ca="1" si="16"/>
        <v>#NAME?</v>
      </c>
      <c r="L45" t="e">
        <f t="shared" ca="1" si="17"/>
        <v>#NAME?</v>
      </c>
      <c r="M45" t="e">
        <f t="shared" ca="1" si="18"/>
        <v>#NAME?</v>
      </c>
      <c r="N45" t="e">
        <f t="shared" ca="1" si="19"/>
        <v>#NAME?</v>
      </c>
      <c r="O45" t="e">
        <f t="shared" ca="1" si="20"/>
        <v>#NAME?</v>
      </c>
      <c r="P45" t="e">
        <f t="shared" ca="1" si="21"/>
        <v>#NAME?</v>
      </c>
      <c r="R45" t="e">
        <f t="shared" ca="1" si="22"/>
        <v>#NAME?</v>
      </c>
      <c r="S45" t="e">
        <f t="shared" ca="1" si="23"/>
        <v>#NAME?</v>
      </c>
      <c r="T45" t="e">
        <f t="shared" ca="1" si="24"/>
        <v>#NAME?</v>
      </c>
      <c r="U45" t="e">
        <f t="shared" ca="1" si="25"/>
        <v>#NAME?</v>
      </c>
      <c r="V45" t="e">
        <f t="shared" ca="1" si="26"/>
        <v>#NAME?</v>
      </c>
      <c r="W45" t="e">
        <f t="shared" ca="1" si="27"/>
        <v>#NAME?</v>
      </c>
      <c r="X45" t="e">
        <f t="shared" ca="1" si="14"/>
        <v>#NAME?</v>
      </c>
      <c r="Z45" s="15">
        <v>0.75</v>
      </c>
    </row>
    <row r="46" spans="1:26">
      <c r="A46" s="21" t="s">
        <v>81</v>
      </c>
      <c r="B46" s="25"/>
      <c r="C46" s="25" t="s">
        <v>24</v>
      </c>
      <c r="D46" s="110" t="s">
        <v>16</v>
      </c>
      <c r="E46" s="116" t="s">
        <v>32</v>
      </c>
      <c r="F46" s="25"/>
      <c r="G46" s="25"/>
      <c r="H46" s="25"/>
      <c r="J46" t="e">
        <f t="shared" ca="1" si="15"/>
        <v>#NAME?</v>
      </c>
      <c r="K46" t="e">
        <f t="shared" ca="1" si="16"/>
        <v>#NAME?</v>
      </c>
      <c r="L46" t="e">
        <f t="shared" ca="1" si="17"/>
        <v>#NAME?</v>
      </c>
      <c r="M46" t="e">
        <f t="shared" ca="1" si="18"/>
        <v>#NAME?</v>
      </c>
      <c r="N46" t="e">
        <f t="shared" ca="1" si="19"/>
        <v>#NAME?</v>
      </c>
      <c r="O46" t="e">
        <f t="shared" ca="1" si="20"/>
        <v>#NAME?</v>
      </c>
      <c r="P46" t="e">
        <f t="shared" ca="1" si="21"/>
        <v>#NAME?</v>
      </c>
      <c r="R46" t="e">
        <f t="shared" ca="1" si="22"/>
        <v>#NAME?</v>
      </c>
      <c r="S46" t="e">
        <f t="shared" ca="1" si="23"/>
        <v>#NAME?</v>
      </c>
      <c r="T46" t="e">
        <f t="shared" ca="1" si="24"/>
        <v>#NAME?</v>
      </c>
      <c r="U46" t="e">
        <f t="shared" ca="1" si="25"/>
        <v>#NAME?</v>
      </c>
      <c r="V46" t="e">
        <f t="shared" ca="1" si="26"/>
        <v>#NAME?</v>
      </c>
      <c r="W46" t="e">
        <f t="shared" ca="1" si="27"/>
        <v>#NAME?</v>
      </c>
      <c r="X46" t="e">
        <f t="shared" ca="1" si="14"/>
        <v>#NAME?</v>
      </c>
      <c r="Z46" s="15">
        <v>0.75</v>
      </c>
    </row>
    <row r="47" spans="1:26">
      <c r="A47" s="21" t="s">
        <v>82</v>
      </c>
      <c r="B47" s="127" t="s">
        <v>29</v>
      </c>
      <c r="C47" s="128"/>
      <c r="D47" s="128"/>
      <c r="E47" s="128"/>
      <c r="F47" s="128"/>
      <c r="G47" s="128"/>
      <c r="H47" s="129"/>
      <c r="J47" t="e">
        <f t="shared" ca="1" si="15"/>
        <v>#NAME?</v>
      </c>
      <c r="K47" t="e">
        <f t="shared" ca="1" si="16"/>
        <v>#NAME?</v>
      </c>
      <c r="L47" t="e">
        <f t="shared" ca="1" si="17"/>
        <v>#NAME?</v>
      </c>
      <c r="M47" t="e">
        <f t="shared" ca="1" si="18"/>
        <v>#NAME?</v>
      </c>
      <c r="N47" t="e">
        <f t="shared" ca="1" si="19"/>
        <v>#NAME?</v>
      </c>
      <c r="O47" t="e">
        <f t="shared" ca="1" si="20"/>
        <v>#NAME?</v>
      </c>
      <c r="P47" t="e">
        <f t="shared" ca="1" si="21"/>
        <v>#NAME?</v>
      </c>
      <c r="R47" t="e">
        <f t="shared" ca="1" si="22"/>
        <v>#NAME?</v>
      </c>
      <c r="S47" t="e">
        <f t="shared" ca="1" si="23"/>
        <v>#NAME?</v>
      </c>
      <c r="T47" t="e">
        <f t="shared" ca="1" si="24"/>
        <v>#NAME?</v>
      </c>
      <c r="U47" t="e">
        <f t="shared" ca="1" si="25"/>
        <v>#NAME?</v>
      </c>
      <c r="V47" t="e">
        <f t="shared" ca="1" si="26"/>
        <v>#NAME?</v>
      </c>
      <c r="W47" t="e">
        <f t="shared" ca="1" si="27"/>
        <v>#NAME?</v>
      </c>
      <c r="X47" t="e">
        <f t="shared" ca="1" si="14"/>
        <v>#NAME?</v>
      </c>
      <c r="Z47" s="15">
        <v>0.5</v>
      </c>
    </row>
    <row r="48" spans="1:26">
      <c r="A48" s="21" t="s">
        <v>83</v>
      </c>
      <c r="B48" s="25" t="s">
        <v>84</v>
      </c>
      <c r="C48" s="25"/>
      <c r="D48" s="91" t="s">
        <v>36</v>
      </c>
      <c r="E48" s="25"/>
      <c r="F48" s="25"/>
      <c r="G48" s="116" t="s">
        <v>32</v>
      </c>
      <c r="H48" s="110" t="s">
        <v>59</v>
      </c>
      <c r="J48" t="e">
        <f t="shared" ca="1" si="15"/>
        <v>#NAME?</v>
      </c>
      <c r="K48" t="e">
        <f t="shared" ca="1" si="16"/>
        <v>#NAME?</v>
      </c>
      <c r="L48" t="e">
        <f t="shared" ca="1" si="17"/>
        <v>#NAME?</v>
      </c>
      <c r="M48" t="e">
        <f t="shared" ca="1" si="18"/>
        <v>#NAME?</v>
      </c>
      <c r="N48" t="e">
        <f t="shared" ca="1" si="19"/>
        <v>#NAME?</v>
      </c>
      <c r="O48" t="e">
        <f t="shared" ca="1" si="20"/>
        <v>#NAME?</v>
      </c>
      <c r="P48" t="e">
        <f t="shared" ca="1" si="21"/>
        <v>#NAME?</v>
      </c>
      <c r="R48" t="e">
        <f t="shared" ca="1" si="22"/>
        <v>#NAME?</v>
      </c>
      <c r="S48" t="e">
        <f t="shared" ca="1" si="23"/>
        <v>#NAME?</v>
      </c>
      <c r="T48" t="e">
        <f t="shared" ca="1" si="24"/>
        <v>#NAME?</v>
      </c>
      <c r="U48" t="e">
        <f t="shared" ca="1" si="25"/>
        <v>#NAME?</v>
      </c>
      <c r="V48" t="e">
        <f t="shared" ca="1" si="26"/>
        <v>#NAME?</v>
      </c>
      <c r="W48" t="e">
        <f t="shared" ca="1" si="27"/>
        <v>#NAME?</v>
      </c>
      <c r="X48" t="e">
        <f t="shared" ca="1" si="14"/>
        <v>#NAME?</v>
      </c>
      <c r="Z48" s="15">
        <v>0.625</v>
      </c>
    </row>
    <row r="49" spans="1:26" ht="15" customHeight="1">
      <c r="A49" s="21" t="s">
        <v>85</v>
      </c>
      <c r="B49" s="91" t="s">
        <v>36</v>
      </c>
      <c r="C49" s="25"/>
      <c r="D49" s="90" t="s">
        <v>36</v>
      </c>
      <c r="E49" s="25" t="s">
        <v>24</v>
      </c>
      <c r="F49" s="25"/>
      <c r="G49" s="91" t="s">
        <v>36</v>
      </c>
      <c r="H49" s="25"/>
      <c r="J49" t="e">
        <f t="shared" ca="1" si="15"/>
        <v>#NAME?</v>
      </c>
      <c r="K49" t="e">
        <f t="shared" ca="1" si="16"/>
        <v>#NAME?</v>
      </c>
      <c r="L49" t="e">
        <f t="shared" ca="1" si="17"/>
        <v>#NAME?</v>
      </c>
      <c r="M49" t="e">
        <f t="shared" ca="1" si="18"/>
        <v>#NAME?</v>
      </c>
      <c r="N49" t="e">
        <f t="shared" ca="1" si="19"/>
        <v>#NAME?</v>
      </c>
      <c r="O49" t="e">
        <f t="shared" ca="1" si="20"/>
        <v>#NAME?</v>
      </c>
      <c r="P49" t="e">
        <f t="shared" ca="1" si="21"/>
        <v>#NAME?</v>
      </c>
      <c r="R49" t="e">
        <f t="shared" ca="1" si="22"/>
        <v>#NAME?</v>
      </c>
      <c r="S49" t="e">
        <f t="shared" ca="1" si="23"/>
        <v>#NAME?</v>
      </c>
      <c r="T49" t="e">
        <f t="shared" ca="1" si="24"/>
        <v>#NAME?</v>
      </c>
      <c r="U49" t="e">
        <f t="shared" ca="1" si="25"/>
        <v>#NAME?</v>
      </c>
      <c r="V49" t="e">
        <f t="shared" ca="1" si="26"/>
        <v>#NAME?</v>
      </c>
      <c r="W49" t="e">
        <f t="shared" ca="1" si="27"/>
        <v>#NAME?</v>
      </c>
      <c r="X49" t="e">
        <f t="shared" ca="1" si="14"/>
        <v>#NAME?</v>
      </c>
      <c r="Z49" s="15">
        <v>0.5</v>
      </c>
    </row>
    <row r="50" spans="1:26" ht="15" customHeight="1">
      <c r="A50" s="21" t="s">
        <v>86</v>
      </c>
      <c r="B50" s="44" t="s">
        <v>26</v>
      </c>
      <c r="C50" s="25"/>
      <c r="D50" s="25"/>
      <c r="E50" s="25"/>
      <c r="F50" s="25"/>
      <c r="G50" s="25"/>
      <c r="H50" s="25"/>
      <c r="J50" t="e">
        <f t="shared" ca="1" si="15"/>
        <v>#NAME?</v>
      </c>
      <c r="K50" t="e">
        <f t="shared" ca="1" si="16"/>
        <v>#NAME?</v>
      </c>
      <c r="L50" t="e">
        <f t="shared" ca="1" si="17"/>
        <v>#NAME?</v>
      </c>
      <c r="M50" t="e">
        <f t="shared" ca="1" si="18"/>
        <v>#NAME?</v>
      </c>
      <c r="N50" t="e">
        <f t="shared" ca="1" si="19"/>
        <v>#NAME?</v>
      </c>
      <c r="O50" t="e">
        <f t="shared" ca="1" si="20"/>
        <v>#NAME?</v>
      </c>
      <c r="P50" t="e">
        <f t="shared" ca="1" si="21"/>
        <v>#NAME?</v>
      </c>
      <c r="R50" t="e">
        <f t="shared" ca="1" si="22"/>
        <v>#NAME?</v>
      </c>
      <c r="S50" t="e">
        <f t="shared" ca="1" si="23"/>
        <v>#NAME?</v>
      </c>
      <c r="T50" t="e">
        <f t="shared" ca="1" si="24"/>
        <v>#NAME?</v>
      </c>
      <c r="U50" t="e">
        <f t="shared" ca="1" si="25"/>
        <v>#NAME?</v>
      </c>
      <c r="V50" t="e">
        <f t="shared" ca="1" si="26"/>
        <v>#NAME?</v>
      </c>
      <c r="W50" t="e">
        <f t="shared" ca="1" si="27"/>
        <v>#NAME?</v>
      </c>
      <c r="X50" t="e">
        <f t="shared" ca="1" si="14"/>
        <v>#NAME?</v>
      </c>
    </row>
    <row r="51" spans="1:26" ht="15" customHeight="1">
      <c r="A51" s="21" t="s">
        <v>87</v>
      </c>
      <c r="B51" s="90" t="s">
        <v>88</v>
      </c>
      <c r="C51" s="25"/>
      <c r="D51" s="25"/>
      <c r="E51" s="25"/>
      <c r="F51" s="25"/>
      <c r="G51" s="25"/>
      <c r="H51" s="25"/>
      <c r="J51" t="e">
        <f t="shared" ca="1" si="15"/>
        <v>#NAME?</v>
      </c>
      <c r="K51" t="e">
        <f t="shared" ca="1" si="16"/>
        <v>#NAME?</v>
      </c>
      <c r="L51" t="e">
        <f t="shared" ca="1" si="17"/>
        <v>#NAME?</v>
      </c>
      <c r="M51" t="e">
        <f t="shared" ca="1" si="18"/>
        <v>#NAME?</v>
      </c>
      <c r="N51" t="e">
        <f t="shared" ca="1" si="19"/>
        <v>#NAME?</v>
      </c>
      <c r="O51" t="e">
        <f t="shared" ca="1" si="20"/>
        <v>#NAME?</v>
      </c>
      <c r="P51" t="e">
        <f t="shared" ca="1" si="21"/>
        <v>#NAME?</v>
      </c>
      <c r="R51" t="e">
        <f t="shared" ca="1" si="22"/>
        <v>#NAME?</v>
      </c>
      <c r="S51" t="e">
        <f t="shared" ca="1" si="23"/>
        <v>#NAME?</v>
      </c>
      <c r="T51" t="e">
        <f t="shared" ca="1" si="24"/>
        <v>#NAME?</v>
      </c>
      <c r="U51" t="e">
        <f t="shared" ca="1" si="25"/>
        <v>#NAME?</v>
      </c>
      <c r="V51" t="e">
        <f t="shared" ca="1" si="26"/>
        <v>#NAME?</v>
      </c>
      <c r="W51" t="e">
        <f t="shared" ca="1" si="27"/>
        <v>#NAME?</v>
      </c>
      <c r="X51" t="e">
        <f t="shared" ref="X51" ca="1" si="28">ShiftIndex(H51)</f>
        <v>#NAME?</v>
      </c>
    </row>
    <row r="52" spans="1:26" s="52" customFormat="1">
      <c r="A52" s="50" t="s">
        <v>89</v>
      </c>
      <c r="B52" s="51" t="s">
        <v>90</v>
      </c>
      <c r="C52" s="51" t="s">
        <v>91</v>
      </c>
      <c r="D52" s="51" t="s">
        <v>92</v>
      </c>
      <c r="E52" s="51" t="s">
        <v>93</v>
      </c>
      <c r="F52" s="51" t="s">
        <v>94</v>
      </c>
      <c r="G52" s="51" t="s">
        <v>95</v>
      </c>
      <c r="H52" s="51" t="s">
        <v>96</v>
      </c>
      <c r="J52" t="e">
        <f t="shared" ca="1" si="15"/>
        <v>#NAME?</v>
      </c>
      <c r="K52" t="e">
        <f t="shared" ca="1" si="16"/>
        <v>#NAME?</v>
      </c>
      <c r="L52" t="e">
        <f t="shared" ca="1" si="17"/>
        <v>#NAME?</v>
      </c>
      <c r="M52" t="e">
        <f t="shared" ca="1" si="18"/>
        <v>#NAME?</v>
      </c>
      <c r="N52" t="e">
        <f t="shared" ca="1" si="19"/>
        <v>#NAME?</v>
      </c>
      <c r="O52" t="e">
        <f t="shared" ca="1" si="20"/>
        <v>#NAME?</v>
      </c>
      <c r="P52" t="e">
        <f t="shared" ca="1" si="21"/>
        <v>#NAME?</v>
      </c>
      <c r="Q52"/>
      <c r="R52" t="e">
        <f t="shared" ca="1" si="22"/>
        <v>#NAME?</v>
      </c>
      <c r="S52" t="e">
        <f t="shared" ca="1" si="23"/>
        <v>#NAME?</v>
      </c>
      <c r="T52" t="e">
        <f t="shared" ca="1" si="24"/>
        <v>#NAME?</v>
      </c>
      <c r="U52" t="e">
        <f t="shared" ca="1" si="25"/>
        <v>#NAME?</v>
      </c>
      <c r="V52" t="e">
        <f t="shared" ca="1" si="26"/>
        <v>#NAME?</v>
      </c>
      <c r="W52" t="e">
        <f t="shared" ca="1" si="27"/>
        <v>#NAME?</v>
      </c>
      <c r="X52" t="e">
        <f t="shared" ref="X52" ca="1" si="29">ShiftIndex(H52)</f>
        <v>#NAME?</v>
      </c>
      <c r="Z52" s="57">
        <f>SUM(Z3:Z50)</f>
        <v>30.625</v>
      </c>
    </row>
    <row r="53" spans="1:26" s="52" customFormat="1">
      <c r="A53" s="50" t="s">
        <v>97</v>
      </c>
      <c r="B53" s="51"/>
      <c r="C53" s="51"/>
      <c r="D53" s="51"/>
      <c r="E53" s="51"/>
      <c r="F53" s="51" t="s">
        <v>98</v>
      </c>
      <c r="G53" s="51"/>
      <c r="H53" s="51"/>
      <c r="J53" t="e">
        <f t="shared" ca="1" si="15"/>
        <v>#NAME?</v>
      </c>
      <c r="K53" t="e">
        <f t="shared" ca="1" si="16"/>
        <v>#NAME?</v>
      </c>
      <c r="L53" t="e">
        <f t="shared" ca="1" si="17"/>
        <v>#NAME?</v>
      </c>
      <c r="M53" t="e">
        <f t="shared" ca="1" si="18"/>
        <v>#NAME?</v>
      </c>
      <c r="N53" t="e">
        <f t="shared" ca="1" si="19"/>
        <v>#NAME?</v>
      </c>
      <c r="O53" t="e">
        <f t="shared" ca="1" si="20"/>
        <v>#NAME?</v>
      </c>
      <c r="P53" t="e">
        <f t="shared" ca="1" si="21"/>
        <v>#NAME?</v>
      </c>
      <c r="Q53"/>
      <c r="R53" t="e">
        <f t="shared" ca="1" si="22"/>
        <v>#NAME?</v>
      </c>
      <c r="S53" t="e">
        <f t="shared" ca="1" si="23"/>
        <v>#NAME?</v>
      </c>
      <c r="T53" t="e">
        <f t="shared" ca="1" si="24"/>
        <v>#NAME?</v>
      </c>
      <c r="U53" t="e">
        <f t="shared" ca="1" si="25"/>
        <v>#NAME?</v>
      </c>
      <c r="V53" t="e">
        <f t="shared" ca="1" si="26"/>
        <v>#NAME?</v>
      </c>
      <c r="W53" t="e">
        <f t="shared" ca="1" si="27"/>
        <v>#NAME?</v>
      </c>
      <c r="X53" t="e">
        <f t="shared" ref="X53" ca="1" si="30">ShiftIndex(H53)</f>
        <v>#NAME?</v>
      </c>
      <c r="Z53" s="57">
        <f>SUM(Z4:Z51)</f>
        <v>30.375</v>
      </c>
    </row>
    <row r="54" spans="1:26" ht="15" customHeight="1">
      <c r="A54" s="106" t="s">
        <v>99</v>
      </c>
      <c r="B54" s="107" t="s">
        <v>100</v>
      </c>
      <c r="C54" s="107" t="s">
        <v>101</v>
      </c>
      <c r="D54" s="107" t="s">
        <v>102</v>
      </c>
      <c r="E54" s="107" t="s">
        <v>103</v>
      </c>
      <c r="F54" s="107" t="s">
        <v>104</v>
      </c>
      <c r="G54" s="107" t="s">
        <v>105</v>
      </c>
      <c r="H54" s="107" t="s">
        <v>106</v>
      </c>
      <c r="J54" t="e">
        <f t="shared" ca="1" si="15"/>
        <v>#NAME?</v>
      </c>
      <c r="K54" t="e">
        <f t="shared" ca="1" si="16"/>
        <v>#NAME?</v>
      </c>
      <c r="L54" t="e">
        <f t="shared" ca="1" si="17"/>
        <v>#NAME?</v>
      </c>
      <c r="M54" t="e">
        <f t="shared" ca="1" si="18"/>
        <v>#NAME?</v>
      </c>
      <c r="N54" t="e">
        <f t="shared" ca="1" si="19"/>
        <v>#NAME?</v>
      </c>
      <c r="O54" t="e">
        <f t="shared" ca="1" si="20"/>
        <v>#NAME?</v>
      </c>
      <c r="P54" t="e">
        <f t="shared" ca="1" si="21"/>
        <v>#NAME?</v>
      </c>
      <c r="R54" t="e">
        <f t="shared" ca="1" si="22"/>
        <v>#NAME?</v>
      </c>
      <c r="S54" t="e">
        <f t="shared" ca="1" si="23"/>
        <v>#NAME?</v>
      </c>
      <c r="T54" t="e">
        <f t="shared" ca="1" si="24"/>
        <v>#NAME?</v>
      </c>
      <c r="U54" t="e">
        <f t="shared" ca="1" si="25"/>
        <v>#NAME?</v>
      </c>
      <c r="V54" t="e">
        <f t="shared" ca="1" si="26"/>
        <v>#NAME?</v>
      </c>
      <c r="W54" t="e">
        <f t="shared" ca="1" si="27"/>
        <v>#NAME?</v>
      </c>
      <c r="X54" t="e">
        <f t="shared" ref="X54:X57" ca="1" si="31">ShiftIndex(H54)</f>
        <v>#NAME?</v>
      </c>
    </row>
    <row r="55" spans="1:26" ht="15" customHeight="1">
      <c r="A55" s="22" t="s">
        <v>107</v>
      </c>
      <c r="B55" s="25"/>
      <c r="C55" s="25"/>
      <c r="D55" s="25" t="s">
        <v>108</v>
      </c>
      <c r="E55" s="25" t="s">
        <v>108</v>
      </c>
      <c r="F55" s="25"/>
      <c r="G55" s="25"/>
      <c r="H55" s="25"/>
      <c r="J55" t="e">
        <f t="shared" ca="1" si="15"/>
        <v>#NAME?</v>
      </c>
      <c r="K55" t="e">
        <f t="shared" ca="1" si="16"/>
        <v>#NAME?</v>
      </c>
      <c r="L55" t="e">
        <f t="shared" ca="1" si="17"/>
        <v>#NAME?</v>
      </c>
      <c r="M55" t="e">
        <f t="shared" ca="1" si="18"/>
        <v>#NAME?</v>
      </c>
      <c r="N55" t="e">
        <f t="shared" ca="1" si="19"/>
        <v>#NAME?</v>
      </c>
      <c r="O55" t="e">
        <f t="shared" ca="1" si="20"/>
        <v>#NAME?</v>
      </c>
      <c r="P55" t="e">
        <f t="shared" ca="1" si="21"/>
        <v>#NAME?</v>
      </c>
      <c r="R55" t="e">
        <f t="shared" ca="1" si="22"/>
        <v>#NAME?</v>
      </c>
      <c r="S55" t="e">
        <f t="shared" ca="1" si="23"/>
        <v>#NAME?</v>
      </c>
      <c r="T55" t="e">
        <f t="shared" ca="1" si="24"/>
        <v>#NAME?</v>
      </c>
      <c r="U55" t="e">
        <f t="shared" ca="1" si="25"/>
        <v>#NAME?</v>
      </c>
      <c r="V55" t="e">
        <f t="shared" ca="1" si="26"/>
        <v>#NAME?</v>
      </c>
      <c r="W55" t="e">
        <f t="shared" ca="1" si="27"/>
        <v>#NAME?</v>
      </c>
      <c r="X55" t="e">
        <f t="shared" ca="1" si="31"/>
        <v>#NAME?</v>
      </c>
    </row>
    <row r="56" spans="1:26" ht="15" customHeight="1">
      <c r="A56" s="22" t="s">
        <v>109</v>
      </c>
      <c r="B56" s="25" t="s">
        <v>108</v>
      </c>
      <c r="C56" s="25"/>
      <c r="D56" s="25" t="s">
        <v>24</v>
      </c>
      <c r="E56" s="25"/>
      <c r="F56" s="25" t="s">
        <v>108</v>
      </c>
      <c r="G56" s="25"/>
      <c r="H56" s="25"/>
      <c r="J56" t="e">
        <f t="shared" ca="1" si="15"/>
        <v>#NAME?</v>
      </c>
      <c r="K56" t="e">
        <f t="shared" ca="1" si="16"/>
        <v>#NAME?</v>
      </c>
      <c r="L56" t="e">
        <f t="shared" ca="1" si="17"/>
        <v>#NAME?</v>
      </c>
      <c r="M56" t="e">
        <f t="shared" ca="1" si="18"/>
        <v>#NAME?</v>
      </c>
      <c r="N56" t="e">
        <f t="shared" ca="1" si="19"/>
        <v>#NAME?</v>
      </c>
      <c r="O56" t="e">
        <f t="shared" ca="1" si="20"/>
        <v>#NAME?</v>
      </c>
      <c r="P56" t="e">
        <f t="shared" ca="1" si="21"/>
        <v>#NAME?</v>
      </c>
      <c r="R56" t="e">
        <f t="shared" ca="1" si="22"/>
        <v>#NAME?</v>
      </c>
      <c r="S56" t="e">
        <f t="shared" ca="1" si="23"/>
        <v>#NAME?</v>
      </c>
      <c r="T56" t="e">
        <f t="shared" ca="1" si="24"/>
        <v>#NAME?</v>
      </c>
      <c r="U56" t="e">
        <f t="shared" ca="1" si="25"/>
        <v>#NAME?</v>
      </c>
      <c r="V56" t="e">
        <f t="shared" ca="1" si="26"/>
        <v>#NAME?</v>
      </c>
      <c r="W56" t="e">
        <f t="shared" ca="1" si="27"/>
        <v>#NAME?</v>
      </c>
      <c r="X56" t="e">
        <f t="shared" ca="1" si="31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 t="s">
        <v>111</v>
      </c>
      <c r="H57" s="25"/>
      <c r="J57" t="e">
        <f t="shared" ca="1" si="15"/>
        <v>#NAME?</v>
      </c>
      <c r="K57" t="e">
        <f t="shared" ca="1" si="16"/>
        <v>#NAME?</v>
      </c>
      <c r="L57" t="e">
        <f t="shared" ca="1" si="17"/>
        <v>#NAME?</v>
      </c>
      <c r="M57" t="e">
        <f t="shared" ca="1" si="18"/>
        <v>#NAME?</v>
      </c>
      <c r="N57" t="e">
        <f t="shared" ca="1" si="19"/>
        <v>#NAME?</v>
      </c>
      <c r="O57" t="e">
        <f t="shared" ca="1" si="20"/>
        <v>#NAME?</v>
      </c>
      <c r="P57" t="e">
        <f t="shared" ca="1" si="21"/>
        <v>#NAME?</v>
      </c>
      <c r="R57" t="e">
        <f t="shared" ca="1" si="22"/>
        <v>#NAME?</v>
      </c>
      <c r="S57" t="e">
        <f t="shared" ca="1" si="23"/>
        <v>#NAME?</v>
      </c>
      <c r="T57" t="e">
        <f t="shared" ca="1" si="24"/>
        <v>#NAME?</v>
      </c>
      <c r="U57" t="e">
        <f t="shared" ca="1" si="25"/>
        <v>#NAME?</v>
      </c>
      <c r="V57" t="e">
        <f t="shared" ca="1" si="26"/>
        <v>#NAME?</v>
      </c>
      <c r="W57" t="e">
        <f t="shared" ca="1" si="27"/>
        <v>#NAME?</v>
      </c>
      <c r="X57" t="e">
        <f t="shared" ca="1" si="31"/>
        <v>#NAME?</v>
      </c>
    </row>
    <row r="58" spans="1:26" ht="15" customHeight="1">
      <c r="A58" s="22" t="s">
        <v>112</v>
      </c>
      <c r="B58" s="25"/>
      <c r="C58" s="25"/>
      <c r="D58" s="25"/>
      <c r="E58" s="25"/>
      <c r="F58" s="25"/>
      <c r="G58" s="25"/>
      <c r="H58" s="25" t="s">
        <v>111</v>
      </c>
      <c r="J58" t="e">
        <f t="shared" ref="J58" ca="1" si="32">colorindex(B58)</f>
        <v>#NAME?</v>
      </c>
      <c r="K58" t="e">
        <f t="shared" ref="K58" ca="1" si="33">colorindex(C58)</f>
        <v>#NAME?</v>
      </c>
      <c r="L58" t="e">
        <f t="shared" ref="L58" ca="1" si="34">colorindex(D58)</f>
        <v>#NAME?</v>
      </c>
      <c r="M58" t="e">
        <f t="shared" ref="M58" ca="1" si="35">colorindex(E58)</f>
        <v>#NAME?</v>
      </c>
      <c r="N58" t="e">
        <f t="shared" ref="N58" ca="1" si="36">colorindex(F58)</f>
        <v>#NAME?</v>
      </c>
      <c r="O58" t="e">
        <f t="shared" ref="O58" ca="1" si="37">colorindex(G58)</f>
        <v>#NAME?</v>
      </c>
      <c r="P58" t="e">
        <f t="shared" ref="P58" ca="1" si="38">colorindex(H58)</f>
        <v>#NAME?</v>
      </c>
      <c r="R58" t="e">
        <f t="shared" ref="R58" ca="1" si="39">ShiftIndex(B58)</f>
        <v>#NAME?</v>
      </c>
      <c r="S58" t="e">
        <f t="shared" ref="S58" ca="1" si="40">ShiftIndex(C58)</f>
        <v>#NAME?</v>
      </c>
      <c r="T58" t="e">
        <f t="shared" ref="T58" ca="1" si="41">ShiftIndex(D58)</f>
        <v>#NAME?</v>
      </c>
      <c r="U58" t="e">
        <f t="shared" ref="U58" ca="1" si="42">ShiftIndex(E58)</f>
        <v>#NAME?</v>
      </c>
      <c r="V58" t="e">
        <f t="shared" ref="V58" ca="1" si="43">ShiftIndex(F58)</f>
        <v>#NAME?</v>
      </c>
      <c r="W58" t="e">
        <f t="shared" ref="W58" ca="1" si="44">ShiftIndex(G58)</f>
        <v>#NAME?</v>
      </c>
      <c r="X58" t="e">
        <f t="shared" ref="X58" ca="1" si="45">ShiftIndex(H58)</f>
        <v>#NAME?</v>
      </c>
    </row>
    <row r="59" spans="1:26" ht="15" customHeight="1">
      <c r="A59" s="106" t="s">
        <v>113</v>
      </c>
      <c r="B59" s="107" t="s">
        <v>100</v>
      </c>
      <c r="C59" s="107" t="s">
        <v>101</v>
      </c>
      <c r="D59" s="107" t="s">
        <v>102</v>
      </c>
      <c r="E59" s="107" t="s">
        <v>103</v>
      </c>
      <c r="F59" s="107" t="s">
        <v>104</v>
      </c>
      <c r="G59" s="107" t="s">
        <v>105</v>
      </c>
      <c r="H59" s="107" t="s">
        <v>106</v>
      </c>
      <c r="J59" t="e">
        <f t="shared" ca="1" si="15"/>
        <v>#NAME?</v>
      </c>
      <c r="K59" t="e">
        <f t="shared" ca="1" si="16"/>
        <v>#NAME?</v>
      </c>
      <c r="L59" t="e">
        <f t="shared" ca="1" si="17"/>
        <v>#NAME?</v>
      </c>
      <c r="M59" t="e">
        <f t="shared" ca="1" si="18"/>
        <v>#NAME?</v>
      </c>
      <c r="N59" t="e">
        <f t="shared" ca="1" si="19"/>
        <v>#NAME?</v>
      </c>
      <c r="O59" t="e">
        <f t="shared" ca="1" si="20"/>
        <v>#NAME?</v>
      </c>
      <c r="P59" t="e">
        <f t="shared" ca="1" si="21"/>
        <v>#NAME?</v>
      </c>
      <c r="R59" t="e">
        <f t="shared" ca="1" si="22"/>
        <v>#NAME?</v>
      </c>
      <c r="S59" t="e">
        <f t="shared" ca="1" si="23"/>
        <v>#NAME?</v>
      </c>
      <c r="T59" t="e">
        <f t="shared" ca="1" si="24"/>
        <v>#NAME?</v>
      </c>
      <c r="U59" t="e">
        <f t="shared" ca="1" si="25"/>
        <v>#NAME?</v>
      </c>
      <c r="V59" t="e">
        <f t="shared" ca="1" si="26"/>
        <v>#NAME?</v>
      </c>
      <c r="W59" t="e">
        <f t="shared" ca="1" si="27"/>
        <v>#NAME?</v>
      </c>
      <c r="X59" t="e">
        <f t="shared" ref="X59:X73" ca="1" si="46">ShiftIndex(H59)</f>
        <v>#NAME?</v>
      </c>
    </row>
    <row r="60" spans="1:26" ht="15" customHeight="1">
      <c r="A60" s="22" t="s">
        <v>114</v>
      </c>
      <c r="B60" s="28" t="s">
        <v>115</v>
      </c>
      <c r="C60" s="120" t="s">
        <v>116</v>
      </c>
      <c r="D60" s="25"/>
      <c r="E60" s="25"/>
      <c r="F60" s="25"/>
      <c r="G60" s="28" t="s">
        <v>115</v>
      </c>
      <c r="H60" s="121" t="s">
        <v>116</v>
      </c>
      <c r="J60" t="e">
        <f t="shared" ca="1" si="15"/>
        <v>#NAME?</v>
      </c>
      <c r="K60" t="e">
        <f t="shared" ca="1" si="16"/>
        <v>#NAME?</v>
      </c>
      <c r="L60" t="e">
        <f t="shared" ca="1" si="17"/>
        <v>#NAME?</v>
      </c>
      <c r="M60" t="e">
        <f t="shared" ca="1" si="18"/>
        <v>#NAME?</v>
      </c>
      <c r="N60" t="e">
        <f t="shared" ca="1" si="19"/>
        <v>#NAME?</v>
      </c>
      <c r="O60" t="e">
        <f t="shared" ca="1" si="20"/>
        <v>#NAME?</v>
      </c>
      <c r="P60" t="e">
        <f t="shared" ca="1" si="21"/>
        <v>#NAME?</v>
      </c>
      <c r="R60" t="e">
        <f t="shared" ca="1" si="22"/>
        <v>#NAME?</v>
      </c>
      <c r="S60" t="e">
        <f t="shared" ca="1" si="23"/>
        <v>#NAME?</v>
      </c>
      <c r="T60" t="e">
        <f t="shared" ca="1" si="24"/>
        <v>#NAME?</v>
      </c>
      <c r="U60" t="e">
        <f t="shared" ca="1" si="25"/>
        <v>#NAME?</v>
      </c>
      <c r="V60" t="e">
        <f t="shared" ca="1" si="26"/>
        <v>#NAME?</v>
      </c>
      <c r="W60" t="e">
        <f t="shared" ca="1" si="27"/>
        <v>#NAME?</v>
      </c>
      <c r="X60" t="e">
        <f t="shared" ca="1" si="46"/>
        <v>#NAME?</v>
      </c>
      <c r="Z60" s="15">
        <v>1</v>
      </c>
    </row>
    <row r="61" spans="1:26" ht="15" customHeight="1">
      <c r="A61" s="22" t="s">
        <v>117</v>
      </c>
      <c r="B61" s="25"/>
      <c r="C61" s="121" t="s">
        <v>118</v>
      </c>
      <c r="D61" s="28" t="s">
        <v>119</v>
      </c>
      <c r="E61" s="121" t="s">
        <v>116</v>
      </c>
      <c r="F61" s="28" t="s">
        <v>115</v>
      </c>
      <c r="G61" s="25"/>
      <c r="H61" s="25"/>
      <c r="J61" t="e">
        <f t="shared" ca="1" si="15"/>
        <v>#NAME?</v>
      </c>
      <c r="K61" t="e">
        <f t="shared" ca="1" si="16"/>
        <v>#NAME?</v>
      </c>
      <c r="L61" t="e">
        <f t="shared" ca="1" si="17"/>
        <v>#NAME?</v>
      </c>
      <c r="M61" t="e">
        <f t="shared" ca="1" si="18"/>
        <v>#NAME?</v>
      </c>
      <c r="N61" t="e">
        <f t="shared" ca="1" si="19"/>
        <v>#NAME?</v>
      </c>
      <c r="O61" t="e">
        <f t="shared" ca="1" si="20"/>
        <v>#NAME?</v>
      </c>
      <c r="P61" t="e">
        <f t="shared" ca="1" si="21"/>
        <v>#NAME?</v>
      </c>
      <c r="R61" t="e">
        <f t="shared" ca="1" si="22"/>
        <v>#NAME?</v>
      </c>
      <c r="S61" t="e">
        <f t="shared" ca="1" si="23"/>
        <v>#NAME?</v>
      </c>
      <c r="T61" t="e">
        <f t="shared" ca="1" si="24"/>
        <v>#NAME?</v>
      </c>
      <c r="U61" t="e">
        <f t="shared" ca="1" si="25"/>
        <v>#NAME?</v>
      </c>
      <c r="V61" t="e">
        <f t="shared" ca="1" si="26"/>
        <v>#NAME?</v>
      </c>
      <c r="W61" t="e">
        <f t="shared" ca="1" si="27"/>
        <v>#NAME?</v>
      </c>
      <c r="X61" t="e">
        <f t="shared" ca="1" si="46"/>
        <v>#NAME?</v>
      </c>
      <c r="Z61" s="15">
        <v>1</v>
      </c>
    </row>
    <row r="62" spans="1:26" ht="15" customHeight="1">
      <c r="A62" s="22" t="s">
        <v>120</v>
      </c>
      <c r="B62" s="25"/>
      <c r="C62" s="25"/>
      <c r="D62" s="25"/>
      <c r="E62" s="25"/>
      <c r="F62" s="25"/>
      <c r="G62" s="25"/>
      <c r="H62" s="25"/>
      <c r="J62" t="e">
        <f t="shared" ca="1" si="15"/>
        <v>#NAME?</v>
      </c>
      <c r="K62" t="e">
        <f t="shared" ca="1" si="16"/>
        <v>#NAME?</v>
      </c>
      <c r="L62" t="e">
        <f t="shared" ca="1" si="17"/>
        <v>#NAME?</v>
      </c>
      <c r="M62" t="e">
        <f t="shared" ca="1" si="18"/>
        <v>#NAME?</v>
      </c>
      <c r="N62" t="e">
        <f t="shared" ca="1" si="19"/>
        <v>#NAME?</v>
      </c>
      <c r="O62" t="e">
        <f t="shared" ca="1" si="20"/>
        <v>#NAME?</v>
      </c>
      <c r="P62" t="e">
        <f t="shared" ca="1" si="21"/>
        <v>#NAME?</v>
      </c>
      <c r="R62" t="e">
        <f t="shared" ca="1" si="22"/>
        <v>#NAME?</v>
      </c>
      <c r="S62" t="e">
        <f t="shared" ca="1" si="23"/>
        <v>#NAME?</v>
      </c>
      <c r="T62" t="e">
        <f t="shared" ca="1" si="24"/>
        <v>#NAME?</v>
      </c>
      <c r="U62" t="e">
        <f t="shared" ca="1" si="25"/>
        <v>#NAME?</v>
      </c>
      <c r="V62" t="e">
        <f t="shared" ca="1" si="26"/>
        <v>#NAME?</v>
      </c>
      <c r="W62" t="e">
        <f t="shared" ca="1" si="27"/>
        <v>#NAME?</v>
      </c>
      <c r="X62" t="e">
        <f t="shared" ca="1" si="46"/>
        <v>#NAME?</v>
      </c>
      <c r="Z62" s="15">
        <v>0.25</v>
      </c>
    </row>
    <row r="63" spans="1:26" ht="15" customHeight="1">
      <c r="A63" s="22" t="s">
        <v>121</v>
      </c>
      <c r="B63" s="120" t="s">
        <v>122</v>
      </c>
      <c r="C63" s="121" t="s">
        <v>122</v>
      </c>
      <c r="D63" s="25"/>
      <c r="E63" s="25"/>
      <c r="F63" s="25"/>
      <c r="G63" s="25" t="s">
        <v>123</v>
      </c>
      <c r="H63" s="25" t="s">
        <v>123</v>
      </c>
      <c r="J63" t="e">
        <f t="shared" ca="1" si="15"/>
        <v>#NAME?</v>
      </c>
      <c r="K63" t="e">
        <f t="shared" ca="1" si="16"/>
        <v>#NAME?</v>
      </c>
      <c r="L63" t="e">
        <f t="shared" ca="1" si="17"/>
        <v>#NAME?</v>
      </c>
      <c r="M63" t="e">
        <f t="shared" ca="1" si="18"/>
        <v>#NAME?</v>
      </c>
      <c r="N63" t="e">
        <f t="shared" ca="1" si="19"/>
        <v>#NAME?</v>
      </c>
      <c r="O63" t="e">
        <f t="shared" ca="1" si="20"/>
        <v>#NAME?</v>
      </c>
      <c r="P63" t="e">
        <f t="shared" ca="1" si="21"/>
        <v>#NAME?</v>
      </c>
      <c r="R63" t="e">
        <f t="shared" ca="1" si="22"/>
        <v>#NAME?</v>
      </c>
      <c r="S63" t="e">
        <f t="shared" ca="1" si="23"/>
        <v>#NAME?</v>
      </c>
      <c r="T63" t="e">
        <f t="shared" ca="1" si="24"/>
        <v>#NAME?</v>
      </c>
      <c r="U63" t="e">
        <f t="shared" ca="1" si="25"/>
        <v>#NAME?</v>
      </c>
      <c r="V63" t="e">
        <f t="shared" ca="1" si="26"/>
        <v>#NAME?</v>
      </c>
      <c r="W63" t="e">
        <f t="shared" ca="1" si="27"/>
        <v>#NAME?</v>
      </c>
      <c r="X63" t="e">
        <f t="shared" ca="1" si="46"/>
        <v>#NAME?</v>
      </c>
      <c r="Z63" s="15">
        <v>0.5</v>
      </c>
    </row>
    <row r="64" spans="1:26" ht="15" customHeight="1">
      <c r="A64" s="106" t="s">
        <v>124</v>
      </c>
      <c r="B64" s="107" t="str">
        <f>B59</f>
        <v>Mon 4 May</v>
      </c>
      <c r="C64" s="107" t="str">
        <f t="shared" ref="C64:H64" si="47">C59</f>
        <v>Tues 5 May</v>
      </c>
      <c r="D64" s="107" t="str">
        <f t="shared" si="47"/>
        <v>Wed 6 May</v>
      </c>
      <c r="E64" s="107" t="str">
        <f t="shared" si="47"/>
        <v>Thu 7 May</v>
      </c>
      <c r="F64" s="107" t="str">
        <f t="shared" si="47"/>
        <v>Fri 8 May</v>
      </c>
      <c r="G64" s="107" t="str">
        <f t="shared" si="47"/>
        <v>Sat 9 May</v>
      </c>
      <c r="H64" s="107" t="str">
        <f t="shared" si="47"/>
        <v>Sun 10 May</v>
      </c>
      <c r="J64" t="e">
        <f t="shared" ca="1" si="15"/>
        <v>#NAME?</v>
      </c>
      <c r="K64" t="e">
        <f t="shared" ca="1" si="16"/>
        <v>#NAME?</v>
      </c>
      <c r="L64" t="e">
        <f t="shared" ca="1" si="17"/>
        <v>#NAME?</v>
      </c>
      <c r="M64" t="e">
        <f t="shared" ca="1" si="18"/>
        <v>#NAME?</v>
      </c>
      <c r="N64" t="e">
        <f t="shared" ca="1" si="19"/>
        <v>#NAME?</v>
      </c>
      <c r="O64" t="e">
        <f t="shared" ca="1" si="20"/>
        <v>#NAME?</v>
      </c>
      <c r="P64" t="e">
        <f t="shared" ca="1" si="21"/>
        <v>#NAME?</v>
      </c>
      <c r="R64" t="e">
        <f t="shared" ca="1" si="22"/>
        <v>#NAME?</v>
      </c>
      <c r="S64" t="e">
        <f t="shared" ca="1" si="23"/>
        <v>#NAME?</v>
      </c>
      <c r="T64" t="e">
        <f t="shared" ca="1" si="24"/>
        <v>#NAME?</v>
      </c>
      <c r="U64" t="e">
        <f t="shared" ca="1" si="25"/>
        <v>#NAME?</v>
      </c>
      <c r="V64" t="e">
        <f t="shared" ca="1" si="26"/>
        <v>#NAME?</v>
      </c>
      <c r="W64" t="e">
        <f t="shared" ca="1" si="27"/>
        <v>#NAME?</v>
      </c>
      <c r="X64" t="e">
        <f t="shared" ca="1" si="46"/>
        <v>#NAME?</v>
      </c>
      <c r="Z64" s="53">
        <f>SUM(Z60:Z63)</f>
        <v>2.75</v>
      </c>
    </row>
    <row r="65" spans="1:26" ht="15" customHeight="1">
      <c r="A65" s="22" t="s">
        <v>125</v>
      </c>
      <c r="B65" s="121" t="s">
        <v>126</v>
      </c>
      <c r="C65" s="25"/>
      <c r="D65" s="25"/>
      <c r="E65" s="25" t="s">
        <v>127</v>
      </c>
      <c r="F65" s="120" t="s">
        <v>118</v>
      </c>
      <c r="G65" s="28" t="s">
        <v>119</v>
      </c>
      <c r="H65" s="28" t="s">
        <v>119</v>
      </c>
      <c r="J65" t="e">
        <f t="shared" ca="1" si="15"/>
        <v>#NAME?</v>
      </c>
      <c r="K65" t="e">
        <f t="shared" ca="1" si="16"/>
        <v>#NAME?</v>
      </c>
      <c r="L65" t="e">
        <f t="shared" ca="1" si="17"/>
        <v>#NAME?</v>
      </c>
      <c r="M65" t="e">
        <f t="shared" ca="1" si="18"/>
        <v>#NAME?</v>
      </c>
      <c r="N65" t="e">
        <f t="shared" ca="1" si="19"/>
        <v>#NAME?</v>
      </c>
      <c r="O65" t="e">
        <f t="shared" ca="1" si="20"/>
        <v>#NAME?</v>
      </c>
      <c r="P65" t="e">
        <f t="shared" ca="1" si="21"/>
        <v>#NAME?</v>
      </c>
      <c r="R65" t="e">
        <f t="shared" ca="1" si="22"/>
        <v>#NAME?</v>
      </c>
      <c r="S65" t="e">
        <f t="shared" ca="1" si="23"/>
        <v>#NAME?</v>
      </c>
      <c r="T65" t="e">
        <f t="shared" ca="1" si="24"/>
        <v>#NAME?</v>
      </c>
      <c r="U65" t="e">
        <f t="shared" ca="1" si="25"/>
        <v>#NAME?</v>
      </c>
      <c r="V65" t="e">
        <f t="shared" ca="1" si="26"/>
        <v>#NAME?</v>
      </c>
      <c r="W65" t="e">
        <f t="shared" ca="1" si="27"/>
        <v>#NAME?</v>
      </c>
      <c r="X65" t="e">
        <f t="shared" ca="1" si="46"/>
        <v>#NAME?</v>
      </c>
      <c r="Z65" s="15">
        <v>1</v>
      </c>
    </row>
    <row r="66" spans="1:26" ht="15" customHeight="1">
      <c r="A66" s="22" t="s">
        <v>128</v>
      </c>
      <c r="B66" s="25"/>
      <c r="C66" s="28" t="s">
        <v>119</v>
      </c>
      <c r="D66" s="25"/>
      <c r="E66" s="25"/>
      <c r="F66" s="25"/>
      <c r="G66" s="25"/>
      <c r="H66" s="25"/>
      <c r="J66" t="e">
        <f t="shared" ca="1" si="15"/>
        <v>#NAME?</v>
      </c>
      <c r="K66" t="e">
        <f t="shared" ca="1" si="16"/>
        <v>#NAME?</v>
      </c>
      <c r="L66" t="e">
        <f t="shared" ca="1" si="17"/>
        <v>#NAME?</v>
      </c>
      <c r="M66" t="e">
        <f t="shared" ca="1" si="18"/>
        <v>#NAME?</v>
      </c>
      <c r="N66" t="e">
        <f t="shared" ca="1" si="19"/>
        <v>#NAME?</v>
      </c>
      <c r="O66" t="e">
        <f t="shared" ca="1" si="20"/>
        <v>#NAME?</v>
      </c>
      <c r="P66" t="e">
        <f t="shared" ca="1" si="21"/>
        <v>#NAME?</v>
      </c>
      <c r="R66" t="e">
        <f t="shared" ca="1" si="22"/>
        <v>#NAME?</v>
      </c>
      <c r="S66" t="e">
        <f t="shared" ca="1" si="23"/>
        <v>#NAME?</v>
      </c>
      <c r="T66" t="e">
        <f t="shared" ca="1" si="24"/>
        <v>#NAME?</v>
      </c>
      <c r="U66" t="e">
        <f t="shared" ca="1" si="25"/>
        <v>#NAME?</v>
      </c>
      <c r="V66" t="e">
        <f t="shared" ca="1" si="26"/>
        <v>#NAME?</v>
      </c>
      <c r="W66" t="e">
        <f t="shared" ca="1" si="27"/>
        <v>#NAME?</v>
      </c>
      <c r="X66" t="e">
        <f t="shared" ca="1" si="46"/>
        <v>#NAME?</v>
      </c>
      <c r="Z66" s="15">
        <v>0.25</v>
      </c>
    </row>
    <row r="67" spans="1:26" ht="15" customHeight="1">
      <c r="A67" s="22" t="s">
        <v>129</v>
      </c>
      <c r="B67" s="120" t="s">
        <v>118</v>
      </c>
      <c r="C67" s="25"/>
      <c r="D67" s="121" t="s">
        <v>118</v>
      </c>
      <c r="E67" s="25"/>
      <c r="F67" s="25"/>
      <c r="G67" s="25"/>
      <c r="H67" s="25"/>
      <c r="J67" t="e">
        <f t="shared" ca="1" si="15"/>
        <v>#NAME?</v>
      </c>
      <c r="K67" t="e">
        <f t="shared" ca="1" si="16"/>
        <v>#NAME?</v>
      </c>
      <c r="L67" t="e">
        <f t="shared" ca="1" si="17"/>
        <v>#NAME?</v>
      </c>
      <c r="M67" t="e">
        <f t="shared" ca="1" si="18"/>
        <v>#NAME?</v>
      </c>
      <c r="N67" t="e">
        <f t="shared" ca="1" si="19"/>
        <v>#NAME?</v>
      </c>
      <c r="O67" t="e">
        <f t="shared" ca="1" si="20"/>
        <v>#NAME?</v>
      </c>
      <c r="P67" t="e">
        <f t="shared" ca="1" si="21"/>
        <v>#NAME?</v>
      </c>
      <c r="R67" t="e">
        <f t="shared" ca="1" si="22"/>
        <v>#NAME?</v>
      </c>
      <c r="S67" t="e">
        <f t="shared" ca="1" si="23"/>
        <v>#NAME?</v>
      </c>
      <c r="T67" t="e">
        <f t="shared" ca="1" si="24"/>
        <v>#NAME?</v>
      </c>
      <c r="U67" t="e">
        <f t="shared" ca="1" si="25"/>
        <v>#NAME?</v>
      </c>
      <c r="V67" t="e">
        <f t="shared" ca="1" si="26"/>
        <v>#NAME?</v>
      </c>
      <c r="W67" t="e">
        <f t="shared" ca="1" si="27"/>
        <v>#NAME?</v>
      </c>
      <c r="X67" t="e">
        <f t="shared" ca="1" si="46"/>
        <v>#NAME?</v>
      </c>
      <c r="Z67" s="15">
        <v>0.5</v>
      </c>
    </row>
    <row r="68" spans="1:26" ht="26.25">
      <c r="A68" s="106" t="s">
        <v>130</v>
      </c>
      <c r="B68" s="108" t="s">
        <v>131</v>
      </c>
      <c r="C68" s="107" t="str">
        <f t="shared" ref="C68:H68" si="48">C59</f>
        <v>Tues 5 May</v>
      </c>
      <c r="D68" s="108" t="s">
        <v>132</v>
      </c>
      <c r="E68" s="107" t="str">
        <f t="shared" si="48"/>
        <v>Thu 7 May</v>
      </c>
      <c r="F68" s="107" t="str">
        <f t="shared" si="48"/>
        <v>Fri 8 May</v>
      </c>
      <c r="G68" s="107" t="str">
        <f t="shared" si="48"/>
        <v>Sat 9 May</v>
      </c>
      <c r="H68" s="107" t="str">
        <f t="shared" si="48"/>
        <v>Sun 10 May</v>
      </c>
      <c r="J68" t="e">
        <f t="shared" ca="1" si="15"/>
        <v>#NAME?</v>
      </c>
      <c r="K68" t="e">
        <f t="shared" ca="1" si="16"/>
        <v>#NAME?</v>
      </c>
      <c r="L68" t="e">
        <f t="shared" ca="1" si="17"/>
        <v>#NAME?</v>
      </c>
      <c r="M68" t="e">
        <f t="shared" ca="1" si="18"/>
        <v>#NAME?</v>
      </c>
      <c r="N68" t="e">
        <f t="shared" ca="1" si="19"/>
        <v>#NAME?</v>
      </c>
      <c r="O68" t="e">
        <f t="shared" ca="1" si="20"/>
        <v>#NAME?</v>
      </c>
      <c r="P68" t="e">
        <f t="shared" ca="1" si="21"/>
        <v>#NAME?</v>
      </c>
      <c r="R68" t="e">
        <f t="shared" ca="1" si="22"/>
        <v>#NAME?</v>
      </c>
      <c r="S68" t="e">
        <f t="shared" ca="1" si="23"/>
        <v>#NAME?</v>
      </c>
      <c r="T68" t="e">
        <f t="shared" ca="1" si="24"/>
        <v>#NAME?</v>
      </c>
      <c r="U68" t="e">
        <f t="shared" ca="1" si="25"/>
        <v>#NAME?</v>
      </c>
      <c r="V68" t="e">
        <f t="shared" ca="1" si="26"/>
        <v>#NAME?</v>
      </c>
      <c r="W68" t="e">
        <f t="shared" ca="1" si="27"/>
        <v>#NAME?</v>
      </c>
      <c r="X68" t="e">
        <f t="shared" ca="1" si="46"/>
        <v>#NAME?</v>
      </c>
      <c r="Z68" s="53">
        <f>SUM(Z65:Z67)</f>
        <v>1.75</v>
      </c>
    </row>
    <row r="69" spans="1:26" ht="15" customHeight="1">
      <c r="A69" s="22" t="s">
        <v>133</v>
      </c>
      <c r="B69" s="127" t="s">
        <v>18</v>
      </c>
      <c r="C69" s="128"/>
      <c r="D69" s="128"/>
      <c r="E69" s="128"/>
      <c r="F69" s="128"/>
      <c r="G69" s="128"/>
      <c r="H69" s="129" t="s">
        <v>134</v>
      </c>
      <c r="J69" t="e">
        <f t="shared" ca="1" si="15"/>
        <v>#NAME?</v>
      </c>
      <c r="K69" t="e">
        <f t="shared" ca="1" si="16"/>
        <v>#NAME?</v>
      </c>
      <c r="L69" t="e">
        <f t="shared" ca="1" si="17"/>
        <v>#NAME?</v>
      </c>
      <c r="M69" t="e">
        <f t="shared" ca="1" si="18"/>
        <v>#NAME?</v>
      </c>
      <c r="N69" t="e">
        <f t="shared" ca="1" si="19"/>
        <v>#NAME?</v>
      </c>
      <c r="O69" t="e">
        <f t="shared" ca="1" si="20"/>
        <v>#NAME?</v>
      </c>
      <c r="P69" t="e">
        <f t="shared" ca="1" si="21"/>
        <v>#NAME?</v>
      </c>
      <c r="R69" t="e">
        <f t="shared" ca="1" si="22"/>
        <v>#NAME?</v>
      </c>
      <c r="S69" t="e">
        <f t="shared" ca="1" si="23"/>
        <v>#NAME?</v>
      </c>
      <c r="T69" t="e">
        <f t="shared" ca="1" si="24"/>
        <v>#NAME?</v>
      </c>
      <c r="U69" t="e">
        <f t="shared" ca="1" si="25"/>
        <v>#NAME?</v>
      </c>
      <c r="V69" t="e">
        <f t="shared" ca="1" si="26"/>
        <v>#NAME?</v>
      </c>
      <c r="W69" t="e">
        <f t="shared" ca="1" si="27"/>
        <v>#NAME?</v>
      </c>
      <c r="X69" t="e">
        <f t="shared" ca="1" si="46"/>
        <v>#NAME?</v>
      </c>
      <c r="Z69" s="15">
        <v>0.5</v>
      </c>
    </row>
    <row r="70" spans="1:26" ht="14.45" customHeight="1">
      <c r="A70" s="22" t="s">
        <v>135</v>
      </c>
      <c r="B70" s="127" t="s">
        <v>18</v>
      </c>
      <c r="C70" s="128"/>
      <c r="D70" s="128"/>
      <c r="E70" s="128"/>
      <c r="F70" s="128"/>
      <c r="G70" s="128"/>
      <c r="H70" s="129" t="s">
        <v>134</v>
      </c>
      <c r="J70" t="e">
        <f t="shared" ref="J70:J133" ca="1" si="49">colorindex(B70)</f>
        <v>#NAME?</v>
      </c>
      <c r="K70" t="e">
        <f t="shared" ref="K70:K133" ca="1" si="50">colorindex(C70)</f>
        <v>#NAME?</v>
      </c>
      <c r="L70" t="e">
        <f t="shared" ref="L70:L133" ca="1" si="51">colorindex(D70)</f>
        <v>#NAME?</v>
      </c>
      <c r="M70" t="e">
        <f t="shared" ref="M70:M133" ca="1" si="52">colorindex(E70)</f>
        <v>#NAME?</v>
      </c>
      <c r="N70" t="e">
        <f t="shared" ref="N70:N133" ca="1" si="53">colorindex(F70)</f>
        <v>#NAME?</v>
      </c>
      <c r="O70" t="e">
        <f t="shared" ref="O70:O133" ca="1" si="54">colorindex(G70)</f>
        <v>#NAME?</v>
      </c>
      <c r="P70" t="e">
        <f t="shared" ref="P70:P133" ca="1" si="55">colorindex(H70)</f>
        <v>#NAME?</v>
      </c>
      <c r="R70" t="e">
        <f t="shared" ref="R70:R133" ca="1" si="56">ShiftIndex(B70)</f>
        <v>#NAME?</v>
      </c>
      <c r="S70" t="e">
        <f t="shared" ref="S70:S133" ca="1" si="57">ShiftIndex(C70)</f>
        <v>#NAME?</v>
      </c>
      <c r="T70" t="e">
        <f t="shared" ref="T70:T133" ca="1" si="58">ShiftIndex(D70)</f>
        <v>#NAME?</v>
      </c>
      <c r="U70" t="e">
        <f t="shared" ref="U70:U133" ca="1" si="59">ShiftIndex(E70)</f>
        <v>#NAME?</v>
      </c>
      <c r="V70" t="e">
        <f t="shared" ref="V70:V133" ca="1" si="60">ShiftIndex(F70)</f>
        <v>#NAME?</v>
      </c>
      <c r="W70" t="e">
        <f t="shared" ref="W70:W133" ca="1" si="61">ShiftIndex(G70)</f>
        <v>#NAME?</v>
      </c>
      <c r="X70" t="e">
        <f t="shared" ca="1" si="46"/>
        <v>#NAME?</v>
      </c>
      <c r="Z70" s="15">
        <v>0.5</v>
      </c>
    </row>
    <row r="71" spans="1:26" ht="15" customHeight="1">
      <c r="A71" s="22" t="s">
        <v>136</v>
      </c>
      <c r="B71" s="121" t="s">
        <v>116</v>
      </c>
      <c r="C71" s="25" t="s">
        <v>123</v>
      </c>
      <c r="D71" s="25" t="s">
        <v>123</v>
      </c>
      <c r="E71" s="25" t="s">
        <v>123</v>
      </c>
      <c r="F71" s="25" t="s">
        <v>123</v>
      </c>
      <c r="G71" s="25"/>
      <c r="H71" s="25"/>
      <c r="J71" t="e">
        <f t="shared" ca="1" si="49"/>
        <v>#NAME?</v>
      </c>
      <c r="K71" t="e">
        <f t="shared" ca="1" si="50"/>
        <v>#NAME?</v>
      </c>
      <c r="L71" t="e">
        <f t="shared" ca="1" si="51"/>
        <v>#NAME?</v>
      </c>
      <c r="M71" t="e">
        <f t="shared" ca="1" si="52"/>
        <v>#NAME?</v>
      </c>
      <c r="N71" t="e">
        <f t="shared" ca="1" si="53"/>
        <v>#NAME?</v>
      </c>
      <c r="O71" t="e">
        <f t="shared" ca="1" si="54"/>
        <v>#NAME?</v>
      </c>
      <c r="P71" t="e">
        <f t="shared" ca="1" si="55"/>
        <v>#NAME?</v>
      </c>
      <c r="R71" t="e">
        <f t="shared" ca="1" si="56"/>
        <v>#NAME?</v>
      </c>
      <c r="S71" t="e">
        <f t="shared" ca="1" si="57"/>
        <v>#NAME?</v>
      </c>
      <c r="T71" t="e">
        <f t="shared" ca="1" si="58"/>
        <v>#NAME?</v>
      </c>
      <c r="U71" t="e">
        <f t="shared" ca="1" si="59"/>
        <v>#NAME?</v>
      </c>
      <c r="V71" t="e">
        <f t="shared" ca="1" si="60"/>
        <v>#NAME?</v>
      </c>
      <c r="W71" t="e">
        <f t="shared" ca="1" si="61"/>
        <v>#NAME?</v>
      </c>
      <c r="X71" t="e">
        <f t="shared" ca="1" si="46"/>
        <v>#NAME?</v>
      </c>
      <c r="Z71" s="24">
        <v>1</v>
      </c>
    </row>
    <row r="72" spans="1:26" ht="15" customHeight="1">
      <c r="A72" s="22" t="s">
        <v>137</v>
      </c>
      <c r="B72" s="100" t="s">
        <v>138</v>
      </c>
      <c r="C72" s="25"/>
      <c r="D72" s="110" t="s">
        <v>139</v>
      </c>
      <c r="E72" s="28" t="s">
        <v>115</v>
      </c>
      <c r="F72" s="25"/>
      <c r="G72" s="25"/>
      <c r="H72" s="25"/>
      <c r="J72" t="e">
        <f t="shared" ca="1" si="49"/>
        <v>#NAME?</v>
      </c>
      <c r="K72" t="e">
        <f t="shared" ca="1" si="50"/>
        <v>#NAME?</v>
      </c>
      <c r="L72" t="e">
        <f t="shared" ca="1" si="51"/>
        <v>#NAME?</v>
      </c>
      <c r="M72" t="e">
        <f t="shared" ca="1" si="52"/>
        <v>#NAME?</v>
      </c>
      <c r="N72" t="e">
        <f t="shared" ca="1" si="53"/>
        <v>#NAME?</v>
      </c>
      <c r="O72" t="e">
        <f t="shared" ca="1" si="54"/>
        <v>#NAME?</v>
      </c>
      <c r="P72" t="e">
        <f t="shared" ca="1" si="55"/>
        <v>#NAME?</v>
      </c>
      <c r="R72" t="e">
        <f t="shared" ca="1" si="56"/>
        <v>#NAME?</v>
      </c>
      <c r="S72" t="e">
        <f t="shared" ca="1" si="57"/>
        <v>#NAME?</v>
      </c>
      <c r="T72" t="e">
        <f t="shared" ca="1" si="58"/>
        <v>#NAME?</v>
      </c>
      <c r="U72" t="e">
        <f t="shared" ca="1" si="59"/>
        <v>#NAME?</v>
      </c>
      <c r="V72" t="e">
        <f t="shared" ca="1" si="60"/>
        <v>#NAME?</v>
      </c>
      <c r="W72" t="e">
        <f t="shared" ca="1" si="61"/>
        <v>#NAME?</v>
      </c>
      <c r="X72" t="e">
        <f t="shared" ca="1" si="46"/>
        <v>#NAME?</v>
      </c>
      <c r="Z72" s="24">
        <v>1</v>
      </c>
    </row>
    <row r="73" spans="1:26" ht="15" customHeight="1">
      <c r="A73" s="22" t="s">
        <v>140</v>
      </c>
      <c r="B73" s="110" t="s">
        <v>139</v>
      </c>
      <c r="C73" s="25"/>
      <c r="D73" s="25" t="s">
        <v>141</v>
      </c>
      <c r="E73" s="25"/>
      <c r="F73" s="110" t="s">
        <v>142</v>
      </c>
      <c r="G73" s="120" t="s">
        <v>116</v>
      </c>
      <c r="H73" s="28" t="s">
        <v>115</v>
      </c>
      <c r="J73" t="e">
        <f t="shared" ca="1" si="49"/>
        <v>#NAME?</v>
      </c>
      <c r="K73" t="e">
        <f t="shared" ca="1" si="50"/>
        <v>#NAME?</v>
      </c>
      <c r="L73" t="e">
        <f t="shared" ca="1" si="51"/>
        <v>#NAME?</v>
      </c>
      <c r="M73" t="e">
        <f t="shared" ca="1" si="52"/>
        <v>#NAME?</v>
      </c>
      <c r="N73" t="e">
        <f t="shared" ca="1" si="53"/>
        <v>#NAME?</v>
      </c>
      <c r="O73" t="e">
        <f t="shared" ca="1" si="54"/>
        <v>#NAME?</v>
      </c>
      <c r="P73" t="e">
        <f t="shared" ca="1" si="55"/>
        <v>#NAME?</v>
      </c>
      <c r="R73" t="e">
        <f t="shared" ca="1" si="56"/>
        <v>#NAME?</v>
      </c>
      <c r="S73" t="e">
        <f t="shared" ca="1" si="57"/>
        <v>#NAME?</v>
      </c>
      <c r="T73" t="e">
        <f t="shared" ca="1" si="58"/>
        <v>#NAME?</v>
      </c>
      <c r="U73" t="e">
        <f t="shared" ca="1" si="59"/>
        <v>#NAME?</v>
      </c>
      <c r="V73" t="e">
        <f t="shared" ca="1" si="60"/>
        <v>#NAME?</v>
      </c>
      <c r="W73" t="e">
        <f t="shared" ca="1" si="61"/>
        <v>#NAME?</v>
      </c>
      <c r="X73" t="e">
        <f t="shared" ca="1" si="46"/>
        <v>#NAME?</v>
      </c>
      <c r="Z73" s="24">
        <v>1</v>
      </c>
    </row>
    <row r="74" spans="1:26" ht="15" customHeight="1">
      <c r="A74" s="22" t="s">
        <v>143</v>
      </c>
      <c r="B74" s="100" t="s">
        <v>138</v>
      </c>
      <c r="C74" s="25"/>
      <c r="D74" s="28" t="s">
        <v>115</v>
      </c>
      <c r="E74" s="121" t="s">
        <v>116</v>
      </c>
      <c r="F74" s="121" t="s">
        <v>144</v>
      </c>
      <c r="G74" s="25"/>
      <c r="H74" s="25"/>
      <c r="J74" t="e">
        <f t="shared" ca="1" si="49"/>
        <v>#NAME?</v>
      </c>
      <c r="K74" t="e">
        <f t="shared" ca="1" si="50"/>
        <v>#NAME?</v>
      </c>
      <c r="L74" t="e">
        <f t="shared" ca="1" si="51"/>
        <v>#NAME?</v>
      </c>
      <c r="M74" t="e">
        <f t="shared" ca="1" si="52"/>
        <v>#NAME?</v>
      </c>
      <c r="N74" t="e">
        <f t="shared" ca="1" si="53"/>
        <v>#NAME?</v>
      </c>
      <c r="O74" t="e">
        <f t="shared" ca="1" si="54"/>
        <v>#NAME?</v>
      </c>
      <c r="P74" t="e">
        <f t="shared" ca="1" si="55"/>
        <v>#NAME?</v>
      </c>
      <c r="R74" t="e">
        <f t="shared" ca="1" si="56"/>
        <v>#NAME?</v>
      </c>
      <c r="S74" t="e">
        <f t="shared" ca="1" si="57"/>
        <v>#NAME?</v>
      </c>
      <c r="T74" t="e">
        <f t="shared" ca="1" si="58"/>
        <v>#NAME?</v>
      </c>
      <c r="U74" t="e">
        <f t="shared" ca="1" si="59"/>
        <v>#NAME?</v>
      </c>
      <c r="V74" t="e">
        <f t="shared" ca="1" si="60"/>
        <v>#NAME?</v>
      </c>
      <c r="W74" t="e">
        <f t="shared" ca="1" si="61"/>
        <v>#NAME?</v>
      </c>
      <c r="X74" t="e">
        <f t="shared" ref="X74:X75" ca="1" si="62">ShiftIndex(H74)</f>
        <v>#NAME?</v>
      </c>
      <c r="Z74" s="24">
        <v>1</v>
      </c>
    </row>
    <row r="75" spans="1:26" ht="15" customHeight="1">
      <c r="A75" s="22" t="s">
        <v>145</v>
      </c>
      <c r="B75" s="25" t="s">
        <v>123</v>
      </c>
      <c r="C75" s="25"/>
      <c r="D75" s="25" t="s">
        <v>141</v>
      </c>
      <c r="E75" s="25"/>
      <c r="F75" s="109" t="s">
        <v>18</v>
      </c>
      <c r="G75" s="121" t="s">
        <v>118</v>
      </c>
      <c r="H75" s="121" t="s">
        <v>118</v>
      </c>
      <c r="J75" t="e">
        <f t="shared" ca="1" si="49"/>
        <v>#NAME?</v>
      </c>
      <c r="K75" t="e">
        <f t="shared" ca="1" si="50"/>
        <v>#NAME?</v>
      </c>
      <c r="L75" t="e">
        <f t="shared" ca="1" si="51"/>
        <v>#NAME?</v>
      </c>
      <c r="M75" t="e">
        <f t="shared" ca="1" si="52"/>
        <v>#NAME?</v>
      </c>
      <c r="N75" t="e">
        <f t="shared" ca="1" si="53"/>
        <v>#NAME?</v>
      </c>
      <c r="O75" t="e">
        <f t="shared" ca="1" si="54"/>
        <v>#NAME?</v>
      </c>
      <c r="P75" t="e">
        <f t="shared" ca="1" si="55"/>
        <v>#NAME?</v>
      </c>
      <c r="R75" t="e">
        <f t="shared" ca="1" si="56"/>
        <v>#NAME?</v>
      </c>
      <c r="S75" t="e">
        <f t="shared" ca="1" si="57"/>
        <v>#NAME?</v>
      </c>
      <c r="T75" t="e">
        <f t="shared" ca="1" si="58"/>
        <v>#NAME?</v>
      </c>
      <c r="U75" t="e">
        <f t="shared" ca="1" si="59"/>
        <v>#NAME?</v>
      </c>
      <c r="V75" t="e">
        <f t="shared" ca="1" si="60"/>
        <v>#NAME?</v>
      </c>
      <c r="W75" t="e">
        <f t="shared" ca="1" si="61"/>
        <v>#NAME?</v>
      </c>
      <c r="X75" t="e">
        <f t="shared" ca="1" si="62"/>
        <v>#NAME?</v>
      </c>
      <c r="Z75" s="24">
        <v>1</v>
      </c>
    </row>
    <row r="76" spans="1:26" ht="26.25">
      <c r="A76" s="106" t="s">
        <v>146</v>
      </c>
      <c r="B76" s="108" t="s">
        <v>131</v>
      </c>
      <c r="C76" s="107" t="str">
        <f>C68</f>
        <v>Tues 5 May</v>
      </c>
      <c r="D76" s="108" t="s">
        <v>132</v>
      </c>
      <c r="E76" s="107" t="str">
        <f>E68</f>
        <v>Thu 7 May</v>
      </c>
      <c r="F76" s="107" t="str">
        <f>F68</f>
        <v>Fri 8 May</v>
      </c>
      <c r="G76" s="107" t="str">
        <f>G68</f>
        <v>Sat 9 May</v>
      </c>
      <c r="H76" s="107" t="str">
        <f>H68</f>
        <v>Sun 10 May</v>
      </c>
      <c r="J76" t="e">
        <f t="shared" ca="1" si="49"/>
        <v>#NAME?</v>
      </c>
      <c r="K76" t="e">
        <f t="shared" ca="1" si="50"/>
        <v>#NAME?</v>
      </c>
      <c r="L76" t="e">
        <f t="shared" ca="1" si="51"/>
        <v>#NAME?</v>
      </c>
      <c r="M76" t="e">
        <f t="shared" ca="1" si="52"/>
        <v>#NAME?</v>
      </c>
      <c r="N76" t="e">
        <f t="shared" ca="1" si="53"/>
        <v>#NAME?</v>
      </c>
      <c r="O76" t="e">
        <f t="shared" ca="1" si="54"/>
        <v>#NAME?</v>
      </c>
      <c r="P76" t="e">
        <f t="shared" ca="1" si="55"/>
        <v>#NAME?</v>
      </c>
      <c r="R76" t="e">
        <f t="shared" ca="1" si="56"/>
        <v>#NAME?</v>
      </c>
      <c r="S76" t="e">
        <f t="shared" ca="1" si="57"/>
        <v>#NAME?</v>
      </c>
      <c r="T76" t="e">
        <f t="shared" ca="1" si="58"/>
        <v>#NAME?</v>
      </c>
      <c r="U76" t="e">
        <f t="shared" ca="1" si="59"/>
        <v>#NAME?</v>
      </c>
      <c r="V76" t="e">
        <f t="shared" ca="1" si="60"/>
        <v>#NAME?</v>
      </c>
      <c r="W76" t="e">
        <f t="shared" ca="1" si="61"/>
        <v>#NAME?</v>
      </c>
      <c r="X76" t="e">
        <f t="shared" ref="X76:X127" ca="1" si="63">ShiftIndex(H76)</f>
        <v>#NAME?</v>
      </c>
      <c r="Z76" s="53">
        <f>SUM(Z69:Z75)</f>
        <v>6</v>
      </c>
    </row>
    <row r="77" spans="1:26" ht="15" customHeight="1">
      <c r="A77" s="22" t="s">
        <v>147</v>
      </c>
      <c r="B77" s="25" t="s">
        <v>148</v>
      </c>
      <c r="C77" s="25" t="s">
        <v>149</v>
      </c>
      <c r="D77" s="25"/>
      <c r="E77" s="25"/>
      <c r="F77" s="25"/>
      <c r="G77" s="28" t="s">
        <v>115</v>
      </c>
      <c r="H77" s="113" t="s">
        <v>150</v>
      </c>
      <c r="J77" t="e">
        <f t="shared" ca="1" si="49"/>
        <v>#NAME?</v>
      </c>
      <c r="K77" t="e">
        <f t="shared" ca="1" si="50"/>
        <v>#NAME?</v>
      </c>
      <c r="L77" t="e">
        <f t="shared" ca="1" si="51"/>
        <v>#NAME?</v>
      </c>
      <c r="M77" t="e">
        <f t="shared" ca="1" si="52"/>
        <v>#NAME?</v>
      </c>
      <c r="N77" t="e">
        <f t="shared" ca="1" si="53"/>
        <v>#NAME?</v>
      </c>
      <c r="O77" t="e">
        <f t="shared" ca="1" si="54"/>
        <v>#NAME?</v>
      </c>
      <c r="P77" t="e">
        <f t="shared" ca="1" si="55"/>
        <v>#NAME?</v>
      </c>
      <c r="R77" t="e">
        <f t="shared" ca="1" si="56"/>
        <v>#NAME?</v>
      </c>
      <c r="S77" t="e">
        <f t="shared" ca="1" si="57"/>
        <v>#NAME?</v>
      </c>
      <c r="T77" t="e">
        <f t="shared" ca="1" si="58"/>
        <v>#NAME?</v>
      </c>
      <c r="U77" t="e">
        <f t="shared" ca="1" si="59"/>
        <v>#NAME?</v>
      </c>
      <c r="V77" t="e">
        <f t="shared" ca="1" si="60"/>
        <v>#NAME?</v>
      </c>
      <c r="W77" t="e">
        <f t="shared" ca="1" si="61"/>
        <v>#NAME?</v>
      </c>
      <c r="X77" t="e">
        <f t="shared" ref="X77:X98" ca="1" si="64">ShiftIndex(H77)</f>
        <v>#NAME?</v>
      </c>
      <c r="Z77" s="24">
        <v>1</v>
      </c>
    </row>
    <row r="78" spans="1:26">
      <c r="A78" s="22" t="s">
        <v>151</v>
      </c>
      <c r="B78" s="121" t="s">
        <v>116</v>
      </c>
      <c r="C78" s="25"/>
      <c r="D78" s="25" t="s">
        <v>141</v>
      </c>
      <c r="E78" s="25" t="s">
        <v>152</v>
      </c>
      <c r="F78" s="25" t="s">
        <v>152</v>
      </c>
      <c r="G78" s="25" t="s">
        <v>152</v>
      </c>
      <c r="H78" s="25" t="s">
        <v>152</v>
      </c>
      <c r="J78" t="e">
        <f t="shared" ca="1" si="49"/>
        <v>#NAME?</v>
      </c>
      <c r="K78" t="e">
        <f t="shared" ca="1" si="50"/>
        <v>#NAME?</v>
      </c>
      <c r="L78" t="e">
        <f t="shared" ca="1" si="51"/>
        <v>#NAME?</v>
      </c>
      <c r="M78" t="e">
        <f t="shared" ca="1" si="52"/>
        <v>#NAME?</v>
      </c>
      <c r="N78" t="e">
        <f t="shared" ca="1" si="53"/>
        <v>#NAME?</v>
      </c>
      <c r="O78" t="e">
        <f t="shared" ca="1" si="54"/>
        <v>#NAME?</v>
      </c>
      <c r="P78" t="e">
        <f t="shared" ca="1" si="55"/>
        <v>#NAME?</v>
      </c>
      <c r="R78" t="e">
        <f t="shared" ca="1" si="56"/>
        <v>#NAME?</v>
      </c>
      <c r="S78" t="e">
        <f t="shared" ca="1" si="57"/>
        <v>#NAME?</v>
      </c>
      <c r="T78" t="e">
        <f t="shared" ca="1" si="58"/>
        <v>#NAME?</v>
      </c>
      <c r="U78" t="e">
        <f t="shared" ca="1" si="59"/>
        <v>#NAME?</v>
      </c>
      <c r="V78" t="e">
        <f t="shared" ca="1" si="60"/>
        <v>#NAME?</v>
      </c>
      <c r="W78" t="e">
        <f t="shared" ca="1" si="61"/>
        <v>#NAME?</v>
      </c>
      <c r="X78" t="e">
        <f t="shared" ref="X78" ca="1" si="65">ShiftIndex(H78)</f>
        <v>#NAME?</v>
      </c>
      <c r="Z78" s="15">
        <v>1</v>
      </c>
    </row>
    <row r="79" spans="1:26">
      <c r="A79" s="22" t="s">
        <v>153</v>
      </c>
      <c r="B79" s="120" t="s">
        <v>118</v>
      </c>
      <c r="C79" s="25"/>
      <c r="D79" s="25" t="s">
        <v>141</v>
      </c>
      <c r="E79" s="25"/>
      <c r="F79" s="120" t="s">
        <v>116</v>
      </c>
      <c r="G79" s="25"/>
      <c r="H79" s="25"/>
      <c r="J79" t="e">
        <f t="shared" ca="1" si="49"/>
        <v>#NAME?</v>
      </c>
      <c r="K79" t="e">
        <f t="shared" ca="1" si="50"/>
        <v>#NAME?</v>
      </c>
      <c r="L79" t="e">
        <f t="shared" ca="1" si="51"/>
        <v>#NAME?</v>
      </c>
      <c r="M79" t="e">
        <f t="shared" ca="1" si="52"/>
        <v>#NAME?</v>
      </c>
      <c r="N79" t="e">
        <f t="shared" ca="1" si="53"/>
        <v>#NAME?</v>
      </c>
      <c r="O79" t="e">
        <f t="shared" ca="1" si="54"/>
        <v>#NAME?</v>
      </c>
      <c r="P79" t="e">
        <f t="shared" ca="1" si="55"/>
        <v>#NAME?</v>
      </c>
      <c r="R79" t="e">
        <f t="shared" ca="1" si="56"/>
        <v>#NAME?</v>
      </c>
      <c r="S79" t="e">
        <f t="shared" ca="1" si="57"/>
        <v>#NAME?</v>
      </c>
      <c r="T79" t="e">
        <f t="shared" ca="1" si="58"/>
        <v>#NAME?</v>
      </c>
      <c r="U79" t="e">
        <f t="shared" ca="1" si="59"/>
        <v>#NAME?</v>
      </c>
      <c r="V79" t="e">
        <f t="shared" ca="1" si="60"/>
        <v>#NAME?</v>
      </c>
      <c r="W79" t="e">
        <f t="shared" ca="1" si="61"/>
        <v>#NAME?</v>
      </c>
      <c r="X79" t="e">
        <f t="shared" ca="1" si="64"/>
        <v>#NAME?</v>
      </c>
      <c r="Z79" s="15">
        <v>0.5</v>
      </c>
    </row>
    <row r="80" spans="1:26" ht="15" customHeight="1">
      <c r="A80" s="22" t="s">
        <v>154</v>
      </c>
      <c r="B80" s="121" t="s">
        <v>118</v>
      </c>
      <c r="C80" s="25"/>
      <c r="D80" s="25" t="s">
        <v>152</v>
      </c>
      <c r="E80" s="25" t="s">
        <v>152</v>
      </c>
      <c r="F80" s="25" t="s">
        <v>152</v>
      </c>
      <c r="G80" s="25" t="s">
        <v>152</v>
      </c>
      <c r="H80" s="25"/>
      <c r="J80" t="e">
        <f t="shared" ca="1" si="49"/>
        <v>#NAME?</v>
      </c>
      <c r="K80" t="e">
        <f t="shared" ca="1" si="50"/>
        <v>#NAME?</v>
      </c>
      <c r="L80" t="e">
        <f t="shared" ca="1" si="51"/>
        <v>#NAME?</v>
      </c>
      <c r="M80" t="e">
        <f t="shared" ca="1" si="52"/>
        <v>#NAME?</v>
      </c>
      <c r="N80" t="e">
        <f t="shared" ca="1" si="53"/>
        <v>#NAME?</v>
      </c>
      <c r="O80" t="e">
        <f t="shared" ca="1" si="54"/>
        <v>#NAME?</v>
      </c>
      <c r="P80" t="e">
        <f t="shared" ca="1" si="55"/>
        <v>#NAME?</v>
      </c>
      <c r="R80" t="e">
        <f t="shared" ca="1" si="56"/>
        <v>#NAME?</v>
      </c>
      <c r="S80" t="e">
        <f t="shared" ca="1" si="57"/>
        <v>#NAME?</v>
      </c>
      <c r="T80" t="e">
        <f t="shared" ca="1" si="58"/>
        <v>#NAME?</v>
      </c>
      <c r="U80" t="e">
        <f t="shared" ca="1" si="59"/>
        <v>#NAME?</v>
      </c>
      <c r="V80" t="e">
        <f t="shared" ca="1" si="60"/>
        <v>#NAME?</v>
      </c>
      <c r="W80" t="e">
        <f t="shared" ca="1" si="61"/>
        <v>#NAME?</v>
      </c>
      <c r="X80" t="e">
        <f t="shared" ref="X80:X81" ca="1" si="66">ShiftIndex(H80)</f>
        <v>#NAME?</v>
      </c>
      <c r="Z80" s="15">
        <v>1</v>
      </c>
    </row>
    <row r="81" spans="1:26" ht="15" customHeight="1">
      <c r="A81" s="22" t="s">
        <v>155</v>
      </c>
      <c r="B81" s="25"/>
      <c r="C81" s="110" t="s">
        <v>139</v>
      </c>
      <c r="D81" s="25"/>
      <c r="E81" s="120" t="s">
        <v>116</v>
      </c>
      <c r="F81" s="25"/>
      <c r="G81" s="25"/>
      <c r="H81" s="25"/>
      <c r="J81" t="e">
        <f t="shared" ca="1" si="49"/>
        <v>#NAME?</v>
      </c>
      <c r="K81" t="e">
        <f t="shared" ca="1" si="50"/>
        <v>#NAME?</v>
      </c>
      <c r="L81" t="e">
        <f t="shared" ca="1" si="51"/>
        <v>#NAME?</v>
      </c>
      <c r="M81" t="e">
        <f t="shared" ca="1" si="52"/>
        <v>#NAME?</v>
      </c>
      <c r="N81" t="e">
        <f t="shared" ca="1" si="53"/>
        <v>#NAME?</v>
      </c>
      <c r="O81" t="e">
        <f t="shared" ca="1" si="54"/>
        <v>#NAME?</v>
      </c>
      <c r="P81" t="e">
        <f t="shared" ca="1" si="55"/>
        <v>#NAME?</v>
      </c>
      <c r="R81" t="e">
        <f t="shared" ca="1" si="56"/>
        <v>#NAME?</v>
      </c>
      <c r="S81" t="e">
        <f t="shared" ca="1" si="57"/>
        <v>#NAME?</v>
      </c>
      <c r="T81" t="e">
        <f t="shared" ca="1" si="58"/>
        <v>#NAME?</v>
      </c>
      <c r="U81" t="e">
        <f t="shared" ca="1" si="59"/>
        <v>#NAME?</v>
      </c>
      <c r="V81" t="e">
        <f t="shared" ca="1" si="60"/>
        <v>#NAME?</v>
      </c>
      <c r="W81" t="e">
        <f t="shared" ca="1" si="61"/>
        <v>#NAME?</v>
      </c>
      <c r="X81" t="e">
        <f t="shared" ca="1" si="66"/>
        <v>#NAME?</v>
      </c>
      <c r="Z81" s="15">
        <v>0.5</v>
      </c>
    </row>
    <row r="82" spans="1:26" ht="15" customHeight="1">
      <c r="A82" s="22" t="s">
        <v>156</v>
      </c>
      <c r="B82" s="25" t="s">
        <v>152</v>
      </c>
      <c r="C82" s="25" t="s">
        <v>157</v>
      </c>
      <c r="D82" s="25"/>
      <c r="E82" s="25"/>
      <c r="F82" s="25"/>
      <c r="G82" s="110" t="s">
        <v>142</v>
      </c>
      <c r="H82" s="120" t="s">
        <v>116</v>
      </c>
      <c r="J82" t="e">
        <f t="shared" ca="1" si="49"/>
        <v>#NAME?</v>
      </c>
      <c r="K82" t="e">
        <f t="shared" ca="1" si="50"/>
        <v>#NAME?</v>
      </c>
      <c r="L82" t="e">
        <f t="shared" ca="1" si="51"/>
        <v>#NAME?</v>
      </c>
      <c r="M82" t="e">
        <f t="shared" ca="1" si="52"/>
        <v>#NAME?</v>
      </c>
      <c r="N82" t="e">
        <f t="shared" ca="1" si="53"/>
        <v>#NAME?</v>
      </c>
      <c r="O82" t="e">
        <f t="shared" ca="1" si="54"/>
        <v>#NAME?</v>
      </c>
      <c r="P82" t="e">
        <f t="shared" ca="1" si="55"/>
        <v>#NAME?</v>
      </c>
      <c r="R82" t="e">
        <f t="shared" ca="1" si="56"/>
        <v>#NAME?</v>
      </c>
      <c r="S82" t="e">
        <f t="shared" ca="1" si="57"/>
        <v>#NAME?</v>
      </c>
      <c r="T82" t="e">
        <f t="shared" ca="1" si="58"/>
        <v>#NAME?</v>
      </c>
      <c r="U82" t="e">
        <f t="shared" ca="1" si="59"/>
        <v>#NAME?</v>
      </c>
      <c r="V82" t="e">
        <f t="shared" ca="1" si="60"/>
        <v>#NAME?</v>
      </c>
      <c r="W82" t="e">
        <f t="shared" ca="1" si="61"/>
        <v>#NAME?</v>
      </c>
      <c r="X82" t="e">
        <f t="shared" ca="1" si="64"/>
        <v>#NAME?</v>
      </c>
      <c r="Z82" s="15">
        <v>1</v>
      </c>
    </row>
    <row r="83" spans="1:26">
      <c r="A83" s="22" t="s">
        <v>158</v>
      </c>
      <c r="B83" s="100" t="s">
        <v>138</v>
      </c>
      <c r="C83" s="121" t="s">
        <v>118</v>
      </c>
      <c r="D83" s="25" t="s">
        <v>141</v>
      </c>
      <c r="E83" s="121" t="s">
        <v>118</v>
      </c>
      <c r="F83" s="28" t="s">
        <v>119</v>
      </c>
      <c r="G83" s="25"/>
      <c r="H83" s="25"/>
      <c r="J83" t="e">
        <f t="shared" ca="1" si="49"/>
        <v>#NAME?</v>
      </c>
      <c r="K83" t="e">
        <f t="shared" ca="1" si="50"/>
        <v>#NAME?</v>
      </c>
      <c r="L83" t="e">
        <f t="shared" ca="1" si="51"/>
        <v>#NAME?</v>
      </c>
      <c r="M83" t="e">
        <f t="shared" ca="1" si="52"/>
        <v>#NAME?</v>
      </c>
      <c r="N83" t="e">
        <f t="shared" ca="1" si="53"/>
        <v>#NAME?</v>
      </c>
      <c r="O83" t="e">
        <f t="shared" ca="1" si="54"/>
        <v>#NAME?</v>
      </c>
      <c r="P83" t="e">
        <f t="shared" ca="1" si="55"/>
        <v>#NAME?</v>
      </c>
      <c r="R83" t="e">
        <f t="shared" ca="1" si="56"/>
        <v>#NAME?</v>
      </c>
      <c r="S83" t="e">
        <f t="shared" ca="1" si="57"/>
        <v>#NAME?</v>
      </c>
      <c r="T83" t="e">
        <f t="shared" ca="1" si="58"/>
        <v>#NAME?</v>
      </c>
      <c r="U83" t="e">
        <f t="shared" ca="1" si="59"/>
        <v>#NAME?</v>
      </c>
      <c r="V83" t="e">
        <f t="shared" ca="1" si="60"/>
        <v>#NAME?</v>
      </c>
      <c r="W83" t="e">
        <f t="shared" ca="1" si="61"/>
        <v>#NAME?</v>
      </c>
      <c r="X83" t="e">
        <f t="shared" ca="1" si="64"/>
        <v>#NAME?</v>
      </c>
      <c r="Z83" s="15">
        <v>1</v>
      </c>
    </row>
    <row r="84" spans="1:26">
      <c r="A84" s="22" t="s">
        <v>159</v>
      </c>
      <c r="B84" s="100" t="s">
        <v>138</v>
      </c>
      <c r="C84" s="120" t="s">
        <v>118</v>
      </c>
      <c r="D84" s="25" t="s">
        <v>141</v>
      </c>
      <c r="E84" s="28" t="s">
        <v>119</v>
      </c>
      <c r="F84" s="121" t="s">
        <v>118</v>
      </c>
      <c r="G84" s="25"/>
      <c r="H84" s="25"/>
      <c r="J84" t="e">
        <f t="shared" ca="1" si="49"/>
        <v>#NAME?</v>
      </c>
      <c r="K84" t="e">
        <f t="shared" ca="1" si="50"/>
        <v>#NAME?</v>
      </c>
      <c r="L84" t="e">
        <f t="shared" ca="1" si="51"/>
        <v>#NAME?</v>
      </c>
      <c r="M84" t="e">
        <f t="shared" ca="1" si="52"/>
        <v>#NAME?</v>
      </c>
      <c r="N84" t="e">
        <f t="shared" ca="1" si="53"/>
        <v>#NAME?</v>
      </c>
      <c r="O84" t="e">
        <f t="shared" ca="1" si="54"/>
        <v>#NAME?</v>
      </c>
      <c r="P84" t="e">
        <f t="shared" ca="1" si="55"/>
        <v>#NAME?</v>
      </c>
      <c r="R84" t="e">
        <f t="shared" ca="1" si="56"/>
        <v>#NAME?</v>
      </c>
      <c r="S84" t="e">
        <f t="shared" ca="1" si="57"/>
        <v>#NAME?</v>
      </c>
      <c r="T84" t="e">
        <f t="shared" ca="1" si="58"/>
        <v>#NAME?</v>
      </c>
      <c r="U84" t="e">
        <f t="shared" ca="1" si="59"/>
        <v>#NAME?</v>
      </c>
      <c r="V84" t="e">
        <f t="shared" ca="1" si="60"/>
        <v>#NAME?</v>
      </c>
      <c r="W84" t="e">
        <f t="shared" ca="1" si="61"/>
        <v>#NAME?</v>
      </c>
      <c r="X84" t="e">
        <f t="shared" ca="1" si="64"/>
        <v>#NAME?</v>
      </c>
      <c r="Z84" s="15">
        <v>1</v>
      </c>
    </row>
    <row r="85" spans="1:26" ht="15" customHeight="1">
      <c r="A85" s="22" t="s">
        <v>160</v>
      </c>
      <c r="B85" s="28" t="s">
        <v>115</v>
      </c>
      <c r="C85" s="120" t="s">
        <v>116</v>
      </c>
      <c r="D85" s="25" t="s">
        <v>152</v>
      </c>
      <c r="E85" s="25" t="s">
        <v>152</v>
      </c>
      <c r="F85" s="25" t="s">
        <v>152</v>
      </c>
      <c r="G85" s="25"/>
      <c r="H85" s="25"/>
      <c r="J85" t="e">
        <f t="shared" ca="1" si="49"/>
        <v>#NAME?</v>
      </c>
      <c r="K85" t="e">
        <f t="shared" ca="1" si="50"/>
        <v>#NAME?</v>
      </c>
      <c r="L85" t="e">
        <f t="shared" ca="1" si="51"/>
        <v>#NAME?</v>
      </c>
      <c r="M85" t="e">
        <f t="shared" ca="1" si="52"/>
        <v>#NAME?</v>
      </c>
      <c r="N85" t="e">
        <f t="shared" ca="1" si="53"/>
        <v>#NAME?</v>
      </c>
      <c r="O85" t="e">
        <f t="shared" ca="1" si="54"/>
        <v>#NAME?</v>
      </c>
      <c r="P85" t="e">
        <f t="shared" ca="1" si="55"/>
        <v>#NAME?</v>
      </c>
      <c r="R85" t="e">
        <f t="shared" ca="1" si="56"/>
        <v>#NAME?</v>
      </c>
      <c r="S85" t="e">
        <f t="shared" ca="1" si="57"/>
        <v>#NAME?</v>
      </c>
      <c r="T85" t="e">
        <f t="shared" ca="1" si="58"/>
        <v>#NAME?</v>
      </c>
      <c r="U85" t="e">
        <f t="shared" ca="1" si="59"/>
        <v>#NAME?</v>
      </c>
      <c r="V85" t="e">
        <f t="shared" ca="1" si="60"/>
        <v>#NAME?</v>
      </c>
      <c r="W85" t="e">
        <f t="shared" ca="1" si="61"/>
        <v>#NAME?</v>
      </c>
      <c r="X85" t="e">
        <f t="shared" ca="1" si="64"/>
        <v>#NAME?</v>
      </c>
      <c r="Z85" s="15">
        <v>1</v>
      </c>
    </row>
    <row r="86" spans="1:26" ht="15" customHeight="1">
      <c r="A86" s="22" t="s">
        <v>161</v>
      </c>
      <c r="B86" s="25"/>
      <c r="C86" s="25"/>
      <c r="D86" s="25" t="s">
        <v>141</v>
      </c>
      <c r="E86" s="25"/>
      <c r="F86" s="25"/>
      <c r="G86" s="25"/>
      <c r="H86" s="25"/>
      <c r="J86" t="e">
        <f t="shared" ca="1" si="49"/>
        <v>#NAME?</v>
      </c>
      <c r="K86" t="e">
        <f t="shared" ca="1" si="50"/>
        <v>#NAME?</v>
      </c>
      <c r="L86" t="e">
        <f t="shared" ca="1" si="51"/>
        <v>#NAME?</v>
      </c>
      <c r="M86" t="e">
        <f t="shared" ca="1" si="52"/>
        <v>#NAME?</v>
      </c>
      <c r="N86" t="e">
        <f t="shared" ca="1" si="53"/>
        <v>#NAME?</v>
      </c>
      <c r="O86" t="e">
        <f t="shared" ca="1" si="54"/>
        <v>#NAME?</v>
      </c>
      <c r="P86" t="e">
        <f t="shared" ca="1" si="55"/>
        <v>#NAME?</v>
      </c>
      <c r="R86" t="e">
        <f t="shared" ca="1" si="56"/>
        <v>#NAME?</v>
      </c>
      <c r="S86" t="e">
        <f t="shared" ca="1" si="57"/>
        <v>#NAME?</v>
      </c>
      <c r="T86" t="e">
        <f t="shared" ca="1" si="58"/>
        <v>#NAME?</v>
      </c>
      <c r="U86" t="e">
        <f t="shared" ca="1" si="59"/>
        <v>#NAME?</v>
      </c>
      <c r="V86" t="e">
        <f t="shared" ca="1" si="60"/>
        <v>#NAME?</v>
      </c>
      <c r="W86" t="e">
        <f t="shared" ca="1" si="61"/>
        <v>#NAME?</v>
      </c>
      <c r="X86" t="e">
        <f t="shared" ref="X86" ca="1" si="67">ShiftIndex(H86)</f>
        <v>#NAME?</v>
      </c>
      <c r="Z86" s="15">
        <v>0.25</v>
      </c>
    </row>
    <row r="87" spans="1:26" ht="15" customHeight="1">
      <c r="A87" s="22" t="s">
        <v>162</v>
      </c>
      <c r="B87" s="25"/>
      <c r="C87" s="110" t="s">
        <v>142</v>
      </c>
      <c r="D87" s="25" t="s">
        <v>141</v>
      </c>
      <c r="E87" s="25"/>
      <c r="F87" s="110" t="s">
        <v>142</v>
      </c>
      <c r="G87" s="121" t="s">
        <v>118</v>
      </c>
      <c r="H87" s="121" t="s">
        <v>118</v>
      </c>
      <c r="J87" t="e">
        <f t="shared" ca="1" si="49"/>
        <v>#NAME?</v>
      </c>
      <c r="K87" t="e">
        <f t="shared" ca="1" si="50"/>
        <v>#NAME?</v>
      </c>
      <c r="L87" t="e">
        <f t="shared" ca="1" si="51"/>
        <v>#NAME?</v>
      </c>
      <c r="M87" t="e">
        <f t="shared" ca="1" si="52"/>
        <v>#NAME?</v>
      </c>
      <c r="N87" t="e">
        <f t="shared" ca="1" si="53"/>
        <v>#NAME?</v>
      </c>
      <c r="O87" t="e">
        <f t="shared" ca="1" si="54"/>
        <v>#NAME?</v>
      </c>
      <c r="P87" t="e">
        <f t="shared" ca="1" si="55"/>
        <v>#NAME?</v>
      </c>
      <c r="R87" t="e">
        <f t="shared" ca="1" si="56"/>
        <v>#NAME?</v>
      </c>
      <c r="S87" t="e">
        <f t="shared" ca="1" si="57"/>
        <v>#NAME?</v>
      </c>
      <c r="T87" t="e">
        <f t="shared" ca="1" si="58"/>
        <v>#NAME?</v>
      </c>
      <c r="U87" t="e">
        <f t="shared" ca="1" si="59"/>
        <v>#NAME?</v>
      </c>
      <c r="V87" t="e">
        <f t="shared" ca="1" si="60"/>
        <v>#NAME?</v>
      </c>
      <c r="W87" t="e">
        <f t="shared" ca="1" si="61"/>
        <v>#NAME?</v>
      </c>
      <c r="X87" t="e">
        <f t="shared" ca="1" si="64"/>
        <v>#NAME?</v>
      </c>
      <c r="Z87" s="15">
        <v>1</v>
      </c>
    </row>
    <row r="88" spans="1:26" ht="15" customHeight="1">
      <c r="A88" s="22" t="s">
        <v>163</v>
      </c>
      <c r="B88" s="25"/>
      <c r="C88" s="25"/>
      <c r="D88" s="28" t="s">
        <v>115</v>
      </c>
      <c r="E88" s="121" t="s">
        <v>116</v>
      </c>
      <c r="F88" s="28" t="s">
        <v>115</v>
      </c>
      <c r="G88" s="25"/>
      <c r="H88" s="25"/>
      <c r="J88" t="e">
        <f t="shared" ca="1" si="49"/>
        <v>#NAME?</v>
      </c>
      <c r="K88" t="e">
        <f t="shared" ca="1" si="50"/>
        <v>#NAME?</v>
      </c>
      <c r="L88" t="e">
        <f t="shared" ca="1" si="51"/>
        <v>#NAME?</v>
      </c>
      <c r="M88" t="e">
        <f t="shared" ca="1" si="52"/>
        <v>#NAME?</v>
      </c>
      <c r="N88" t="e">
        <f t="shared" ca="1" si="53"/>
        <v>#NAME?</v>
      </c>
      <c r="O88" t="e">
        <f t="shared" ca="1" si="54"/>
        <v>#NAME?</v>
      </c>
      <c r="P88" t="e">
        <f t="shared" ca="1" si="55"/>
        <v>#NAME?</v>
      </c>
      <c r="R88" t="e">
        <f t="shared" ca="1" si="56"/>
        <v>#NAME?</v>
      </c>
      <c r="S88" t="e">
        <f t="shared" ca="1" si="57"/>
        <v>#NAME?</v>
      </c>
      <c r="T88" t="e">
        <f t="shared" ca="1" si="58"/>
        <v>#NAME?</v>
      </c>
      <c r="U88" t="e">
        <f t="shared" ca="1" si="59"/>
        <v>#NAME?</v>
      </c>
      <c r="V88" t="e">
        <f t="shared" ca="1" si="60"/>
        <v>#NAME?</v>
      </c>
      <c r="W88" t="e">
        <f t="shared" ca="1" si="61"/>
        <v>#NAME?</v>
      </c>
      <c r="X88" t="e">
        <f t="shared" ca="1" si="64"/>
        <v>#NAME?</v>
      </c>
      <c r="Z88" s="15">
        <v>1</v>
      </c>
    </row>
    <row r="89" spans="1:26" ht="15" customHeight="1">
      <c r="A89" s="22" t="s">
        <v>164</v>
      </c>
      <c r="B89" s="127" t="s">
        <v>165</v>
      </c>
      <c r="C89" s="128"/>
      <c r="D89" s="128"/>
      <c r="E89" s="128" t="s">
        <v>166</v>
      </c>
      <c r="F89" s="128"/>
      <c r="G89" s="128"/>
      <c r="H89" s="129" t="s">
        <v>166</v>
      </c>
      <c r="J89" t="e">
        <f t="shared" ca="1" si="49"/>
        <v>#NAME?</v>
      </c>
      <c r="K89" t="e">
        <f t="shared" ca="1" si="50"/>
        <v>#NAME?</v>
      </c>
      <c r="L89" t="e">
        <f t="shared" ca="1" si="51"/>
        <v>#NAME?</v>
      </c>
      <c r="M89" t="e">
        <f t="shared" ca="1" si="52"/>
        <v>#NAME?</v>
      </c>
      <c r="N89" t="e">
        <f t="shared" ca="1" si="53"/>
        <v>#NAME?</v>
      </c>
      <c r="O89" t="e">
        <f t="shared" ca="1" si="54"/>
        <v>#NAME?</v>
      </c>
      <c r="P89" t="e">
        <f t="shared" ca="1" si="55"/>
        <v>#NAME?</v>
      </c>
      <c r="R89" t="e">
        <f t="shared" ca="1" si="56"/>
        <v>#NAME?</v>
      </c>
      <c r="S89" t="e">
        <f t="shared" ca="1" si="57"/>
        <v>#NAME?</v>
      </c>
      <c r="T89" t="e">
        <f t="shared" ca="1" si="58"/>
        <v>#NAME?</v>
      </c>
      <c r="U89" t="e">
        <f t="shared" ca="1" si="59"/>
        <v>#NAME?</v>
      </c>
      <c r="V89" t="e">
        <f t="shared" ca="1" si="60"/>
        <v>#NAME?</v>
      </c>
      <c r="W89" t="e">
        <f t="shared" ca="1" si="61"/>
        <v>#NAME?</v>
      </c>
      <c r="X89" t="e">
        <f t="shared" ref="X89:X97" ca="1" si="68">ShiftIndex(H89)</f>
        <v>#NAME?</v>
      </c>
      <c r="Z89" s="15">
        <v>0.75</v>
      </c>
    </row>
    <row r="90" spans="1:26" ht="15" customHeight="1">
      <c r="A90" s="22" t="s">
        <v>167</v>
      </c>
      <c r="B90" s="25"/>
      <c r="C90" s="25"/>
      <c r="D90" s="25" t="s">
        <v>141</v>
      </c>
      <c r="E90" s="25"/>
      <c r="F90" s="120" t="s">
        <v>116</v>
      </c>
      <c r="G90" s="25" t="s">
        <v>152</v>
      </c>
      <c r="H90" s="25" t="s">
        <v>152</v>
      </c>
      <c r="J90" t="e">
        <f t="shared" ca="1" si="49"/>
        <v>#NAME?</v>
      </c>
      <c r="K90" t="e">
        <f t="shared" ca="1" si="50"/>
        <v>#NAME?</v>
      </c>
      <c r="L90" t="e">
        <f t="shared" ca="1" si="51"/>
        <v>#NAME?</v>
      </c>
      <c r="M90" t="e">
        <f t="shared" ca="1" si="52"/>
        <v>#NAME?</v>
      </c>
      <c r="N90" t="e">
        <f t="shared" ca="1" si="53"/>
        <v>#NAME?</v>
      </c>
      <c r="O90" t="e">
        <f t="shared" ca="1" si="54"/>
        <v>#NAME?</v>
      </c>
      <c r="P90" t="e">
        <f t="shared" ca="1" si="55"/>
        <v>#NAME?</v>
      </c>
      <c r="R90" t="e">
        <f t="shared" ca="1" si="56"/>
        <v>#NAME?</v>
      </c>
      <c r="S90" t="e">
        <f t="shared" ca="1" si="57"/>
        <v>#NAME?</v>
      </c>
      <c r="T90" t="e">
        <f t="shared" ca="1" si="58"/>
        <v>#NAME?</v>
      </c>
      <c r="U90" t="e">
        <f t="shared" ca="1" si="59"/>
        <v>#NAME?</v>
      </c>
      <c r="V90" t="e">
        <f t="shared" ca="1" si="60"/>
        <v>#NAME?</v>
      </c>
      <c r="W90" t="e">
        <f t="shared" ca="1" si="61"/>
        <v>#NAME?</v>
      </c>
      <c r="X90" t="e">
        <f t="shared" ca="1" si="68"/>
        <v>#NAME?</v>
      </c>
      <c r="Z90" s="15">
        <v>0.75</v>
      </c>
    </row>
    <row r="91" spans="1:26" ht="15" customHeight="1">
      <c r="A91" s="22" t="s">
        <v>168</v>
      </c>
      <c r="B91" s="25" t="s">
        <v>152</v>
      </c>
      <c r="C91" s="25" t="s">
        <v>152</v>
      </c>
      <c r="D91" s="25"/>
      <c r="E91" s="25"/>
      <c r="F91" s="25"/>
      <c r="G91" s="121" t="s">
        <v>116</v>
      </c>
      <c r="H91" s="28" t="s">
        <v>115</v>
      </c>
      <c r="J91" t="e">
        <f t="shared" ca="1" si="49"/>
        <v>#NAME?</v>
      </c>
      <c r="K91" t="e">
        <f t="shared" ca="1" si="50"/>
        <v>#NAME?</v>
      </c>
      <c r="L91" t="e">
        <f t="shared" ca="1" si="51"/>
        <v>#NAME?</v>
      </c>
      <c r="M91" t="e">
        <f t="shared" ca="1" si="52"/>
        <v>#NAME?</v>
      </c>
      <c r="N91" t="e">
        <f t="shared" ca="1" si="53"/>
        <v>#NAME?</v>
      </c>
      <c r="O91" t="e">
        <f t="shared" ca="1" si="54"/>
        <v>#NAME?</v>
      </c>
      <c r="P91" t="e">
        <f t="shared" ca="1" si="55"/>
        <v>#NAME?</v>
      </c>
      <c r="R91" t="e">
        <f t="shared" ca="1" si="56"/>
        <v>#NAME?</v>
      </c>
      <c r="S91" t="e">
        <f t="shared" ca="1" si="57"/>
        <v>#NAME?</v>
      </c>
      <c r="T91" t="e">
        <f t="shared" ca="1" si="58"/>
        <v>#NAME?</v>
      </c>
      <c r="U91" t="e">
        <f t="shared" ca="1" si="59"/>
        <v>#NAME?</v>
      </c>
      <c r="V91" t="e">
        <f t="shared" ca="1" si="60"/>
        <v>#NAME?</v>
      </c>
      <c r="W91" t="e">
        <f t="shared" ca="1" si="61"/>
        <v>#NAME?</v>
      </c>
      <c r="X91" t="e">
        <f t="shared" ca="1" si="68"/>
        <v>#NAME?</v>
      </c>
      <c r="Z91" s="15">
        <v>1</v>
      </c>
    </row>
    <row r="92" spans="1:26">
      <c r="A92" s="22" t="s">
        <v>169</v>
      </c>
      <c r="B92" s="25"/>
      <c r="C92" s="28" t="s">
        <v>115</v>
      </c>
      <c r="D92" s="121" t="s">
        <v>116</v>
      </c>
      <c r="E92" s="25" t="s">
        <v>170</v>
      </c>
      <c r="F92" s="25"/>
      <c r="G92" s="110" t="s">
        <v>139</v>
      </c>
      <c r="H92" s="25" t="s">
        <v>152</v>
      </c>
      <c r="J92" t="e">
        <f t="shared" ca="1" si="49"/>
        <v>#NAME?</v>
      </c>
      <c r="K92" t="e">
        <f t="shared" ca="1" si="50"/>
        <v>#NAME?</v>
      </c>
      <c r="L92" t="e">
        <f t="shared" ca="1" si="51"/>
        <v>#NAME?</v>
      </c>
      <c r="M92" t="e">
        <f t="shared" ca="1" si="52"/>
        <v>#NAME?</v>
      </c>
      <c r="N92" t="e">
        <f t="shared" ca="1" si="53"/>
        <v>#NAME?</v>
      </c>
      <c r="O92" t="e">
        <f t="shared" ca="1" si="54"/>
        <v>#NAME?</v>
      </c>
      <c r="P92" t="e">
        <f t="shared" ca="1" si="55"/>
        <v>#NAME?</v>
      </c>
      <c r="R92" t="e">
        <f t="shared" ca="1" si="56"/>
        <v>#NAME?</v>
      </c>
      <c r="S92" t="e">
        <f t="shared" ca="1" si="57"/>
        <v>#NAME?</v>
      </c>
      <c r="T92" t="e">
        <f t="shared" ca="1" si="58"/>
        <v>#NAME?</v>
      </c>
      <c r="U92" t="e">
        <f t="shared" ca="1" si="59"/>
        <v>#NAME?</v>
      </c>
      <c r="V92" t="e">
        <f t="shared" ca="1" si="60"/>
        <v>#NAME?</v>
      </c>
      <c r="W92" t="e">
        <f t="shared" ca="1" si="61"/>
        <v>#NAME?</v>
      </c>
      <c r="X92" t="e">
        <f t="shared" ca="1" si="68"/>
        <v>#NAME?</v>
      </c>
      <c r="Z92" s="15">
        <v>1</v>
      </c>
    </row>
    <row r="93" spans="1:26">
      <c r="A93" s="22" t="s">
        <v>171</v>
      </c>
      <c r="B93" s="25"/>
      <c r="C93" s="25"/>
      <c r="D93" s="121" t="s">
        <v>116</v>
      </c>
      <c r="E93" s="25"/>
      <c r="F93" s="25"/>
      <c r="G93" s="25" t="s">
        <v>172</v>
      </c>
      <c r="H93" s="25" t="s">
        <v>173</v>
      </c>
      <c r="J93" t="e">
        <f t="shared" ca="1" si="49"/>
        <v>#NAME?</v>
      </c>
      <c r="K93" t="e">
        <f t="shared" ca="1" si="50"/>
        <v>#NAME?</v>
      </c>
      <c r="L93" t="e">
        <f t="shared" ca="1" si="51"/>
        <v>#NAME?</v>
      </c>
      <c r="M93" t="e">
        <f t="shared" ca="1" si="52"/>
        <v>#NAME?</v>
      </c>
      <c r="N93" t="e">
        <f t="shared" ca="1" si="53"/>
        <v>#NAME?</v>
      </c>
      <c r="O93" t="e">
        <f t="shared" ca="1" si="54"/>
        <v>#NAME?</v>
      </c>
      <c r="P93" t="e">
        <f t="shared" ca="1" si="55"/>
        <v>#NAME?</v>
      </c>
      <c r="R93" t="e">
        <f t="shared" ca="1" si="56"/>
        <v>#NAME?</v>
      </c>
      <c r="S93" t="e">
        <f t="shared" ca="1" si="57"/>
        <v>#NAME?</v>
      </c>
      <c r="T93" t="e">
        <f t="shared" ca="1" si="58"/>
        <v>#NAME?</v>
      </c>
      <c r="U93" t="e">
        <f t="shared" ca="1" si="59"/>
        <v>#NAME?</v>
      </c>
      <c r="V93" t="e">
        <f t="shared" ca="1" si="60"/>
        <v>#NAME?</v>
      </c>
      <c r="W93" t="e">
        <f t="shared" ca="1" si="61"/>
        <v>#NAME?</v>
      </c>
      <c r="X93" t="e">
        <f t="shared" ref="X93" ca="1" si="69">ShiftIndex(H93)</f>
        <v>#NAME?</v>
      </c>
      <c r="Z93" s="15">
        <v>0.75</v>
      </c>
    </row>
    <row r="94" spans="1:26">
      <c r="A94" s="22" t="s">
        <v>174</v>
      </c>
      <c r="B94" s="25" t="s">
        <v>152</v>
      </c>
      <c r="C94" s="25" t="s">
        <v>152</v>
      </c>
      <c r="D94" s="25" t="s">
        <v>152</v>
      </c>
      <c r="E94" s="25"/>
      <c r="F94" s="25"/>
      <c r="G94" s="25"/>
      <c r="H94" s="121" t="s">
        <v>116</v>
      </c>
      <c r="J94" t="e">
        <f t="shared" ca="1" si="49"/>
        <v>#NAME?</v>
      </c>
      <c r="K94" t="e">
        <f t="shared" ca="1" si="50"/>
        <v>#NAME?</v>
      </c>
      <c r="L94" t="e">
        <f t="shared" ca="1" si="51"/>
        <v>#NAME?</v>
      </c>
      <c r="M94" t="e">
        <f t="shared" ca="1" si="52"/>
        <v>#NAME?</v>
      </c>
      <c r="N94" t="e">
        <f t="shared" ca="1" si="53"/>
        <v>#NAME?</v>
      </c>
      <c r="O94" t="e">
        <f t="shared" ca="1" si="54"/>
        <v>#NAME?</v>
      </c>
      <c r="P94" t="e">
        <f t="shared" ca="1" si="55"/>
        <v>#NAME?</v>
      </c>
      <c r="R94" t="e">
        <f t="shared" ca="1" si="56"/>
        <v>#NAME?</v>
      </c>
      <c r="S94" t="e">
        <f t="shared" ca="1" si="57"/>
        <v>#NAME?</v>
      </c>
      <c r="T94" t="e">
        <f t="shared" ca="1" si="58"/>
        <v>#NAME?</v>
      </c>
      <c r="U94" t="e">
        <f t="shared" ca="1" si="59"/>
        <v>#NAME?</v>
      </c>
      <c r="V94" t="e">
        <f t="shared" ca="1" si="60"/>
        <v>#NAME?</v>
      </c>
      <c r="W94" t="e">
        <f t="shared" ca="1" si="61"/>
        <v>#NAME?</v>
      </c>
      <c r="X94" t="e">
        <f t="shared" ca="1" si="68"/>
        <v>#NAME?</v>
      </c>
      <c r="Z94" s="15">
        <v>0.75</v>
      </c>
    </row>
    <row r="95" spans="1:26" ht="15" customHeight="1">
      <c r="A95" s="22" t="s">
        <v>175</v>
      </c>
      <c r="B95" s="127" t="s">
        <v>18</v>
      </c>
      <c r="C95" s="128"/>
      <c r="D95" s="128" t="s">
        <v>134</v>
      </c>
      <c r="E95" s="128"/>
      <c r="F95" s="128" t="s">
        <v>134</v>
      </c>
      <c r="G95" s="128"/>
      <c r="H95" s="129" t="s">
        <v>134</v>
      </c>
      <c r="J95" t="e">
        <f t="shared" ca="1" si="49"/>
        <v>#NAME?</v>
      </c>
      <c r="K95" t="e">
        <f t="shared" ca="1" si="50"/>
        <v>#NAME?</v>
      </c>
      <c r="L95" t="e">
        <f t="shared" ca="1" si="51"/>
        <v>#NAME?</v>
      </c>
      <c r="M95" t="e">
        <f t="shared" ca="1" si="52"/>
        <v>#NAME?</v>
      </c>
      <c r="N95" t="e">
        <f t="shared" ca="1" si="53"/>
        <v>#NAME?</v>
      </c>
      <c r="O95" t="e">
        <f t="shared" ca="1" si="54"/>
        <v>#NAME?</v>
      </c>
      <c r="P95" t="e">
        <f t="shared" ca="1" si="55"/>
        <v>#NAME?</v>
      </c>
      <c r="R95" t="e">
        <f t="shared" ca="1" si="56"/>
        <v>#NAME?</v>
      </c>
      <c r="S95" t="e">
        <f t="shared" ca="1" si="57"/>
        <v>#NAME?</v>
      </c>
      <c r="T95" t="e">
        <f t="shared" ca="1" si="58"/>
        <v>#NAME?</v>
      </c>
      <c r="U95" t="e">
        <f t="shared" ca="1" si="59"/>
        <v>#NAME?</v>
      </c>
      <c r="V95" t="e">
        <f t="shared" ca="1" si="60"/>
        <v>#NAME?</v>
      </c>
      <c r="W95" t="e">
        <f t="shared" ca="1" si="61"/>
        <v>#NAME?</v>
      </c>
      <c r="X95" t="e">
        <f t="shared" ca="1" si="68"/>
        <v>#NAME?</v>
      </c>
      <c r="Z95" s="15">
        <v>1</v>
      </c>
    </row>
    <row r="96" spans="1:26" ht="15" customHeight="1">
      <c r="A96" s="22" t="s">
        <v>176</v>
      </c>
      <c r="B96" s="25"/>
      <c r="C96" s="25"/>
      <c r="D96" s="25"/>
      <c r="E96" s="25"/>
      <c r="F96" s="25"/>
      <c r="G96" s="25"/>
      <c r="H96" s="110" t="s">
        <v>142</v>
      </c>
      <c r="J96" t="e">
        <f t="shared" ca="1" si="49"/>
        <v>#NAME?</v>
      </c>
      <c r="K96" t="e">
        <f t="shared" ca="1" si="50"/>
        <v>#NAME?</v>
      </c>
      <c r="L96" t="e">
        <f t="shared" ca="1" si="51"/>
        <v>#NAME?</v>
      </c>
      <c r="M96" t="e">
        <f t="shared" ca="1" si="52"/>
        <v>#NAME?</v>
      </c>
      <c r="N96" t="e">
        <f t="shared" ca="1" si="53"/>
        <v>#NAME?</v>
      </c>
      <c r="O96" t="e">
        <f t="shared" ca="1" si="54"/>
        <v>#NAME?</v>
      </c>
      <c r="P96" t="e">
        <f t="shared" ca="1" si="55"/>
        <v>#NAME?</v>
      </c>
      <c r="R96" t="e">
        <f t="shared" ca="1" si="56"/>
        <v>#NAME?</v>
      </c>
      <c r="S96" t="e">
        <f t="shared" ca="1" si="57"/>
        <v>#NAME?</v>
      </c>
      <c r="T96" t="e">
        <f t="shared" ca="1" si="58"/>
        <v>#NAME?</v>
      </c>
      <c r="U96" t="e">
        <f t="shared" ca="1" si="59"/>
        <v>#NAME?</v>
      </c>
      <c r="V96" t="e">
        <f t="shared" ca="1" si="60"/>
        <v>#NAME?</v>
      </c>
      <c r="W96" t="e">
        <f t="shared" ca="1" si="61"/>
        <v>#NAME?</v>
      </c>
      <c r="X96" t="e">
        <f t="shared" ca="1" si="68"/>
        <v>#NAME?</v>
      </c>
      <c r="Z96" s="15">
        <v>0.25</v>
      </c>
    </row>
    <row r="97" spans="1:26" ht="15" customHeight="1">
      <c r="A97" s="22" t="s">
        <v>177</v>
      </c>
      <c r="B97" s="25"/>
      <c r="C97" s="25"/>
      <c r="D97" s="120" t="s">
        <v>116</v>
      </c>
      <c r="E97" s="110" t="s">
        <v>139</v>
      </c>
      <c r="F97" s="121" t="s">
        <v>116</v>
      </c>
      <c r="G97" s="25"/>
      <c r="H97" s="25"/>
      <c r="J97" t="e">
        <f t="shared" ca="1" si="49"/>
        <v>#NAME?</v>
      </c>
      <c r="K97" t="e">
        <f t="shared" ca="1" si="50"/>
        <v>#NAME?</v>
      </c>
      <c r="L97" t="e">
        <f t="shared" ca="1" si="51"/>
        <v>#NAME?</v>
      </c>
      <c r="M97" t="e">
        <f t="shared" ca="1" si="52"/>
        <v>#NAME?</v>
      </c>
      <c r="N97" t="e">
        <f t="shared" ca="1" si="53"/>
        <v>#NAME?</v>
      </c>
      <c r="O97" t="e">
        <f t="shared" ca="1" si="54"/>
        <v>#NAME?</v>
      </c>
      <c r="P97" t="e">
        <f t="shared" ca="1" si="55"/>
        <v>#NAME?</v>
      </c>
      <c r="R97" t="e">
        <f t="shared" ca="1" si="56"/>
        <v>#NAME?</v>
      </c>
      <c r="S97" t="e">
        <f t="shared" ca="1" si="57"/>
        <v>#NAME?</v>
      </c>
      <c r="T97" t="e">
        <f t="shared" ca="1" si="58"/>
        <v>#NAME?</v>
      </c>
      <c r="U97" t="e">
        <f t="shared" ca="1" si="59"/>
        <v>#NAME?</v>
      </c>
      <c r="V97" t="e">
        <f t="shared" ca="1" si="60"/>
        <v>#NAME?</v>
      </c>
      <c r="W97" t="e">
        <f t="shared" ca="1" si="61"/>
        <v>#NAME?</v>
      </c>
      <c r="X97" t="e">
        <f t="shared" ca="1" si="68"/>
        <v>#NAME?</v>
      </c>
      <c r="Z97" s="15">
        <v>0.75</v>
      </c>
    </row>
    <row r="98" spans="1:26">
      <c r="A98" s="22" t="s">
        <v>178</v>
      </c>
      <c r="B98" s="25"/>
      <c r="C98" s="25"/>
      <c r="D98" s="25" t="s">
        <v>141</v>
      </c>
      <c r="E98" s="110" t="s">
        <v>142</v>
      </c>
      <c r="F98" s="120" t="s">
        <v>118</v>
      </c>
      <c r="G98" s="121" t="s">
        <v>116</v>
      </c>
      <c r="H98" s="25"/>
      <c r="J98" t="e">
        <f t="shared" ca="1" si="49"/>
        <v>#NAME?</v>
      </c>
      <c r="K98" t="e">
        <f t="shared" ca="1" si="50"/>
        <v>#NAME?</v>
      </c>
      <c r="L98" t="e">
        <f t="shared" ca="1" si="51"/>
        <v>#NAME?</v>
      </c>
      <c r="M98" t="e">
        <f t="shared" ca="1" si="52"/>
        <v>#NAME?</v>
      </c>
      <c r="N98" t="e">
        <f t="shared" ca="1" si="53"/>
        <v>#NAME?</v>
      </c>
      <c r="O98" t="e">
        <f t="shared" ca="1" si="54"/>
        <v>#NAME?</v>
      </c>
      <c r="P98" t="e">
        <f t="shared" ca="1" si="55"/>
        <v>#NAME?</v>
      </c>
      <c r="R98" t="e">
        <f t="shared" ca="1" si="56"/>
        <v>#NAME?</v>
      </c>
      <c r="S98" t="e">
        <f t="shared" ca="1" si="57"/>
        <v>#NAME?</v>
      </c>
      <c r="T98" t="e">
        <f t="shared" ca="1" si="58"/>
        <v>#NAME?</v>
      </c>
      <c r="U98" t="e">
        <f t="shared" ca="1" si="59"/>
        <v>#NAME?</v>
      </c>
      <c r="V98" t="e">
        <f t="shared" ca="1" si="60"/>
        <v>#NAME?</v>
      </c>
      <c r="W98" t="e">
        <f t="shared" ca="1" si="61"/>
        <v>#NAME?</v>
      </c>
      <c r="X98" t="e">
        <f t="shared" ca="1" si="64"/>
        <v>#NAME?</v>
      </c>
      <c r="Z98" s="15">
        <v>1</v>
      </c>
    </row>
    <row r="99" spans="1:26">
      <c r="A99" s="106" t="s">
        <v>179</v>
      </c>
      <c r="B99" s="107" t="str">
        <f t="shared" ref="B99:H99" si="70">B59</f>
        <v>Mon 4 May</v>
      </c>
      <c r="C99" s="107" t="str">
        <f t="shared" si="70"/>
        <v>Tues 5 May</v>
      </c>
      <c r="D99" s="107" t="str">
        <f t="shared" si="70"/>
        <v>Wed 6 May</v>
      </c>
      <c r="E99" s="107" t="str">
        <f t="shared" si="70"/>
        <v>Thu 7 May</v>
      </c>
      <c r="F99" s="107" t="str">
        <f t="shared" si="70"/>
        <v>Fri 8 May</v>
      </c>
      <c r="G99" s="107" t="str">
        <f t="shared" si="70"/>
        <v>Sat 9 May</v>
      </c>
      <c r="H99" s="107" t="str">
        <f t="shared" si="70"/>
        <v>Sun 10 May</v>
      </c>
      <c r="J99" t="e">
        <f t="shared" ca="1" si="49"/>
        <v>#NAME?</v>
      </c>
      <c r="K99" t="e">
        <f t="shared" ca="1" si="50"/>
        <v>#NAME?</v>
      </c>
      <c r="L99" t="e">
        <f t="shared" ca="1" si="51"/>
        <v>#NAME?</v>
      </c>
      <c r="M99" t="e">
        <f t="shared" ca="1" si="52"/>
        <v>#NAME?</v>
      </c>
      <c r="N99" t="e">
        <f t="shared" ca="1" si="53"/>
        <v>#NAME?</v>
      </c>
      <c r="O99" t="e">
        <f t="shared" ca="1" si="54"/>
        <v>#NAME?</v>
      </c>
      <c r="P99" t="e">
        <f t="shared" ca="1" si="55"/>
        <v>#NAME?</v>
      </c>
      <c r="R99" t="e">
        <f t="shared" ca="1" si="56"/>
        <v>#NAME?</v>
      </c>
      <c r="S99" t="e">
        <f t="shared" ca="1" si="57"/>
        <v>#NAME?</v>
      </c>
      <c r="T99" t="e">
        <f t="shared" ca="1" si="58"/>
        <v>#NAME?</v>
      </c>
      <c r="U99" t="e">
        <f t="shared" ca="1" si="59"/>
        <v>#NAME?</v>
      </c>
      <c r="V99" t="e">
        <f t="shared" ca="1" si="60"/>
        <v>#NAME?</v>
      </c>
      <c r="W99" t="e">
        <f t="shared" ca="1" si="61"/>
        <v>#NAME?</v>
      </c>
      <c r="X99" t="e">
        <f t="shared" ca="1" si="63"/>
        <v>#NAME?</v>
      </c>
      <c r="Z99" s="54">
        <f>SUM(Z77:Z98)</f>
        <v>18.25</v>
      </c>
    </row>
    <row r="100" spans="1:26">
      <c r="A100" s="22" t="s">
        <v>180</v>
      </c>
      <c r="B100" s="100" t="s">
        <v>181</v>
      </c>
      <c r="C100" s="110" t="s">
        <v>182</v>
      </c>
      <c r="D100" s="110" t="s">
        <v>182</v>
      </c>
      <c r="E100" s="110" t="s">
        <v>182</v>
      </c>
      <c r="F100" s="110" t="s">
        <v>182</v>
      </c>
      <c r="G100" s="110" t="s">
        <v>182</v>
      </c>
      <c r="H100" s="110" t="s">
        <v>182</v>
      </c>
      <c r="J100" t="e">
        <f t="shared" ca="1" si="49"/>
        <v>#NAME?</v>
      </c>
      <c r="K100" t="e">
        <f t="shared" ca="1" si="50"/>
        <v>#NAME?</v>
      </c>
      <c r="L100" t="e">
        <f t="shared" ca="1" si="51"/>
        <v>#NAME?</v>
      </c>
      <c r="M100" t="e">
        <f t="shared" ca="1" si="52"/>
        <v>#NAME?</v>
      </c>
      <c r="N100" t="e">
        <f t="shared" ca="1" si="53"/>
        <v>#NAME?</v>
      </c>
      <c r="O100" t="e">
        <f t="shared" ca="1" si="54"/>
        <v>#NAME?</v>
      </c>
      <c r="P100" t="e">
        <f t="shared" ca="1" si="55"/>
        <v>#NAME?</v>
      </c>
      <c r="R100" t="e">
        <f t="shared" ca="1" si="56"/>
        <v>#NAME?</v>
      </c>
      <c r="S100" t="e">
        <f t="shared" ca="1" si="57"/>
        <v>#NAME?</v>
      </c>
      <c r="T100" t="e">
        <f t="shared" ca="1" si="58"/>
        <v>#NAME?</v>
      </c>
      <c r="U100" t="e">
        <f t="shared" ca="1" si="59"/>
        <v>#NAME?</v>
      </c>
      <c r="V100" t="e">
        <f t="shared" ca="1" si="60"/>
        <v>#NAME?</v>
      </c>
      <c r="W100" t="e">
        <f t="shared" ca="1" si="61"/>
        <v>#NAME?</v>
      </c>
      <c r="X100" t="e">
        <f t="shared" ca="1" si="63"/>
        <v>#NAME?</v>
      </c>
      <c r="Z100" s="15">
        <v>1</v>
      </c>
    </row>
    <row r="101" spans="1:26">
      <c r="A101" s="22" t="s">
        <v>183</v>
      </c>
      <c r="B101" s="100" t="s">
        <v>181</v>
      </c>
      <c r="C101" s="25"/>
      <c r="D101" s="25"/>
      <c r="E101" s="25"/>
      <c r="F101" s="110" t="s">
        <v>116</v>
      </c>
      <c r="G101" s="110" t="s">
        <v>116</v>
      </c>
      <c r="H101" s="110" t="s">
        <v>116</v>
      </c>
      <c r="J101" t="e">
        <f t="shared" ca="1" si="49"/>
        <v>#NAME?</v>
      </c>
      <c r="K101" t="e">
        <f t="shared" ca="1" si="50"/>
        <v>#NAME?</v>
      </c>
      <c r="L101" t="e">
        <f t="shared" ca="1" si="51"/>
        <v>#NAME?</v>
      </c>
      <c r="M101" t="e">
        <f t="shared" ca="1" si="52"/>
        <v>#NAME?</v>
      </c>
      <c r="N101" t="e">
        <f t="shared" ca="1" si="53"/>
        <v>#NAME?</v>
      </c>
      <c r="O101" t="e">
        <f t="shared" ca="1" si="54"/>
        <v>#NAME?</v>
      </c>
      <c r="P101" t="e">
        <f t="shared" ca="1" si="55"/>
        <v>#NAME?</v>
      </c>
      <c r="R101" t="e">
        <f t="shared" ca="1" si="56"/>
        <v>#NAME?</v>
      </c>
      <c r="S101" t="e">
        <f t="shared" ca="1" si="57"/>
        <v>#NAME?</v>
      </c>
      <c r="T101" t="e">
        <f t="shared" ca="1" si="58"/>
        <v>#NAME?</v>
      </c>
      <c r="U101" t="e">
        <f t="shared" ca="1" si="59"/>
        <v>#NAME?</v>
      </c>
      <c r="V101" t="e">
        <f t="shared" ca="1" si="60"/>
        <v>#NAME?</v>
      </c>
      <c r="W101" t="e">
        <f t="shared" ca="1" si="61"/>
        <v>#NAME?</v>
      </c>
      <c r="X101" t="e">
        <f t="shared" ca="1" si="63"/>
        <v>#NAME?</v>
      </c>
      <c r="Z101" s="15">
        <v>1</v>
      </c>
    </row>
    <row r="102" spans="1:26">
      <c r="A102" s="106" t="s">
        <v>184</v>
      </c>
      <c r="B102" s="107" t="str">
        <f t="shared" ref="B102:H102" si="71">B59</f>
        <v>Mon 4 May</v>
      </c>
      <c r="C102" s="107" t="str">
        <f t="shared" si="71"/>
        <v>Tues 5 May</v>
      </c>
      <c r="D102" s="107" t="str">
        <f t="shared" si="71"/>
        <v>Wed 6 May</v>
      </c>
      <c r="E102" s="107" t="str">
        <f t="shared" si="71"/>
        <v>Thu 7 May</v>
      </c>
      <c r="F102" s="107" t="str">
        <f t="shared" si="71"/>
        <v>Fri 8 May</v>
      </c>
      <c r="G102" s="107" t="str">
        <f t="shared" si="71"/>
        <v>Sat 9 May</v>
      </c>
      <c r="H102" s="107" t="str">
        <f t="shared" si="71"/>
        <v>Sun 10 May</v>
      </c>
      <c r="J102" t="e">
        <f t="shared" ca="1" si="49"/>
        <v>#NAME?</v>
      </c>
      <c r="K102" t="e">
        <f t="shared" ca="1" si="50"/>
        <v>#NAME?</v>
      </c>
      <c r="L102" t="e">
        <f t="shared" ca="1" si="51"/>
        <v>#NAME?</v>
      </c>
      <c r="M102" t="e">
        <f t="shared" ca="1" si="52"/>
        <v>#NAME?</v>
      </c>
      <c r="N102" t="e">
        <f t="shared" ca="1" si="53"/>
        <v>#NAME?</v>
      </c>
      <c r="O102" t="e">
        <f t="shared" ca="1" si="54"/>
        <v>#NAME?</v>
      </c>
      <c r="P102" t="e">
        <f t="shared" ca="1" si="55"/>
        <v>#NAME?</v>
      </c>
      <c r="R102" t="e">
        <f t="shared" ca="1" si="56"/>
        <v>#NAME?</v>
      </c>
      <c r="S102" t="e">
        <f t="shared" ca="1" si="57"/>
        <v>#NAME?</v>
      </c>
      <c r="T102" t="e">
        <f t="shared" ca="1" si="58"/>
        <v>#NAME?</v>
      </c>
      <c r="U102" t="e">
        <f t="shared" ca="1" si="59"/>
        <v>#NAME?</v>
      </c>
      <c r="V102" t="e">
        <f t="shared" ca="1" si="60"/>
        <v>#NAME?</v>
      </c>
      <c r="W102" t="e">
        <f t="shared" ca="1" si="61"/>
        <v>#NAME?</v>
      </c>
      <c r="X102" t="e">
        <f t="shared" ca="1" si="63"/>
        <v>#NAME?</v>
      </c>
      <c r="Z102" s="53">
        <f>SUM(Z100:Z101)</f>
        <v>2</v>
      </c>
    </row>
    <row r="103" spans="1:26">
      <c r="A103" s="22" t="s">
        <v>185</v>
      </c>
      <c r="B103" s="25"/>
      <c r="C103" s="44" t="s">
        <v>186</v>
      </c>
      <c r="D103" s="101" t="s">
        <v>118</v>
      </c>
      <c r="E103" s="91" t="s">
        <v>116</v>
      </c>
      <c r="F103" s="110" t="s">
        <v>139</v>
      </c>
      <c r="G103" s="25"/>
      <c r="H103" s="25"/>
      <c r="J103" t="e">
        <f t="shared" ca="1" si="49"/>
        <v>#NAME?</v>
      </c>
      <c r="K103" t="e">
        <f t="shared" ca="1" si="50"/>
        <v>#NAME?</v>
      </c>
      <c r="L103" t="e">
        <f t="shared" ca="1" si="51"/>
        <v>#NAME?</v>
      </c>
      <c r="M103" t="e">
        <f t="shared" ca="1" si="52"/>
        <v>#NAME?</v>
      </c>
      <c r="N103" t="e">
        <f t="shared" ca="1" si="53"/>
        <v>#NAME?</v>
      </c>
      <c r="O103" t="e">
        <f t="shared" ca="1" si="54"/>
        <v>#NAME?</v>
      </c>
      <c r="P103" t="e">
        <f t="shared" ca="1" si="55"/>
        <v>#NAME?</v>
      </c>
      <c r="R103" t="e">
        <f t="shared" ca="1" si="56"/>
        <v>#NAME?</v>
      </c>
      <c r="S103" t="e">
        <f t="shared" ca="1" si="57"/>
        <v>#NAME?</v>
      </c>
      <c r="T103" t="e">
        <f t="shared" ca="1" si="58"/>
        <v>#NAME?</v>
      </c>
      <c r="U103" t="e">
        <f t="shared" ca="1" si="59"/>
        <v>#NAME?</v>
      </c>
      <c r="V103" t="e">
        <f t="shared" ca="1" si="60"/>
        <v>#NAME?</v>
      </c>
      <c r="W103" t="e">
        <f t="shared" ca="1" si="61"/>
        <v>#NAME?</v>
      </c>
      <c r="X103" t="e">
        <f t="shared" ca="1" si="63"/>
        <v>#NAME?</v>
      </c>
      <c r="Z103" s="15">
        <v>1</v>
      </c>
    </row>
    <row r="104" spans="1:26">
      <c r="A104" s="22" t="s">
        <v>187</v>
      </c>
      <c r="B104" s="127" t="s">
        <v>18</v>
      </c>
      <c r="C104" s="128"/>
      <c r="D104" s="128"/>
      <c r="E104" s="128"/>
      <c r="F104" s="128"/>
      <c r="G104" s="128"/>
      <c r="H104" s="129"/>
      <c r="J104" t="e">
        <f t="shared" ca="1" si="49"/>
        <v>#NAME?</v>
      </c>
      <c r="K104" t="e">
        <f t="shared" ca="1" si="50"/>
        <v>#NAME?</v>
      </c>
      <c r="L104" t="e">
        <f t="shared" ca="1" si="51"/>
        <v>#NAME?</v>
      </c>
      <c r="M104" t="e">
        <f t="shared" ca="1" si="52"/>
        <v>#NAME?</v>
      </c>
      <c r="N104" t="e">
        <f t="shared" ca="1" si="53"/>
        <v>#NAME?</v>
      </c>
      <c r="O104" t="e">
        <f t="shared" ca="1" si="54"/>
        <v>#NAME?</v>
      </c>
      <c r="P104" t="e">
        <f t="shared" ca="1" si="55"/>
        <v>#NAME?</v>
      </c>
      <c r="R104" t="e">
        <f t="shared" ca="1" si="56"/>
        <v>#NAME?</v>
      </c>
      <c r="S104" t="e">
        <f t="shared" ca="1" si="57"/>
        <v>#NAME?</v>
      </c>
      <c r="T104" t="e">
        <f t="shared" ca="1" si="58"/>
        <v>#NAME?</v>
      </c>
      <c r="U104" t="e">
        <f t="shared" ca="1" si="59"/>
        <v>#NAME?</v>
      </c>
      <c r="V104" t="e">
        <f t="shared" ca="1" si="60"/>
        <v>#NAME?</v>
      </c>
      <c r="W104" t="e">
        <f t="shared" ca="1" si="61"/>
        <v>#NAME?</v>
      </c>
      <c r="X104" t="e">
        <f t="shared" ca="1" si="63"/>
        <v>#NAME?</v>
      </c>
      <c r="Z104" s="15">
        <v>1</v>
      </c>
    </row>
    <row r="105" spans="1:26">
      <c r="A105" s="22" t="s">
        <v>188</v>
      </c>
      <c r="B105" s="25"/>
      <c r="C105" s="25"/>
      <c r="D105" s="91" t="s">
        <v>118</v>
      </c>
      <c r="E105" s="90" t="s">
        <v>118</v>
      </c>
      <c r="F105" s="25"/>
      <c r="G105" s="101" t="s">
        <v>116</v>
      </c>
      <c r="H105" s="44" t="s">
        <v>189</v>
      </c>
      <c r="J105" t="e">
        <f t="shared" ca="1" si="49"/>
        <v>#NAME?</v>
      </c>
      <c r="K105" t="e">
        <f t="shared" ca="1" si="50"/>
        <v>#NAME?</v>
      </c>
      <c r="L105" t="e">
        <f t="shared" ca="1" si="51"/>
        <v>#NAME?</v>
      </c>
      <c r="M105" t="e">
        <f t="shared" ca="1" si="52"/>
        <v>#NAME?</v>
      </c>
      <c r="N105" t="e">
        <f t="shared" ca="1" si="53"/>
        <v>#NAME?</v>
      </c>
      <c r="O105" t="e">
        <f t="shared" ca="1" si="54"/>
        <v>#NAME?</v>
      </c>
      <c r="P105" t="e">
        <f t="shared" ca="1" si="55"/>
        <v>#NAME?</v>
      </c>
      <c r="R105" t="e">
        <f t="shared" ca="1" si="56"/>
        <v>#NAME?</v>
      </c>
      <c r="S105" t="e">
        <f t="shared" ca="1" si="57"/>
        <v>#NAME?</v>
      </c>
      <c r="T105" t="e">
        <f t="shared" ca="1" si="58"/>
        <v>#NAME?</v>
      </c>
      <c r="U105" t="e">
        <f t="shared" ca="1" si="59"/>
        <v>#NAME?</v>
      </c>
      <c r="V105" t="e">
        <f t="shared" ca="1" si="60"/>
        <v>#NAME?</v>
      </c>
      <c r="W105" t="e">
        <f t="shared" ca="1" si="61"/>
        <v>#NAME?</v>
      </c>
      <c r="X105" t="e">
        <f t="shared" ca="1" si="63"/>
        <v>#NAME?</v>
      </c>
      <c r="Z105" s="15">
        <v>1</v>
      </c>
    </row>
    <row r="106" spans="1:26">
      <c r="A106" s="22" t="s">
        <v>190</v>
      </c>
      <c r="B106" s="25" t="s">
        <v>152</v>
      </c>
      <c r="C106" s="25"/>
      <c r="D106" s="25"/>
      <c r="E106" s="44" t="s">
        <v>186</v>
      </c>
      <c r="F106" s="91" t="s">
        <v>118</v>
      </c>
      <c r="G106" s="101" t="s">
        <v>118</v>
      </c>
      <c r="H106" s="25"/>
      <c r="J106" t="e">
        <f t="shared" ca="1" si="49"/>
        <v>#NAME?</v>
      </c>
      <c r="K106" t="e">
        <f t="shared" ca="1" si="50"/>
        <v>#NAME?</v>
      </c>
      <c r="L106" t="e">
        <f t="shared" ca="1" si="51"/>
        <v>#NAME?</v>
      </c>
      <c r="M106" t="e">
        <f t="shared" ca="1" si="52"/>
        <v>#NAME?</v>
      </c>
      <c r="N106" t="e">
        <f t="shared" ca="1" si="53"/>
        <v>#NAME?</v>
      </c>
      <c r="O106" t="e">
        <f t="shared" ca="1" si="54"/>
        <v>#NAME?</v>
      </c>
      <c r="P106" t="e">
        <f t="shared" ca="1" si="55"/>
        <v>#NAME?</v>
      </c>
      <c r="R106" t="e">
        <f t="shared" ca="1" si="56"/>
        <v>#NAME?</v>
      </c>
      <c r="S106" t="e">
        <f t="shared" ca="1" si="57"/>
        <v>#NAME?</v>
      </c>
      <c r="T106" t="e">
        <f t="shared" ca="1" si="58"/>
        <v>#NAME?</v>
      </c>
      <c r="U106" t="e">
        <f t="shared" ca="1" si="59"/>
        <v>#NAME?</v>
      </c>
      <c r="V106" t="e">
        <f t="shared" ca="1" si="60"/>
        <v>#NAME?</v>
      </c>
      <c r="W106" t="e">
        <f t="shared" ca="1" si="61"/>
        <v>#NAME?</v>
      </c>
      <c r="X106" t="e">
        <f t="shared" ca="1" si="63"/>
        <v>#NAME?</v>
      </c>
      <c r="Z106" s="15">
        <v>1</v>
      </c>
    </row>
    <row r="107" spans="1:26">
      <c r="A107" s="22" t="s">
        <v>191</v>
      </c>
      <c r="B107" s="101" t="s">
        <v>118</v>
      </c>
      <c r="C107" s="44" t="s">
        <v>189</v>
      </c>
      <c r="D107" s="110" t="s">
        <v>139</v>
      </c>
      <c r="E107" s="28" t="s">
        <v>115</v>
      </c>
      <c r="F107" s="127" t="s">
        <v>20</v>
      </c>
      <c r="G107" s="128"/>
      <c r="H107" s="129"/>
      <c r="J107" t="e">
        <f t="shared" ca="1" si="49"/>
        <v>#NAME?</v>
      </c>
      <c r="K107" t="e">
        <f t="shared" ca="1" si="50"/>
        <v>#NAME?</v>
      </c>
      <c r="L107" t="e">
        <f t="shared" ca="1" si="51"/>
        <v>#NAME?</v>
      </c>
      <c r="M107" t="e">
        <f t="shared" ca="1" si="52"/>
        <v>#NAME?</v>
      </c>
      <c r="N107" t="e">
        <f t="shared" ca="1" si="53"/>
        <v>#NAME?</v>
      </c>
      <c r="O107" t="e">
        <f t="shared" ca="1" si="54"/>
        <v>#NAME?</v>
      </c>
      <c r="P107" t="e">
        <f t="shared" ca="1" si="55"/>
        <v>#NAME?</v>
      </c>
      <c r="R107" t="e">
        <f t="shared" ca="1" si="56"/>
        <v>#NAME?</v>
      </c>
      <c r="S107" t="e">
        <f t="shared" ca="1" si="57"/>
        <v>#NAME?</v>
      </c>
      <c r="T107" t="e">
        <f t="shared" ca="1" si="58"/>
        <v>#NAME?</v>
      </c>
      <c r="U107" t="e">
        <f t="shared" ca="1" si="59"/>
        <v>#NAME?</v>
      </c>
      <c r="V107" t="e">
        <f t="shared" ca="1" si="60"/>
        <v>#NAME?</v>
      </c>
      <c r="W107" t="e">
        <f t="shared" ca="1" si="61"/>
        <v>#NAME?</v>
      </c>
      <c r="X107" t="e">
        <f t="shared" ca="1" si="63"/>
        <v>#NAME?</v>
      </c>
      <c r="Z107" s="15">
        <v>1</v>
      </c>
    </row>
    <row r="108" spans="1:26">
      <c r="A108" s="22" t="s">
        <v>192</v>
      </c>
      <c r="B108" s="25" t="s">
        <v>152</v>
      </c>
      <c r="C108" s="25"/>
      <c r="D108" s="25"/>
      <c r="E108" s="28" t="s">
        <v>119</v>
      </c>
      <c r="F108" s="91" t="s">
        <v>118</v>
      </c>
      <c r="G108" s="25"/>
      <c r="H108" s="25"/>
      <c r="J108" t="e">
        <f t="shared" ca="1" si="49"/>
        <v>#NAME?</v>
      </c>
      <c r="K108" t="e">
        <f t="shared" ca="1" si="50"/>
        <v>#NAME?</v>
      </c>
      <c r="L108" t="e">
        <f t="shared" ca="1" si="51"/>
        <v>#NAME?</v>
      </c>
      <c r="M108" t="e">
        <f t="shared" ca="1" si="52"/>
        <v>#NAME?</v>
      </c>
      <c r="N108" t="e">
        <f t="shared" ca="1" si="53"/>
        <v>#NAME?</v>
      </c>
      <c r="O108" t="e">
        <f t="shared" ca="1" si="54"/>
        <v>#NAME?</v>
      </c>
      <c r="P108" t="e">
        <f t="shared" ca="1" si="55"/>
        <v>#NAME?</v>
      </c>
      <c r="R108" t="e">
        <f t="shared" ca="1" si="56"/>
        <v>#NAME?</v>
      </c>
      <c r="S108" t="e">
        <f t="shared" ca="1" si="57"/>
        <v>#NAME?</v>
      </c>
      <c r="T108" t="e">
        <f t="shared" ca="1" si="58"/>
        <v>#NAME?</v>
      </c>
      <c r="U108" t="e">
        <f t="shared" ca="1" si="59"/>
        <v>#NAME?</v>
      </c>
      <c r="V108" t="e">
        <f t="shared" ca="1" si="60"/>
        <v>#NAME?</v>
      </c>
      <c r="W108" t="e">
        <f t="shared" ca="1" si="61"/>
        <v>#NAME?</v>
      </c>
      <c r="X108" t="e">
        <f t="shared" ca="1" si="63"/>
        <v>#NAME?</v>
      </c>
      <c r="Z108" s="15">
        <v>0.875</v>
      </c>
    </row>
    <row r="109" spans="1:26">
      <c r="A109" s="22" t="s">
        <v>193</v>
      </c>
      <c r="B109" s="100" t="s">
        <v>181</v>
      </c>
      <c r="C109" s="25"/>
      <c r="D109" s="44" t="s">
        <v>118</v>
      </c>
      <c r="E109" s="91" t="s">
        <v>118</v>
      </c>
      <c r="F109" s="90" t="s">
        <v>118</v>
      </c>
      <c r="G109" s="25"/>
      <c r="H109" s="25"/>
      <c r="J109" t="e">
        <f t="shared" ca="1" si="49"/>
        <v>#NAME?</v>
      </c>
      <c r="K109" t="e">
        <f t="shared" ca="1" si="50"/>
        <v>#NAME?</v>
      </c>
      <c r="L109" t="e">
        <f t="shared" ca="1" si="51"/>
        <v>#NAME?</v>
      </c>
      <c r="M109" t="e">
        <f t="shared" ca="1" si="52"/>
        <v>#NAME?</v>
      </c>
      <c r="N109" t="e">
        <f t="shared" ca="1" si="53"/>
        <v>#NAME?</v>
      </c>
      <c r="O109" t="e">
        <f t="shared" ca="1" si="54"/>
        <v>#NAME?</v>
      </c>
      <c r="P109" t="e">
        <f t="shared" ca="1" si="55"/>
        <v>#NAME?</v>
      </c>
      <c r="R109" t="e">
        <f t="shared" ca="1" si="56"/>
        <v>#NAME?</v>
      </c>
      <c r="S109" t="e">
        <f t="shared" ca="1" si="57"/>
        <v>#NAME?</v>
      </c>
      <c r="T109" t="e">
        <f t="shared" ca="1" si="58"/>
        <v>#NAME?</v>
      </c>
      <c r="U109" t="e">
        <f t="shared" ca="1" si="59"/>
        <v>#NAME?</v>
      </c>
      <c r="V109" t="e">
        <f t="shared" ca="1" si="60"/>
        <v>#NAME?</v>
      </c>
      <c r="W109" t="e">
        <f t="shared" ca="1" si="61"/>
        <v>#NAME?</v>
      </c>
      <c r="X109" t="e">
        <f t="shared" ca="1" si="63"/>
        <v>#NAME?</v>
      </c>
      <c r="Z109" s="15">
        <v>1</v>
      </c>
    </row>
    <row r="110" spans="1:26">
      <c r="A110" s="22" t="s">
        <v>194</v>
      </c>
      <c r="B110" s="100" t="s">
        <v>181</v>
      </c>
      <c r="C110" s="91" t="s">
        <v>116</v>
      </c>
      <c r="D110" s="101" t="s">
        <v>116</v>
      </c>
      <c r="E110" s="91" t="s">
        <v>116</v>
      </c>
      <c r="F110" s="25"/>
      <c r="G110" s="25"/>
      <c r="H110" s="25"/>
      <c r="J110" t="e">
        <f t="shared" ca="1" si="49"/>
        <v>#NAME?</v>
      </c>
      <c r="K110" t="e">
        <f t="shared" ca="1" si="50"/>
        <v>#NAME?</v>
      </c>
      <c r="L110" t="e">
        <f t="shared" ca="1" si="51"/>
        <v>#NAME?</v>
      </c>
      <c r="M110" t="e">
        <f t="shared" ca="1" si="52"/>
        <v>#NAME?</v>
      </c>
      <c r="N110" t="e">
        <f t="shared" ca="1" si="53"/>
        <v>#NAME?</v>
      </c>
      <c r="O110" t="e">
        <f t="shared" ca="1" si="54"/>
        <v>#NAME?</v>
      </c>
      <c r="P110" t="e">
        <f t="shared" ca="1" si="55"/>
        <v>#NAME?</v>
      </c>
      <c r="R110" t="e">
        <f t="shared" ca="1" si="56"/>
        <v>#NAME?</v>
      </c>
      <c r="S110" t="e">
        <f t="shared" ca="1" si="57"/>
        <v>#NAME?</v>
      </c>
      <c r="T110" t="e">
        <f t="shared" ca="1" si="58"/>
        <v>#NAME?</v>
      </c>
      <c r="U110" t="e">
        <f t="shared" ca="1" si="59"/>
        <v>#NAME?</v>
      </c>
      <c r="V110" t="e">
        <f t="shared" ca="1" si="60"/>
        <v>#NAME?</v>
      </c>
      <c r="W110" t="e">
        <f t="shared" ca="1" si="61"/>
        <v>#NAME?</v>
      </c>
      <c r="X110" t="e">
        <f t="shared" ca="1" si="63"/>
        <v>#NAME?</v>
      </c>
      <c r="Z110" s="15">
        <v>1</v>
      </c>
    </row>
    <row r="111" spans="1:26">
      <c r="A111" s="22" t="s">
        <v>195</v>
      </c>
      <c r="B111" s="25" t="s">
        <v>157</v>
      </c>
      <c r="C111" s="25" t="s">
        <v>157</v>
      </c>
      <c r="D111" s="25"/>
      <c r="E111" s="25" t="s">
        <v>149</v>
      </c>
      <c r="F111" s="113" t="s">
        <v>150</v>
      </c>
      <c r="G111" s="25"/>
      <c r="H111" s="25"/>
      <c r="J111" t="e">
        <f t="shared" ca="1" si="49"/>
        <v>#NAME?</v>
      </c>
      <c r="K111" t="e">
        <f t="shared" ca="1" si="50"/>
        <v>#NAME?</v>
      </c>
      <c r="L111" t="e">
        <f t="shared" ca="1" si="51"/>
        <v>#NAME?</v>
      </c>
      <c r="M111" t="e">
        <f t="shared" ca="1" si="52"/>
        <v>#NAME?</v>
      </c>
      <c r="N111" t="e">
        <f t="shared" ca="1" si="53"/>
        <v>#NAME?</v>
      </c>
      <c r="O111" t="e">
        <f t="shared" ca="1" si="54"/>
        <v>#NAME?</v>
      </c>
      <c r="P111" t="e">
        <f t="shared" ca="1" si="55"/>
        <v>#NAME?</v>
      </c>
      <c r="R111" t="e">
        <f t="shared" ca="1" si="56"/>
        <v>#NAME?</v>
      </c>
      <c r="S111" t="e">
        <f t="shared" ca="1" si="57"/>
        <v>#NAME?</v>
      </c>
      <c r="T111" t="e">
        <f t="shared" ca="1" si="58"/>
        <v>#NAME?</v>
      </c>
      <c r="U111" t="e">
        <f t="shared" ca="1" si="59"/>
        <v>#NAME?</v>
      </c>
      <c r="V111" t="e">
        <f t="shared" ca="1" si="60"/>
        <v>#NAME?</v>
      </c>
      <c r="W111" t="e">
        <f t="shared" ca="1" si="61"/>
        <v>#NAME?</v>
      </c>
      <c r="X111" t="e">
        <f t="shared" ca="1" si="63"/>
        <v>#NAME?</v>
      </c>
      <c r="Z111" s="15">
        <v>0.5</v>
      </c>
    </row>
    <row r="112" spans="1:26">
      <c r="A112" s="42" t="s">
        <v>196</v>
      </c>
      <c r="B112" s="25"/>
      <c r="C112" s="25"/>
      <c r="D112" s="25" t="s">
        <v>152</v>
      </c>
      <c r="E112" s="25" t="s">
        <v>152</v>
      </c>
      <c r="F112" s="25"/>
      <c r="G112" s="25"/>
      <c r="H112" s="25"/>
      <c r="J112" t="e">
        <f t="shared" ca="1" si="49"/>
        <v>#NAME?</v>
      </c>
      <c r="K112" t="e">
        <f t="shared" ca="1" si="50"/>
        <v>#NAME?</v>
      </c>
      <c r="L112" t="e">
        <f t="shared" ca="1" si="51"/>
        <v>#NAME?</v>
      </c>
      <c r="M112" t="e">
        <f t="shared" ca="1" si="52"/>
        <v>#NAME?</v>
      </c>
      <c r="N112" t="e">
        <f t="shared" ca="1" si="53"/>
        <v>#NAME?</v>
      </c>
      <c r="O112" t="e">
        <f t="shared" ca="1" si="54"/>
        <v>#NAME?</v>
      </c>
      <c r="P112" t="e">
        <f t="shared" ca="1" si="55"/>
        <v>#NAME?</v>
      </c>
      <c r="R112" t="e">
        <f t="shared" ca="1" si="56"/>
        <v>#NAME?</v>
      </c>
      <c r="S112" t="e">
        <f t="shared" ca="1" si="57"/>
        <v>#NAME?</v>
      </c>
      <c r="T112" t="e">
        <f t="shared" ca="1" si="58"/>
        <v>#NAME?</v>
      </c>
      <c r="U112" t="e">
        <f t="shared" ca="1" si="59"/>
        <v>#NAME?</v>
      </c>
      <c r="V112" t="e">
        <f t="shared" ca="1" si="60"/>
        <v>#NAME?</v>
      </c>
      <c r="W112" t="e">
        <f t="shared" ca="1" si="61"/>
        <v>#NAME?</v>
      </c>
      <c r="X112" t="e">
        <f t="shared" ref="X112" ca="1" si="72">ShiftIndex(H112)</f>
        <v>#NAME?</v>
      </c>
      <c r="Z112" s="15">
        <v>0.5</v>
      </c>
    </row>
    <row r="113" spans="1:26">
      <c r="A113" s="22" t="s">
        <v>197</v>
      </c>
      <c r="B113" s="110" t="s">
        <v>142</v>
      </c>
      <c r="C113" s="25"/>
      <c r="D113" s="25"/>
      <c r="E113" s="25" t="s">
        <v>198</v>
      </c>
      <c r="F113" s="25"/>
      <c r="G113" s="25" t="s">
        <v>152</v>
      </c>
      <c r="H113" s="25" t="s">
        <v>152</v>
      </c>
      <c r="J113" t="e">
        <f t="shared" ca="1" si="49"/>
        <v>#NAME?</v>
      </c>
      <c r="K113" t="e">
        <f t="shared" ca="1" si="50"/>
        <v>#NAME?</v>
      </c>
      <c r="L113" t="e">
        <f t="shared" ca="1" si="51"/>
        <v>#NAME?</v>
      </c>
      <c r="M113" t="e">
        <f t="shared" ca="1" si="52"/>
        <v>#NAME?</v>
      </c>
      <c r="N113" t="e">
        <f t="shared" ca="1" si="53"/>
        <v>#NAME?</v>
      </c>
      <c r="O113" t="e">
        <f t="shared" ca="1" si="54"/>
        <v>#NAME?</v>
      </c>
      <c r="P113" t="e">
        <f t="shared" ca="1" si="55"/>
        <v>#NAME?</v>
      </c>
      <c r="R113" t="e">
        <f t="shared" ca="1" si="56"/>
        <v>#NAME?</v>
      </c>
      <c r="S113" t="e">
        <f t="shared" ca="1" si="57"/>
        <v>#NAME?</v>
      </c>
      <c r="T113" t="e">
        <f t="shared" ca="1" si="58"/>
        <v>#NAME?</v>
      </c>
      <c r="U113" t="e">
        <f t="shared" ca="1" si="59"/>
        <v>#NAME?</v>
      </c>
      <c r="V113" t="e">
        <f t="shared" ca="1" si="60"/>
        <v>#NAME?</v>
      </c>
      <c r="W113" t="e">
        <f t="shared" ca="1" si="61"/>
        <v>#NAME?</v>
      </c>
      <c r="X113" t="e">
        <f t="shared" ca="1" si="63"/>
        <v>#NAME?</v>
      </c>
      <c r="Z113" s="15">
        <v>0.5</v>
      </c>
    </row>
    <row r="114" spans="1:26">
      <c r="A114" s="22" t="s">
        <v>199</v>
      </c>
      <c r="B114" s="112"/>
      <c r="C114" s="110" t="s">
        <v>142</v>
      </c>
      <c r="D114" s="112"/>
      <c r="E114" s="25" t="s">
        <v>149</v>
      </c>
      <c r="F114" s="112"/>
      <c r="G114" s="25"/>
      <c r="H114" s="25"/>
      <c r="J114" t="e">
        <f t="shared" ca="1" si="49"/>
        <v>#NAME?</v>
      </c>
      <c r="K114" t="e">
        <f t="shared" ca="1" si="50"/>
        <v>#NAME?</v>
      </c>
      <c r="L114" t="e">
        <f t="shared" ca="1" si="51"/>
        <v>#NAME?</v>
      </c>
      <c r="M114" t="e">
        <f t="shared" ca="1" si="52"/>
        <v>#NAME?</v>
      </c>
      <c r="N114" t="e">
        <f t="shared" ca="1" si="53"/>
        <v>#NAME?</v>
      </c>
      <c r="O114" t="e">
        <f t="shared" ca="1" si="54"/>
        <v>#NAME?</v>
      </c>
      <c r="P114" t="e">
        <f t="shared" ca="1" si="55"/>
        <v>#NAME?</v>
      </c>
      <c r="R114" t="e">
        <f t="shared" ca="1" si="56"/>
        <v>#NAME?</v>
      </c>
      <c r="S114" t="e">
        <f t="shared" ca="1" si="57"/>
        <v>#NAME?</v>
      </c>
      <c r="T114" t="e">
        <f t="shared" ca="1" si="58"/>
        <v>#NAME?</v>
      </c>
      <c r="U114" t="e">
        <f t="shared" ca="1" si="59"/>
        <v>#NAME?</v>
      </c>
      <c r="V114" t="e">
        <f t="shared" ca="1" si="60"/>
        <v>#NAME?</v>
      </c>
      <c r="W114" t="e">
        <f t="shared" ca="1" si="61"/>
        <v>#NAME?</v>
      </c>
      <c r="X114" t="e">
        <f t="shared" ca="1" si="63"/>
        <v>#NAME?</v>
      </c>
      <c r="Z114" s="15">
        <v>0.5</v>
      </c>
    </row>
    <row r="115" spans="1:26">
      <c r="A115" s="22" t="s">
        <v>200</v>
      </c>
      <c r="B115" s="100" t="s">
        <v>181</v>
      </c>
      <c r="C115" s="101" t="s">
        <v>116</v>
      </c>
      <c r="D115" s="25"/>
      <c r="E115" s="25"/>
      <c r="F115" s="25"/>
      <c r="G115" s="91" t="s">
        <v>118</v>
      </c>
      <c r="H115" s="44" t="s">
        <v>186</v>
      </c>
      <c r="J115" t="e">
        <f t="shared" ca="1" si="49"/>
        <v>#NAME?</v>
      </c>
      <c r="K115" t="e">
        <f t="shared" ca="1" si="50"/>
        <v>#NAME?</v>
      </c>
      <c r="L115" t="e">
        <f t="shared" ca="1" si="51"/>
        <v>#NAME?</v>
      </c>
      <c r="M115" t="e">
        <f t="shared" ca="1" si="52"/>
        <v>#NAME?</v>
      </c>
      <c r="N115" t="e">
        <f t="shared" ca="1" si="53"/>
        <v>#NAME?</v>
      </c>
      <c r="O115" t="e">
        <f t="shared" ca="1" si="54"/>
        <v>#NAME?</v>
      </c>
      <c r="P115" t="e">
        <f t="shared" ca="1" si="55"/>
        <v>#NAME?</v>
      </c>
      <c r="R115" t="e">
        <f t="shared" ca="1" si="56"/>
        <v>#NAME?</v>
      </c>
      <c r="S115" t="e">
        <f t="shared" ca="1" si="57"/>
        <v>#NAME?</v>
      </c>
      <c r="T115" t="e">
        <f t="shared" ca="1" si="58"/>
        <v>#NAME?</v>
      </c>
      <c r="U115" t="e">
        <f t="shared" ca="1" si="59"/>
        <v>#NAME?</v>
      </c>
      <c r="V115" t="e">
        <f t="shared" ca="1" si="60"/>
        <v>#NAME?</v>
      </c>
      <c r="W115" t="e">
        <f t="shared" ca="1" si="61"/>
        <v>#NAME?</v>
      </c>
      <c r="X115" t="e">
        <f t="shared" ref="X115" ca="1" si="73">ShiftIndex(H115)</f>
        <v>#NAME?</v>
      </c>
      <c r="Z115" s="15">
        <v>1</v>
      </c>
    </row>
    <row r="116" spans="1:26">
      <c r="A116" s="22" t="s">
        <v>201</v>
      </c>
      <c r="B116" s="100" t="s">
        <v>181</v>
      </c>
      <c r="C116" s="90" t="s">
        <v>118</v>
      </c>
      <c r="D116" s="44" t="s">
        <v>189</v>
      </c>
      <c r="E116" s="25"/>
      <c r="F116" s="25"/>
      <c r="G116" s="25"/>
      <c r="H116" s="91" t="s">
        <v>118</v>
      </c>
      <c r="J116" t="e">
        <f t="shared" ca="1" si="49"/>
        <v>#NAME?</v>
      </c>
      <c r="K116" t="e">
        <f t="shared" ca="1" si="50"/>
        <v>#NAME?</v>
      </c>
      <c r="L116" t="e">
        <f t="shared" ca="1" si="51"/>
        <v>#NAME?</v>
      </c>
      <c r="M116" t="e">
        <f t="shared" ca="1" si="52"/>
        <v>#NAME?</v>
      </c>
      <c r="N116" t="e">
        <f t="shared" ca="1" si="53"/>
        <v>#NAME?</v>
      </c>
      <c r="O116" t="e">
        <f t="shared" ca="1" si="54"/>
        <v>#NAME?</v>
      </c>
      <c r="P116" t="e">
        <f t="shared" ca="1" si="55"/>
        <v>#NAME?</v>
      </c>
      <c r="R116" t="e">
        <f t="shared" ca="1" si="56"/>
        <v>#NAME?</v>
      </c>
      <c r="S116" t="e">
        <f t="shared" ca="1" si="57"/>
        <v>#NAME?</v>
      </c>
      <c r="T116" t="e">
        <f t="shared" ca="1" si="58"/>
        <v>#NAME?</v>
      </c>
      <c r="U116" t="e">
        <f t="shared" ca="1" si="59"/>
        <v>#NAME?</v>
      </c>
      <c r="V116" t="e">
        <f t="shared" ca="1" si="60"/>
        <v>#NAME?</v>
      </c>
      <c r="W116" t="e">
        <f t="shared" ca="1" si="61"/>
        <v>#NAME?</v>
      </c>
      <c r="X116" t="e">
        <f t="shared" ca="1" si="63"/>
        <v>#NAME?</v>
      </c>
      <c r="Z116" s="15">
        <v>1</v>
      </c>
    </row>
    <row r="117" spans="1:26">
      <c r="A117" s="22" t="s">
        <v>202</v>
      </c>
      <c r="B117" s="91" t="s">
        <v>118</v>
      </c>
      <c r="C117" s="25" t="s">
        <v>152</v>
      </c>
      <c r="D117" s="25" t="s">
        <v>152</v>
      </c>
      <c r="E117" s="25" t="s">
        <v>152</v>
      </c>
      <c r="F117" s="25" t="s">
        <v>152</v>
      </c>
      <c r="G117" s="25"/>
      <c r="H117" s="25"/>
      <c r="J117" t="e">
        <f t="shared" ca="1" si="49"/>
        <v>#NAME?</v>
      </c>
      <c r="K117" t="e">
        <f t="shared" ca="1" si="50"/>
        <v>#NAME?</v>
      </c>
      <c r="L117" t="e">
        <f t="shared" ca="1" si="51"/>
        <v>#NAME?</v>
      </c>
      <c r="M117" t="e">
        <f t="shared" ca="1" si="52"/>
        <v>#NAME?</v>
      </c>
      <c r="N117" t="e">
        <f t="shared" ca="1" si="53"/>
        <v>#NAME?</v>
      </c>
      <c r="O117" t="e">
        <f t="shared" ca="1" si="54"/>
        <v>#NAME?</v>
      </c>
      <c r="P117" t="e">
        <f t="shared" ca="1" si="55"/>
        <v>#NAME?</v>
      </c>
      <c r="R117" t="e">
        <f t="shared" ca="1" si="56"/>
        <v>#NAME?</v>
      </c>
      <c r="S117" t="e">
        <f t="shared" ca="1" si="57"/>
        <v>#NAME?</v>
      </c>
      <c r="T117" t="e">
        <f t="shared" ca="1" si="58"/>
        <v>#NAME?</v>
      </c>
      <c r="U117" t="e">
        <f t="shared" ca="1" si="59"/>
        <v>#NAME?</v>
      </c>
      <c r="V117" t="e">
        <f t="shared" ca="1" si="60"/>
        <v>#NAME?</v>
      </c>
      <c r="W117" t="e">
        <f t="shared" ca="1" si="61"/>
        <v>#NAME?</v>
      </c>
      <c r="X117" t="e">
        <f t="shared" ca="1" si="63"/>
        <v>#NAME?</v>
      </c>
      <c r="Z117" s="15">
        <v>1</v>
      </c>
    </row>
    <row r="118" spans="1:26">
      <c r="A118" s="42" t="s">
        <v>203</v>
      </c>
      <c r="B118" s="44" t="s">
        <v>186</v>
      </c>
      <c r="C118" s="127" t="s">
        <v>29</v>
      </c>
      <c r="D118" s="128"/>
      <c r="E118" s="128"/>
      <c r="F118" s="128"/>
      <c r="G118" s="128"/>
      <c r="H118" s="129"/>
      <c r="J118" t="e">
        <f t="shared" ca="1" si="49"/>
        <v>#NAME?</v>
      </c>
      <c r="K118" t="e">
        <f t="shared" ca="1" si="50"/>
        <v>#NAME?</v>
      </c>
      <c r="L118" t="e">
        <f t="shared" ca="1" si="51"/>
        <v>#NAME?</v>
      </c>
      <c r="M118" t="e">
        <f t="shared" ca="1" si="52"/>
        <v>#NAME?</v>
      </c>
      <c r="N118" t="e">
        <f t="shared" ca="1" si="53"/>
        <v>#NAME?</v>
      </c>
      <c r="O118" t="e">
        <f t="shared" ca="1" si="54"/>
        <v>#NAME?</v>
      </c>
      <c r="P118" t="e">
        <f t="shared" ca="1" si="55"/>
        <v>#NAME?</v>
      </c>
      <c r="R118" t="e">
        <f t="shared" ca="1" si="56"/>
        <v>#NAME?</v>
      </c>
      <c r="S118" t="e">
        <f t="shared" ca="1" si="57"/>
        <v>#NAME?</v>
      </c>
      <c r="T118" t="e">
        <f t="shared" ca="1" si="58"/>
        <v>#NAME?</v>
      </c>
      <c r="U118" t="e">
        <f t="shared" ca="1" si="59"/>
        <v>#NAME?</v>
      </c>
      <c r="V118" t="e">
        <f t="shared" ca="1" si="60"/>
        <v>#NAME?</v>
      </c>
      <c r="W118" t="e">
        <f t="shared" ca="1" si="61"/>
        <v>#NAME?</v>
      </c>
      <c r="X118" t="e">
        <f t="shared" ca="1" si="63"/>
        <v>#NAME?</v>
      </c>
      <c r="Z118" s="15">
        <v>1</v>
      </c>
    </row>
    <row r="119" spans="1:26">
      <c r="A119" s="22" t="s">
        <v>204</v>
      </c>
      <c r="B119" s="100" t="s">
        <v>181</v>
      </c>
      <c r="C119" s="25"/>
      <c r="D119" s="25" t="s">
        <v>152</v>
      </c>
      <c r="E119" s="25" t="s">
        <v>152</v>
      </c>
      <c r="F119" s="25" t="s">
        <v>152</v>
      </c>
      <c r="G119" s="25" t="s">
        <v>152</v>
      </c>
      <c r="H119" s="25"/>
      <c r="J119" t="e">
        <f t="shared" ca="1" si="49"/>
        <v>#NAME?</v>
      </c>
      <c r="K119" t="e">
        <f t="shared" ca="1" si="50"/>
        <v>#NAME?</v>
      </c>
      <c r="L119" t="e">
        <f t="shared" ca="1" si="51"/>
        <v>#NAME?</v>
      </c>
      <c r="M119" t="e">
        <f t="shared" ca="1" si="52"/>
        <v>#NAME?</v>
      </c>
      <c r="N119" t="e">
        <f t="shared" ca="1" si="53"/>
        <v>#NAME?</v>
      </c>
      <c r="O119" t="e">
        <f t="shared" ca="1" si="54"/>
        <v>#NAME?</v>
      </c>
      <c r="P119" t="e">
        <f t="shared" ca="1" si="55"/>
        <v>#NAME?</v>
      </c>
      <c r="R119" t="e">
        <f t="shared" ca="1" si="56"/>
        <v>#NAME?</v>
      </c>
      <c r="S119" t="e">
        <f t="shared" ca="1" si="57"/>
        <v>#NAME?</v>
      </c>
      <c r="T119" t="e">
        <f t="shared" ca="1" si="58"/>
        <v>#NAME?</v>
      </c>
      <c r="U119" t="e">
        <f t="shared" ca="1" si="59"/>
        <v>#NAME?</v>
      </c>
      <c r="V119" t="e">
        <f t="shared" ca="1" si="60"/>
        <v>#NAME?</v>
      </c>
      <c r="W119" t="e">
        <f t="shared" ca="1" si="61"/>
        <v>#NAME?</v>
      </c>
      <c r="X119" t="e">
        <f t="shared" ca="1" si="63"/>
        <v>#NAME?</v>
      </c>
      <c r="Z119" s="15">
        <v>1</v>
      </c>
    </row>
    <row r="120" spans="1:26">
      <c r="A120" s="22" t="s">
        <v>205</v>
      </c>
      <c r="B120" s="100" t="s">
        <v>181</v>
      </c>
      <c r="C120" s="25"/>
      <c r="D120" s="25"/>
      <c r="E120" s="25"/>
      <c r="F120" s="28" t="s">
        <v>115</v>
      </c>
      <c r="G120" s="44" t="s">
        <v>189</v>
      </c>
      <c r="H120" s="91" t="s">
        <v>116</v>
      </c>
      <c r="J120" t="e">
        <f t="shared" ca="1" si="49"/>
        <v>#NAME?</v>
      </c>
      <c r="K120" t="e">
        <f t="shared" ca="1" si="50"/>
        <v>#NAME?</v>
      </c>
      <c r="L120" t="e">
        <f t="shared" ca="1" si="51"/>
        <v>#NAME?</v>
      </c>
      <c r="M120" t="e">
        <f t="shared" ca="1" si="52"/>
        <v>#NAME?</v>
      </c>
      <c r="N120" t="e">
        <f t="shared" ca="1" si="53"/>
        <v>#NAME?</v>
      </c>
      <c r="O120" t="e">
        <f t="shared" ca="1" si="54"/>
        <v>#NAME?</v>
      </c>
      <c r="P120" t="e">
        <f t="shared" ca="1" si="55"/>
        <v>#NAME?</v>
      </c>
      <c r="R120" t="e">
        <f t="shared" ca="1" si="56"/>
        <v>#NAME?</v>
      </c>
      <c r="S120" t="e">
        <f t="shared" ca="1" si="57"/>
        <v>#NAME?</v>
      </c>
      <c r="T120" t="e">
        <f t="shared" ca="1" si="58"/>
        <v>#NAME?</v>
      </c>
      <c r="U120" t="e">
        <f t="shared" ca="1" si="59"/>
        <v>#NAME?</v>
      </c>
      <c r="V120" t="e">
        <f t="shared" ca="1" si="60"/>
        <v>#NAME?</v>
      </c>
      <c r="W120" t="e">
        <f t="shared" ca="1" si="61"/>
        <v>#NAME?</v>
      </c>
      <c r="X120" t="e">
        <f t="shared" ca="1" si="63"/>
        <v>#NAME?</v>
      </c>
      <c r="Z120" s="15">
        <v>1</v>
      </c>
    </row>
    <row r="121" spans="1:26">
      <c r="A121" s="22" t="s">
        <v>206</v>
      </c>
      <c r="B121" s="91" t="s">
        <v>116</v>
      </c>
      <c r="C121" s="110" t="s">
        <v>139</v>
      </c>
      <c r="D121" s="25"/>
      <c r="E121" s="25"/>
      <c r="F121" s="25" t="s">
        <v>152</v>
      </c>
      <c r="G121" s="25" t="s">
        <v>152</v>
      </c>
      <c r="H121" s="25" t="s">
        <v>152</v>
      </c>
      <c r="J121" t="e">
        <f t="shared" ca="1" si="49"/>
        <v>#NAME?</v>
      </c>
      <c r="K121" t="e">
        <f t="shared" ca="1" si="50"/>
        <v>#NAME?</v>
      </c>
      <c r="L121" t="e">
        <f t="shared" ca="1" si="51"/>
        <v>#NAME?</v>
      </c>
      <c r="M121" t="e">
        <f t="shared" ca="1" si="52"/>
        <v>#NAME?</v>
      </c>
      <c r="N121" t="e">
        <f t="shared" ca="1" si="53"/>
        <v>#NAME?</v>
      </c>
      <c r="O121" t="e">
        <f t="shared" ca="1" si="54"/>
        <v>#NAME?</v>
      </c>
      <c r="P121" t="e">
        <f t="shared" ca="1" si="55"/>
        <v>#NAME?</v>
      </c>
      <c r="R121" t="e">
        <f t="shared" ca="1" si="56"/>
        <v>#NAME?</v>
      </c>
      <c r="S121" t="e">
        <f t="shared" ca="1" si="57"/>
        <v>#NAME?</v>
      </c>
      <c r="T121" t="e">
        <f t="shared" ca="1" si="58"/>
        <v>#NAME?</v>
      </c>
      <c r="U121" t="e">
        <f t="shared" ca="1" si="59"/>
        <v>#NAME?</v>
      </c>
      <c r="V121" t="e">
        <f t="shared" ca="1" si="60"/>
        <v>#NAME?</v>
      </c>
      <c r="W121" t="e">
        <f t="shared" ca="1" si="61"/>
        <v>#NAME?</v>
      </c>
      <c r="X121" t="e">
        <f t="shared" ca="1" si="63"/>
        <v>#NAME?</v>
      </c>
      <c r="Z121" s="15">
        <v>1</v>
      </c>
    </row>
    <row r="122" spans="1:26">
      <c r="A122" s="22" t="s">
        <v>207</v>
      </c>
      <c r="B122" s="25" t="s">
        <v>152</v>
      </c>
      <c r="C122" s="25" t="s">
        <v>152</v>
      </c>
      <c r="D122" s="25"/>
      <c r="E122" s="25"/>
      <c r="F122" s="25"/>
      <c r="G122" s="112"/>
      <c r="H122" s="25"/>
      <c r="J122" t="e">
        <f t="shared" ca="1" si="49"/>
        <v>#NAME?</v>
      </c>
      <c r="K122" t="e">
        <f t="shared" ca="1" si="50"/>
        <v>#NAME?</v>
      </c>
      <c r="L122" t="e">
        <f t="shared" ca="1" si="51"/>
        <v>#NAME?</v>
      </c>
      <c r="M122" t="e">
        <f t="shared" ca="1" si="52"/>
        <v>#NAME?</v>
      </c>
      <c r="N122" t="e">
        <f t="shared" ca="1" si="53"/>
        <v>#NAME?</v>
      </c>
      <c r="O122" t="e">
        <f t="shared" ca="1" si="54"/>
        <v>#NAME?</v>
      </c>
      <c r="P122" t="e">
        <f t="shared" ca="1" si="55"/>
        <v>#NAME?</v>
      </c>
      <c r="R122" t="e">
        <f t="shared" ca="1" si="56"/>
        <v>#NAME?</v>
      </c>
      <c r="S122" t="e">
        <f t="shared" ca="1" si="57"/>
        <v>#NAME?</v>
      </c>
      <c r="T122" t="e">
        <f t="shared" ca="1" si="58"/>
        <v>#NAME?</v>
      </c>
      <c r="U122" t="e">
        <f t="shared" ca="1" si="59"/>
        <v>#NAME?</v>
      </c>
      <c r="V122" t="e">
        <f t="shared" ca="1" si="60"/>
        <v>#NAME?</v>
      </c>
      <c r="W122" t="e">
        <f t="shared" ca="1" si="61"/>
        <v>#NAME?</v>
      </c>
      <c r="X122" t="e">
        <f t="shared" ca="1" si="63"/>
        <v>#NAME?</v>
      </c>
      <c r="Z122" s="15">
        <v>0.5</v>
      </c>
    </row>
    <row r="123" spans="1:26">
      <c r="A123" s="22" t="s">
        <v>208</v>
      </c>
      <c r="B123" s="25"/>
      <c r="C123" s="25"/>
      <c r="D123" s="25"/>
      <c r="E123" s="112"/>
      <c r="F123" s="112"/>
      <c r="G123" s="90" t="s">
        <v>116</v>
      </c>
      <c r="H123" s="90" t="s">
        <v>116</v>
      </c>
      <c r="J123" t="e">
        <f t="shared" ca="1" si="49"/>
        <v>#NAME?</v>
      </c>
      <c r="K123" t="e">
        <f t="shared" ca="1" si="50"/>
        <v>#NAME?</v>
      </c>
      <c r="L123" t="e">
        <f t="shared" ca="1" si="51"/>
        <v>#NAME?</v>
      </c>
      <c r="M123" t="e">
        <f t="shared" ca="1" si="52"/>
        <v>#NAME?</v>
      </c>
      <c r="N123" t="e">
        <f t="shared" ca="1" si="53"/>
        <v>#NAME?</v>
      </c>
      <c r="O123" t="e">
        <f t="shared" ca="1" si="54"/>
        <v>#NAME?</v>
      </c>
      <c r="P123" t="e">
        <f t="shared" ca="1" si="55"/>
        <v>#NAME?</v>
      </c>
      <c r="R123" t="e">
        <f t="shared" ca="1" si="56"/>
        <v>#NAME?</v>
      </c>
      <c r="S123" t="e">
        <f t="shared" ca="1" si="57"/>
        <v>#NAME?</v>
      </c>
      <c r="T123" t="e">
        <f t="shared" ca="1" si="58"/>
        <v>#NAME?</v>
      </c>
      <c r="U123" t="e">
        <f t="shared" ca="1" si="59"/>
        <v>#NAME?</v>
      </c>
      <c r="V123" t="e">
        <f t="shared" ca="1" si="60"/>
        <v>#NAME?</v>
      </c>
      <c r="W123" t="e">
        <f t="shared" ca="1" si="61"/>
        <v>#NAME?</v>
      </c>
      <c r="X123" t="e">
        <f t="shared" ca="1" si="63"/>
        <v>#NAME?</v>
      </c>
      <c r="Z123" s="15">
        <v>0.5</v>
      </c>
    </row>
    <row r="124" spans="1:26">
      <c r="A124" s="22" t="s">
        <v>209</v>
      </c>
      <c r="B124" s="25"/>
      <c r="C124" s="112"/>
      <c r="D124" s="28" t="s">
        <v>119</v>
      </c>
      <c r="E124" s="91" t="s">
        <v>118</v>
      </c>
      <c r="F124" s="25"/>
      <c r="G124" s="25"/>
      <c r="H124" s="25"/>
      <c r="J124" t="e">
        <f t="shared" ca="1" si="49"/>
        <v>#NAME?</v>
      </c>
      <c r="K124" t="e">
        <f t="shared" ca="1" si="50"/>
        <v>#NAME?</v>
      </c>
      <c r="L124" t="e">
        <f t="shared" ca="1" si="51"/>
        <v>#NAME?</v>
      </c>
      <c r="M124" t="e">
        <f t="shared" ca="1" si="52"/>
        <v>#NAME?</v>
      </c>
      <c r="N124" t="e">
        <f t="shared" ca="1" si="53"/>
        <v>#NAME?</v>
      </c>
      <c r="O124" t="e">
        <f t="shared" ca="1" si="54"/>
        <v>#NAME?</v>
      </c>
      <c r="P124" t="e">
        <f t="shared" ca="1" si="55"/>
        <v>#NAME?</v>
      </c>
      <c r="R124" t="e">
        <f t="shared" ca="1" si="56"/>
        <v>#NAME?</v>
      </c>
      <c r="S124" t="e">
        <f t="shared" ca="1" si="57"/>
        <v>#NAME?</v>
      </c>
      <c r="T124" t="e">
        <f t="shared" ca="1" si="58"/>
        <v>#NAME?</v>
      </c>
      <c r="U124" t="e">
        <f t="shared" ca="1" si="59"/>
        <v>#NAME?</v>
      </c>
      <c r="V124" t="e">
        <f t="shared" ca="1" si="60"/>
        <v>#NAME?</v>
      </c>
      <c r="W124" t="e">
        <f t="shared" ca="1" si="61"/>
        <v>#NAME?</v>
      </c>
      <c r="X124" t="e">
        <f t="shared" ca="1" si="63"/>
        <v>#NAME?</v>
      </c>
      <c r="Z124" s="15">
        <v>0.5</v>
      </c>
    </row>
    <row r="125" spans="1:26" ht="15" customHeight="1">
      <c r="A125" s="22" t="s">
        <v>210</v>
      </c>
      <c r="B125" s="127" t="s">
        <v>211</v>
      </c>
      <c r="C125" s="128"/>
      <c r="D125" s="128"/>
      <c r="E125" s="128"/>
      <c r="F125" s="128"/>
      <c r="G125" s="128"/>
      <c r="H125" s="129"/>
      <c r="J125" t="e">
        <f t="shared" ca="1" si="49"/>
        <v>#NAME?</v>
      </c>
      <c r="K125" t="e">
        <f t="shared" ca="1" si="50"/>
        <v>#NAME?</v>
      </c>
      <c r="L125" t="e">
        <f t="shared" ca="1" si="51"/>
        <v>#NAME?</v>
      </c>
      <c r="M125" t="e">
        <f t="shared" ca="1" si="52"/>
        <v>#NAME?</v>
      </c>
      <c r="N125" t="e">
        <f t="shared" ca="1" si="53"/>
        <v>#NAME?</v>
      </c>
      <c r="O125" t="e">
        <f t="shared" ca="1" si="54"/>
        <v>#NAME?</v>
      </c>
      <c r="P125" t="e">
        <f t="shared" ca="1" si="55"/>
        <v>#NAME?</v>
      </c>
      <c r="R125" t="e">
        <f t="shared" ca="1" si="56"/>
        <v>#NAME?</v>
      </c>
      <c r="S125" t="e">
        <f t="shared" ca="1" si="57"/>
        <v>#NAME?</v>
      </c>
      <c r="T125" t="e">
        <f t="shared" ca="1" si="58"/>
        <v>#NAME?</v>
      </c>
      <c r="U125" t="e">
        <f t="shared" ca="1" si="59"/>
        <v>#NAME?</v>
      </c>
      <c r="V125" t="e">
        <f t="shared" ca="1" si="60"/>
        <v>#NAME?</v>
      </c>
      <c r="W125" t="e">
        <f t="shared" ca="1" si="61"/>
        <v>#NAME?</v>
      </c>
      <c r="X125" t="e">
        <f t="shared" ca="1" si="63"/>
        <v>#NAME?</v>
      </c>
      <c r="Z125" s="15">
        <v>0.5</v>
      </c>
    </row>
    <row r="126" spans="1:26">
      <c r="A126" s="22" t="s">
        <v>212</v>
      </c>
      <c r="B126" s="100" t="s">
        <v>181</v>
      </c>
      <c r="C126" s="91" t="s">
        <v>118</v>
      </c>
      <c r="D126" s="90" t="s">
        <v>118</v>
      </c>
      <c r="E126" s="25"/>
      <c r="F126" s="25"/>
      <c r="G126" s="25"/>
      <c r="H126" s="25" t="s">
        <v>152</v>
      </c>
      <c r="J126" t="e">
        <f t="shared" ca="1" si="49"/>
        <v>#NAME?</v>
      </c>
      <c r="K126" t="e">
        <f t="shared" ca="1" si="50"/>
        <v>#NAME?</v>
      </c>
      <c r="L126" t="e">
        <f t="shared" ca="1" si="51"/>
        <v>#NAME?</v>
      </c>
      <c r="M126" t="e">
        <f t="shared" ca="1" si="52"/>
        <v>#NAME?</v>
      </c>
      <c r="N126" t="e">
        <f t="shared" ca="1" si="53"/>
        <v>#NAME?</v>
      </c>
      <c r="O126" t="e">
        <f t="shared" ca="1" si="54"/>
        <v>#NAME?</v>
      </c>
      <c r="P126" t="e">
        <f t="shared" ca="1" si="55"/>
        <v>#NAME?</v>
      </c>
      <c r="R126" t="e">
        <f t="shared" ca="1" si="56"/>
        <v>#NAME?</v>
      </c>
      <c r="S126" t="e">
        <f t="shared" ca="1" si="57"/>
        <v>#NAME?</v>
      </c>
      <c r="T126" t="e">
        <f t="shared" ca="1" si="58"/>
        <v>#NAME?</v>
      </c>
      <c r="U126" t="e">
        <f t="shared" ca="1" si="59"/>
        <v>#NAME?</v>
      </c>
      <c r="V126" t="e">
        <f t="shared" ca="1" si="60"/>
        <v>#NAME?</v>
      </c>
      <c r="W126" t="e">
        <f t="shared" ca="1" si="61"/>
        <v>#NAME?</v>
      </c>
      <c r="X126" t="e">
        <f t="shared" ca="1" si="63"/>
        <v>#NAME?</v>
      </c>
      <c r="Z126" s="15">
        <v>1</v>
      </c>
    </row>
    <row r="127" spans="1:26">
      <c r="A127" s="22" t="s">
        <v>213</v>
      </c>
      <c r="B127" s="100" t="s">
        <v>181</v>
      </c>
      <c r="C127" s="28" t="s">
        <v>115</v>
      </c>
      <c r="D127" s="91" t="s">
        <v>116</v>
      </c>
      <c r="E127" s="25"/>
      <c r="F127" s="44" t="s">
        <v>186</v>
      </c>
      <c r="G127" s="44" t="s">
        <v>186</v>
      </c>
      <c r="H127" s="28" t="s">
        <v>119</v>
      </c>
      <c r="J127" t="e">
        <f t="shared" ca="1" si="49"/>
        <v>#NAME?</v>
      </c>
      <c r="K127" t="e">
        <f t="shared" ca="1" si="50"/>
        <v>#NAME?</v>
      </c>
      <c r="L127" t="e">
        <f t="shared" ca="1" si="51"/>
        <v>#NAME?</v>
      </c>
      <c r="M127" t="e">
        <f t="shared" ca="1" si="52"/>
        <v>#NAME?</v>
      </c>
      <c r="N127" t="e">
        <f t="shared" ca="1" si="53"/>
        <v>#NAME?</v>
      </c>
      <c r="O127" t="e">
        <f t="shared" ca="1" si="54"/>
        <v>#NAME?</v>
      </c>
      <c r="P127" t="e">
        <f t="shared" ca="1" si="55"/>
        <v>#NAME?</v>
      </c>
      <c r="R127" t="e">
        <f t="shared" ca="1" si="56"/>
        <v>#NAME?</v>
      </c>
      <c r="S127" t="e">
        <f t="shared" ca="1" si="57"/>
        <v>#NAME?</v>
      </c>
      <c r="T127" t="e">
        <f t="shared" ca="1" si="58"/>
        <v>#NAME?</v>
      </c>
      <c r="U127" t="e">
        <f t="shared" ca="1" si="59"/>
        <v>#NAME?</v>
      </c>
      <c r="V127" t="e">
        <f t="shared" ca="1" si="60"/>
        <v>#NAME?</v>
      </c>
      <c r="W127" t="e">
        <f t="shared" ca="1" si="61"/>
        <v>#NAME?</v>
      </c>
      <c r="X127" t="e">
        <f t="shared" ca="1" si="63"/>
        <v>#NAME?</v>
      </c>
      <c r="Z127" s="15">
        <v>1</v>
      </c>
    </row>
    <row r="128" spans="1:26">
      <c r="A128" s="106" t="s">
        <v>214</v>
      </c>
      <c r="B128" s="107" t="str">
        <f t="shared" ref="B128:H128" si="74">B59</f>
        <v>Mon 4 May</v>
      </c>
      <c r="C128" s="107" t="str">
        <f t="shared" si="74"/>
        <v>Tues 5 May</v>
      </c>
      <c r="D128" s="107" t="str">
        <f t="shared" si="74"/>
        <v>Wed 6 May</v>
      </c>
      <c r="E128" s="107" t="str">
        <f t="shared" si="74"/>
        <v>Thu 7 May</v>
      </c>
      <c r="F128" s="107" t="str">
        <f t="shared" si="74"/>
        <v>Fri 8 May</v>
      </c>
      <c r="G128" s="107" t="str">
        <f t="shared" si="74"/>
        <v>Sat 9 May</v>
      </c>
      <c r="H128" s="107" t="str">
        <f t="shared" si="74"/>
        <v>Sun 10 May</v>
      </c>
      <c r="J128" t="e">
        <f t="shared" ca="1" si="49"/>
        <v>#NAME?</v>
      </c>
      <c r="K128" t="e">
        <f t="shared" ca="1" si="50"/>
        <v>#NAME?</v>
      </c>
      <c r="L128" t="e">
        <f t="shared" ca="1" si="51"/>
        <v>#NAME?</v>
      </c>
      <c r="M128" t="e">
        <f t="shared" ca="1" si="52"/>
        <v>#NAME?</v>
      </c>
      <c r="N128" t="e">
        <f t="shared" ca="1" si="53"/>
        <v>#NAME?</v>
      </c>
      <c r="O128" t="e">
        <f t="shared" ca="1" si="54"/>
        <v>#NAME?</v>
      </c>
      <c r="P128" t="e">
        <f t="shared" ca="1" si="55"/>
        <v>#NAME?</v>
      </c>
      <c r="R128" t="e">
        <f t="shared" ca="1" si="56"/>
        <v>#NAME?</v>
      </c>
      <c r="S128" t="e">
        <f t="shared" ca="1" si="57"/>
        <v>#NAME?</v>
      </c>
      <c r="T128" t="e">
        <f t="shared" ca="1" si="58"/>
        <v>#NAME?</v>
      </c>
      <c r="U128" t="e">
        <f t="shared" ca="1" si="59"/>
        <v>#NAME?</v>
      </c>
      <c r="V128" t="e">
        <f t="shared" ca="1" si="60"/>
        <v>#NAME?</v>
      </c>
      <c r="W128" t="e">
        <f t="shared" ca="1" si="61"/>
        <v>#NAME?</v>
      </c>
      <c r="X128" t="e">
        <f t="shared" ref="X128:X146" ca="1" si="75">ShiftIndex(H128)</f>
        <v>#NAME?</v>
      </c>
      <c r="Z128" s="53"/>
    </row>
    <row r="129" spans="1:29">
      <c r="A129" s="22" t="s">
        <v>215</v>
      </c>
      <c r="B129" s="44" t="s">
        <v>189</v>
      </c>
      <c r="C129" s="25"/>
      <c r="D129" s="91" t="s">
        <v>118</v>
      </c>
      <c r="E129" s="91" t="s">
        <v>118</v>
      </c>
      <c r="F129" s="101" t="s">
        <v>118</v>
      </c>
      <c r="G129" s="25"/>
      <c r="H129" s="25"/>
      <c r="J129" t="e">
        <f t="shared" ca="1" si="49"/>
        <v>#NAME?</v>
      </c>
      <c r="K129" t="e">
        <f t="shared" ca="1" si="50"/>
        <v>#NAME?</v>
      </c>
      <c r="L129" t="e">
        <f t="shared" ca="1" si="51"/>
        <v>#NAME?</v>
      </c>
      <c r="M129" t="e">
        <f t="shared" ca="1" si="52"/>
        <v>#NAME?</v>
      </c>
      <c r="N129" t="e">
        <f t="shared" ca="1" si="53"/>
        <v>#NAME?</v>
      </c>
      <c r="O129" t="e">
        <f t="shared" ca="1" si="54"/>
        <v>#NAME?</v>
      </c>
      <c r="P129" t="e">
        <f t="shared" ca="1" si="55"/>
        <v>#NAME?</v>
      </c>
      <c r="R129" t="e">
        <f t="shared" ca="1" si="56"/>
        <v>#NAME?</v>
      </c>
      <c r="S129" t="e">
        <f t="shared" ca="1" si="57"/>
        <v>#NAME?</v>
      </c>
      <c r="T129" t="e">
        <f t="shared" ca="1" si="58"/>
        <v>#NAME?</v>
      </c>
      <c r="U129" t="e">
        <f t="shared" ca="1" si="59"/>
        <v>#NAME?</v>
      </c>
      <c r="V129" t="e">
        <f t="shared" ca="1" si="60"/>
        <v>#NAME?</v>
      </c>
      <c r="W129" t="e">
        <f t="shared" ca="1" si="61"/>
        <v>#NAME?</v>
      </c>
      <c r="X129" t="e">
        <f t="shared" ca="1" si="75"/>
        <v>#NAME?</v>
      </c>
      <c r="Z129" s="15">
        <v>1</v>
      </c>
    </row>
    <row r="130" spans="1:29">
      <c r="A130" s="22" t="s">
        <v>216</v>
      </c>
      <c r="B130" s="25"/>
      <c r="C130" s="101" t="s">
        <v>118</v>
      </c>
      <c r="D130" s="110" t="s">
        <v>142</v>
      </c>
      <c r="E130" s="28" t="s">
        <v>115</v>
      </c>
      <c r="F130" s="90" t="s">
        <v>116</v>
      </c>
      <c r="G130" s="25"/>
      <c r="H130" s="25"/>
      <c r="J130" t="e">
        <f t="shared" ca="1" si="49"/>
        <v>#NAME?</v>
      </c>
      <c r="K130" t="e">
        <f t="shared" ca="1" si="50"/>
        <v>#NAME?</v>
      </c>
      <c r="L130" t="e">
        <f t="shared" ca="1" si="51"/>
        <v>#NAME?</v>
      </c>
      <c r="M130" t="e">
        <f t="shared" ca="1" si="52"/>
        <v>#NAME?</v>
      </c>
      <c r="N130" t="e">
        <f t="shared" ca="1" si="53"/>
        <v>#NAME?</v>
      </c>
      <c r="O130" t="e">
        <f t="shared" ca="1" si="54"/>
        <v>#NAME?</v>
      </c>
      <c r="P130" t="e">
        <f t="shared" ca="1" si="55"/>
        <v>#NAME?</v>
      </c>
      <c r="R130" t="e">
        <f t="shared" ca="1" si="56"/>
        <v>#NAME?</v>
      </c>
      <c r="S130" t="e">
        <f t="shared" ca="1" si="57"/>
        <v>#NAME?</v>
      </c>
      <c r="T130" t="e">
        <f t="shared" ca="1" si="58"/>
        <v>#NAME?</v>
      </c>
      <c r="U130" t="e">
        <f t="shared" ca="1" si="59"/>
        <v>#NAME?</v>
      </c>
      <c r="V130" t="e">
        <f t="shared" ca="1" si="60"/>
        <v>#NAME?</v>
      </c>
      <c r="W130" t="e">
        <f t="shared" ca="1" si="61"/>
        <v>#NAME?</v>
      </c>
      <c r="X130" t="e">
        <f t="shared" ca="1" si="75"/>
        <v>#NAME?</v>
      </c>
      <c r="Z130" s="15">
        <v>1</v>
      </c>
    </row>
    <row r="131" spans="1:29">
      <c r="A131" s="22" t="s">
        <v>217</v>
      </c>
      <c r="B131" s="130" t="s">
        <v>18</v>
      </c>
      <c r="C131" s="131"/>
      <c r="D131" s="131"/>
      <c r="E131" s="131"/>
      <c r="F131" s="131"/>
      <c r="G131" s="131"/>
      <c r="H131" s="132"/>
      <c r="J131" t="e">
        <f t="shared" ca="1" si="49"/>
        <v>#NAME?</v>
      </c>
      <c r="K131" t="e">
        <f t="shared" ca="1" si="50"/>
        <v>#NAME?</v>
      </c>
      <c r="L131" t="e">
        <f t="shared" ca="1" si="51"/>
        <v>#NAME?</v>
      </c>
      <c r="M131" t="e">
        <f t="shared" ca="1" si="52"/>
        <v>#NAME?</v>
      </c>
      <c r="N131" t="e">
        <f t="shared" ca="1" si="53"/>
        <v>#NAME?</v>
      </c>
      <c r="O131" t="e">
        <f t="shared" ca="1" si="54"/>
        <v>#NAME?</v>
      </c>
      <c r="P131" t="e">
        <f t="shared" ca="1" si="55"/>
        <v>#NAME?</v>
      </c>
      <c r="R131" t="e">
        <f t="shared" ca="1" si="56"/>
        <v>#NAME?</v>
      </c>
      <c r="S131" t="e">
        <f t="shared" ca="1" si="57"/>
        <v>#NAME?</v>
      </c>
      <c r="T131" t="e">
        <f t="shared" ca="1" si="58"/>
        <v>#NAME?</v>
      </c>
      <c r="U131" t="e">
        <f t="shared" ca="1" si="59"/>
        <v>#NAME?</v>
      </c>
      <c r="V131" t="e">
        <f t="shared" ca="1" si="60"/>
        <v>#NAME?</v>
      </c>
      <c r="W131" t="e">
        <f t="shared" ca="1" si="61"/>
        <v>#NAME?</v>
      </c>
      <c r="X131" t="e">
        <f t="shared" ca="1" si="75"/>
        <v>#NAME?</v>
      </c>
      <c r="Z131" s="15">
        <v>1</v>
      </c>
    </row>
    <row r="132" spans="1:29">
      <c r="A132" s="22" t="s">
        <v>218</v>
      </c>
      <c r="B132" s="90" t="s">
        <v>118</v>
      </c>
      <c r="C132" s="91" t="s">
        <v>118</v>
      </c>
      <c r="D132" s="90" t="s">
        <v>116</v>
      </c>
      <c r="E132" s="25"/>
      <c r="F132" s="44" t="s">
        <v>189</v>
      </c>
      <c r="G132" s="25"/>
      <c r="H132" s="25"/>
      <c r="J132" t="e">
        <f t="shared" ca="1" si="49"/>
        <v>#NAME?</v>
      </c>
      <c r="K132" t="e">
        <f t="shared" ca="1" si="50"/>
        <v>#NAME?</v>
      </c>
      <c r="L132" t="e">
        <f t="shared" ca="1" si="51"/>
        <v>#NAME?</v>
      </c>
      <c r="M132" t="e">
        <f t="shared" ca="1" si="52"/>
        <v>#NAME?</v>
      </c>
      <c r="N132" t="e">
        <f t="shared" ca="1" si="53"/>
        <v>#NAME?</v>
      </c>
      <c r="O132" t="e">
        <f t="shared" ca="1" si="54"/>
        <v>#NAME?</v>
      </c>
      <c r="P132" t="e">
        <f t="shared" ca="1" si="55"/>
        <v>#NAME?</v>
      </c>
      <c r="R132" t="e">
        <f t="shared" ca="1" si="56"/>
        <v>#NAME?</v>
      </c>
      <c r="S132" t="e">
        <f t="shared" ca="1" si="57"/>
        <v>#NAME?</v>
      </c>
      <c r="T132" t="e">
        <f t="shared" ca="1" si="58"/>
        <v>#NAME?</v>
      </c>
      <c r="U132" t="e">
        <f t="shared" ca="1" si="59"/>
        <v>#NAME?</v>
      </c>
      <c r="V132" t="e">
        <f t="shared" ca="1" si="60"/>
        <v>#NAME?</v>
      </c>
      <c r="W132" t="e">
        <f t="shared" ca="1" si="61"/>
        <v>#NAME?</v>
      </c>
      <c r="X132" t="e">
        <f t="shared" ca="1" si="75"/>
        <v>#NAME?</v>
      </c>
      <c r="Z132" s="15">
        <v>1</v>
      </c>
    </row>
    <row r="133" spans="1:29">
      <c r="A133" s="22" t="s">
        <v>219</v>
      </c>
      <c r="B133" s="25" t="s">
        <v>152</v>
      </c>
      <c r="C133" s="25" t="s">
        <v>152</v>
      </c>
      <c r="D133" s="25" t="s">
        <v>152</v>
      </c>
      <c r="E133" s="25"/>
      <c r="F133" s="25"/>
      <c r="G133" s="25"/>
      <c r="H133" s="25"/>
      <c r="J133" t="e">
        <f t="shared" ca="1" si="49"/>
        <v>#NAME?</v>
      </c>
      <c r="K133" t="e">
        <f t="shared" ca="1" si="50"/>
        <v>#NAME?</v>
      </c>
      <c r="L133" t="e">
        <f t="shared" ca="1" si="51"/>
        <v>#NAME?</v>
      </c>
      <c r="M133" t="e">
        <f t="shared" ca="1" si="52"/>
        <v>#NAME?</v>
      </c>
      <c r="N133" t="e">
        <f t="shared" ca="1" si="53"/>
        <v>#NAME?</v>
      </c>
      <c r="O133" t="e">
        <f t="shared" ca="1" si="54"/>
        <v>#NAME?</v>
      </c>
      <c r="P133" t="e">
        <f t="shared" ca="1" si="55"/>
        <v>#NAME?</v>
      </c>
      <c r="R133" t="e">
        <f t="shared" ca="1" si="56"/>
        <v>#NAME?</v>
      </c>
      <c r="S133" t="e">
        <f t="shared" ca="1" si="57"/>
        <v>#NAME?</v>
      </c>
      <c r="T133" t="e">
        <f t="shared" ca="1" si="58"/>
        <v>#NAME?</v>
      </c>
      <c r="U133" t="e">
        <f t="shared" ca="1" si="59"/>
        <v>#NAME?</v>
      </c>
      <c r="V133" t="e">
        <f t="shared" ca="1" si="60"/>
        <v>#NAME?</v>
      </c>
      <c r="W133" t="e">
        <f t="shared" ca="1" si="61"/>
        <v>#NAME?</v>
      </c>
      <c r="X133" t="e">
        <f t="shared" ca="1" si="75"/>
        <v>#NAME?</v>
      </c>
      <c r="Z133" s="15">
        <v>1</v>
      </c>
    </row>
    <row r="134" spans="1:29">
      <c r="A134" s="22" t="s">
        <v>220</v>
      </c>
      <c r="B134" s="101" t="s">
        <v>116</v>
      </c>
      <c r="C134" s="25"/>
      <c r="D134" s="25"/>
      <c r="E134" s="25" t="s">
        <v>152</v>
      </c>
      <c r="F134" s="25" t="s">
        <v>152</v>
      </c>
      <c r="G134" s="25" t="s">
        <v>152</v>
      </c>
      <c r="H134" s="25" t="s">
        <v>152</v>
      </c>
      <c r="J134" t="e">
        <f t="shared" ref="J134:J146" ca="1" si="76">colorindex(B134)</f>
        <v>#NAME?</v>
      </c>
      <c r="K134" t="e">
        <f t="shared" ref="K134:K146" ca="1" si="77">colorindex(C134)</f>
        <v>#NAME?</v>
      </c>
      <c r="L134" t="e">
        <f t="shared" ref="L134:L146" ca="1" si="78">colorindex(D134)</f>
        <v>#NAME?</v>
      </c>
      <c r="M134" t="e">
        <f t="shared" ref="M134:M146" ca="1" si="79">colorindex(E134)</f>
        <v>#NAME?</v>
      </c>
      <c r="N134" t="e">
        <f t="shared" ref="N134:N146" ca="1" si="80">colorindex(F134)</f>
        <v>#NAME?</v>
      </c>
      <c r="O134" t="e">
        <f t="shared" ref="O134:O146" ca="1" si="81">colorindex(G134)</f>
        <v>#NAME?</v>
      </c>
      <c r="P134" t="e">
        <f t="shared" ref="P134:P146" ca="1" si="82">colorindex(H134)</f>
        <v>#NAME?</v>
      </c>
      <c r="R134" t="e">
        <f t="shared" ref="R134:R146" ca="1" si="83">ShiftIndex(B134)</f>
        <v>#NAME?</v>
      </c>
      <c r="S134" t="e">
        <f t="shared" ref="S134:S146" ca="1" si="84">ShiftIndex(C134)</f>
        <v>#NAME?</v>
      </c>
      <c r="T134" t="e">
        <f t="shared" ref="T134:T146" ca="1" si="85">ShiftIndex(D134)</f>
        <v>#NAME?</v>
      </c>
      <c r="U134" t="e">
        <f t="shared" ref="U134:U146" ca="1" si="86">ShiftIndex(E134)</f>
        <v>#NAME?</v>
      </c>
      <c r="V134" t="e">
        <f t="shared" ref="V134:V146" ca="1" si="87">ShiftIndex(F134)</f>
        <v>#NAME?</v>
      </c>
      <c r="W134" t="e">
        <f t="shared" ref="W134:W146" ca="1" si="88">ShiftIndex(G134)</f>
        <v>#NAME?</v>
      </c>
      <c r="X134" t="e">
        <f t="shared" ca="1" si="75"/>
        <v>#NAME?</v>
      </c>
      <c r="Z134" s="15">
        <v>1</v>
      </c>
    </row>
    <row r="135" spans="1:29">
      <c r="A135" s="22" t="s">
        <v>221</v>
      </c>
      <c r="B135" s="25"/>
      <c r="C135" s="25"/>
      <c r="D135" s="91" t="s">
        <v>116</v>
      </c>
      <c r="E135" s="44" t="s">
        <v>189</v>
      </c>
      <c r="F135" s="25"/>
      <c r="G135" s="91" t="s">
        <v>118</v>
      </c>
      <c r="H135" s="101" t="s">
        <v>118</v>
      </c>
      <c r="J135" t="e">
        <f t="shared" ca="1" si="76"/>
        <v>#NAME?</v>
      </c>
      <c r="K135" t="e">
        <f t="shared" ca="1" si="77"/>
        <v>#NAME?</v>
      </c>
      <c r="L135" t="e">
        <f t="shared" ca="1" si="78"/>
        <v>#NAME?</v>
      </c>
      <c r="M135" t="e">
        <f t="shared" ca="1" si="79"/>
        <v>#NAME?</v>
      </c>
      <c r="N135" t="e">
        <f t="shared" ca="1" si="80"/>
        <v>#NAME?</v>
      </c>
      <c r="O135" t="e">
        <f t="shared" ca="1" si="81"/>
        <v>#NAME?</v>
      </c>
      <c r="P135" t="e">
        <f t="shared" ca="1" si="82"/>
        <v>#NAME?</v>
      </c>
      <c r="R135" t="e">
        <f t="shared" ca="1" si="83"/>
        <v>#NAME?</v>
      </c>
      <c r="S135" t="e">
        <f t="shared" ca="1" si="84"/>
        <v>#NAME?</v>
      </c>
      <c r="T135" t="e">
        <f t="shared" ca="1" si="85"/>
        <v>#NAME?</v>
      </c>
      <c r="U135" t="e">
        <f t="shared" ca="1" si="86"/>
        <v>#NAME?</v>
      </c>
      <c r="V135" t="e">
        <f t="shared" ca="1" si="87"/>
        <v>#NAME?</v>
      </c>
      <c r="W135" t="e">
        <f t="shared" ca="1" si="88"/>
        <v>#NAME?</v>
      </c>
      <c r="X135" t="e">
        <f t="shared" ca="1" si="75"/>
        <v>#NAME?</v>
      </c>
      <c r="Z135" s="15">
        <v>1</v>
      </c>
    </row>
    <row r="136" spans="1:29">
      <c r="A136" s="22" t="s">
        <v>222</v>
      </c>
      <c r="B136" s="91" t="s">
        <v>116</v>
      </c>
      <c r="C136" s="90" t="s">
        <v>116</v>
      </c>
      <c r="D136" s="25"/>
      <c r="E136" s="101" t="s">
        <v>118</v>
      </c>
      <c r="F136" s="91" t="s">
        <v>116</v>
      </c>
      <c r="G136" s="25"/>
      <c r="H136" s="25"/>
      <c r="J136" t="e">
        <f t="shared" ca="1" si="76"/>
        <v>#NAME?</v>
      </c>
      <c r="K136" t="e">
        <f t="shared" ca="1" si="77"/>
        <v>#NAME?</v>
      </c>
      <c r="L136" t="e">
        <f t="shared" ca="1" si="78"/>
        <v>#NAME?</v>
      </c>
      <c r="M136" t="e">
        <f t="shared" ca="1" si="79"/>
        <v>#NAME?</v>
      </c>
      <c r="N136" t="e">
        <f t="shared" ca="1" si="80"/>
        <v>#NAME?</v>
      </c>
      <c r="O136" t="e">
        <f t="shared" ca="1" si="81"/>
        <v>#NAME?</v>
      </c>
      <c r="P136" t="e">
        <f t="shared" ca="1" si="82"/>
        <v>#NAME?</v>
      </c>
      <c r="R136" t="e">
        <f t="shared" ca="1" si="83"/>
        <v>#NAME?</v>
      </c>
      <c r="S136" t="e">
        <f t="shared" ca="1" si="84"/>
        <v>#NAME?</v>
      </c>
      <c r="T136" t="e">
        <f t="shared" ca="1" si="85"/>
        <v>#NAME?</v>
      </c>
      <c r="U136" t="e">
        <f t="shared" ca="1" si="86"/>
        <v>#NAME?</v>
      </c>
      <c r="V136" t="e">
        <f t="shared" ca="1" si="87"/>
        <v>#NAME?</v>
      </c>
      <c r="W136" t="e">
        <f t="shared" ca="1" si="88"/>
        <v>#NAME?</v>
      </c>
      <c r="X136" t="e">
        <f t="shared" ca="1" si="75"/>
        <v>#NAME?</v>
      </c>
      <c r="Z136" s="15">
        <v>1</v>
      </c>
    </row>
    <row r="137" spans="1:29">
      <c r="A137" s="106" t="s">
        <v>223</v>
      </c>
      <c r="B137" s="107" t="str">
        <f t="shared" ref="B137:H137" si="89">B102</f>
        <v>Mon 4 May</v>
      </c>
      <c r="C137" s="107" t="str">
        <f t="shared" si="89"/>
        <v>Tues 5 May</v>
      </c>
      <c r="D137" s="107" t="str">
        <f t="shared" si="89"/>
        <v>Wed 6 May</v>
      </c>
      <c r="E137" s="107" t="str">
        <f t="shared" si="89"/>
        <v>Thu 7 May</v>
      </c>
      <c r="F137" s="107" t="str">
        <f t="shared" si="89"/>
        <v>Fri 8 May</v>
      </c>
      <c r="G137" s="107" t="str">
        <f t="shared" si="89"/>
        <v>Sat 9 May</v>
      </c>
      <c r="H137" s="107" t="str">
        <f t="shared" si="89"/>
        <v>Sun 10 May</v>
      </c>
      <c r="J137" t="e">
        <f t="shared" ca="1" si="76"/>
        <v>#NAME?</v>
      </c>
      <c r="K137" t="e">
        <f t="shared" ca="1" si="77"/>
        <v>#NAME?</v>
      </c>
      <c r="L137" t="e">
        <f t="shared" ca="1" si="78"/>
        <v>#NAME?</v>
      </c>
      <c r="M137" t="e">
        <f t="shared" ca="1" si="79"/>
        <v>#NAME?</v>
      </c>
      <c r="N137" t="e">
        <f t="shared" ca="1" si="80"/>
        <v>#NAME?</v>
      </c>
      <c r="O137" t="e">
        <f t="shared" ca="1" si="81"/>
        <v>#NAME?</v>
      </c>
      <c r="P137" t="e">
        <f t="shared" ca="1" si="82"/>
        <v>#NAME?</v>
      </c>
      <c r="R137" t="e">
        <f t="shared" ca="1" si="83"/>
        <v>#NAME?</v>
      </c>
      <c r="S137" t="e">
        <f t="shared" ca="1" si="84"/>
        <v>#NAME?</v>
      </c>
      <c r="T137" t="e">
        <f t="shared" ca="1" si="85"/>
        <v>#NAME?</v>
      </c>
      <c r="U137" t="e">
        <f t="shared" ca="1" si="86"/>
        <v>#NAME?</v>
      </c>
      <c r="V137" t="e">
        <f t="shared" ca="1" si="87"/>
        <v>#NAME?</v>
      </c>
      <c r="W137" t="e">
        <f t="shared" ca="1" si="88"/>
        <v>#NAME?</v>
      </c>
      <c r="X137" t="e">
        <f t="shared" ca="1" si="75"/>
        <v>#NAME?</v>
      </c>
      <c r="Z137" s="53">
        <f>SUM(Z129:Z136)</f>
        <v>8</v>
      </c>
      <c r="AA137" s="55"/>
      <c r="AB137" s="55"/>
      <c r="AC137" s="55"/>
    </row>
    <row r="138" spans="1:29">
      <c r="A138" s="21" t="s">
        <v>224</v>
      </c>
      <c r="B138" s="25"/>
      <c r="C138" s="25"/>
      <c r="D138" s="25" t="s">
        <v>225</v>
      </c>
      <c r="E138" s="25"/>
      <c r="F138" s="25"/>
      <c r="G138" s="91" t="s">
        <v>116</v>
      </c>
      <c r="H138" s="101" t="s">
        <v>116</v>
      </c>
      <c r="J138" t="e">
        <f t="shared" ca="1" si="76"/>
        <v>#NAME?</v>
      </c>
      <c r="K138" t="e">
        <f t="shared" ca="1" si="77"/>
        <v>#NAME?</v>
      </c>
      <c r="L138" t="e">
        <f t="shared" ca="1" si="78"/>
        <v>#NAME?</v>
      </c>
      <c r="M138" t="e">
        <f t="shared" ca="1" si="79"/>
        <v>#NAME?</v>
      </c>
      <c r="N138" t="e">
        <f t="shared" ca="1" si="80"/>
        <v>#NAME?</v>
      </c>
      <c r="O138" t="e">
        <f t="shared" ca="1" si="81"/>
        <v>#NAME?</v>
      </c>
      <c r="P138" t="e">
        <f t="shared" ca="1" si="82"/>
        <v>#NAME?</v>
      </c>
      <c r="R138" t="e">
        <f t="shared" ca="1" si="83"/>
        <v>#NAME?</v>
      </c>
      <c r="S138" t="e">
        <f t="shared" ca="1" si="84"/>
        <v>#NAME?</v>
      </c>
      <c r="T138" t="e">
        <f t="shared" ca="1" si="85"/>
        <v>#NAME?</v>
      </c>
      <c r="U138" t="e">
        <f t="shared" ca="1" si="86"/>
        <v>#NAME?</v>
      </c>
      <c r="V138" t="e">
        <f t="shared" ca="1" si="87"/>
        <v>#NAME?</v>
      </c>
      <c r="W138" t="e">
        <f t="shared" ca="1" si="88"/>
        <v>#NAME?</v>
      </c>
      <c r="X138" t="e">
        <f t="shared" ca="1" si="75"/>
        <v>#NAME?</v>
      </c>
      <c r="AA138" s="56"/>
      <c r="AB138" s="55"/>
      <c r="AC138" s="56"/>
    </row>
    <row r="139" spans="1:29">
      <c r="A139" s="21" t="s">
        <v>226</v>
      </c>
      <c r="B139" s="25"/>
      <c r="C139" s="25"/>
      <c r="D139" s="28" t="s">
        <v>115</v>
      </c>
      <c r="E139" s="25"/>
      <c r="F139" s="25"/>
      <c r="G139" s="25"/>
      <c r="H139" s="25"/>
      <c r="J139" t="e">
        <f t="shared" ca="1" si="76"/>
        <v>#NAME?</v>
      </c>
      <c r="K139" t="e">
        <f t="shared" ca="1" si="77"/>
        <v>#NAME?</v>
      </c>
      <c r="L139" t="e">
        <f t="shared" ca="1" si="78"/>
        <v>#NAME?</v>
      </c>
      <c r="M139" t="e">
        <f t="shared" ca="1" si="79"/>
        <v>#NAME?</v>
      </c>
      <c r="N139" t="e">
        <f t="shared" ca="1" si="80"/>
        <v>#NAME?</v>
      </c>
      <c r="O139" t="e">
        <f t="shared" ca="1" si="81"/>
        <v>#NAME?</v>
      </c>
      <c r="P139" t="e">
        <f t="shared" ca="1" si="82"/>
        <v>#NAME?</v>
      </c>
      <c r="R139" t="e">
        <f t="shared" ca="1" si="83"/>
        <v>#NAME?</v>
      </c>
      <c r="S139" t="e">
        <f t="shared" ca="1" si="84"/>
        <v>#NAME?</v>
      </c>
      <c r="T139" t="e">
        <f t="shared" ca="1" si="85"/>
        <v>#NAME?</v>
      </c>
      <c r="U139" t="e">
        <f t="shared" ca="1" si="86"/>
        <v>#NAME?</v>
      </c>
      <c r="V139" t="e">
        <f t="shared" ca="1" si="87"/>
        <v>#NAME?</v>
      </c>
      <c r="W139" t="e">
        <f t="shared" ca="1" si="88"/>
        <v>#NAME?</v>
      </c>
      <c r="X139" t="e">
        <f t="shared" ca="1" si="75"/>
        <v>#NAME?</v>
      </c>
      <c r="AA139" s="56"/>
      <c r="AB139" s="55"/>
      <c r="AC139" s="56"/>
    </row>
    <row r="140" spans="1:29">
      <c r="A140" s="21" t="s">
        <v>227</v>
      </c>
      <c r="B140" s="25"/>
      <c r="C140" s="90" t="s">
        <v>116</v>
      </c>
      <c r="D140" s="25"/>
      <c r="E140" s="25"/>
      <c r="F140" s="25"/>
      <c r="G140" s="25"/>
      <c r="H140" s="25"/>
      <c r="J140" t="e">
        <f t="shared" ca="1" si="76"/>
        <v>#NAME?</v>
      </c>
      <c r="K140" t="e">
        <f t="shared" ca="1" si="77"/>
        <v>#NAME?</v>
      </c>
      <c r="L140" t="e">
        <f t="shared" ca="1" si="78"/>
        <v>#NAME?</v>
      </c>
      <c r="M140" t="e">
        <f t="shared" ca="1" si="79"/>
        <v>#NAME?</v>
      </c>
      <c r="N140" t="e">
        <f t="shared" ca="1" si="80"/>
        <v>#NAME?</v>
      </c>
      <c r="O140" t="e">
        <f t="shared" ca="1" si="81"/>
        <v>#NAME?</v>
      </c>
      <c r="P140" t="e">
        <f t="shared" ca="1" si="82"/>
        <v>#NAME?</v>
      </c>
      <c r="R140" t="e">
        <f t="shared" ca="1" si="83"/>
        <v>#NAME?</v>
      </c>
      <c r="S140" t="e">
        <f t="shared" ca="1" si="84"/>
        <v>#NAME?</v>
      </c>
      <c r="T140" t="e">
        <f t="shared" ca="1" si="85"/>
        <v>#NAME?</v>
      </c>
      <c r="U140" t="e">
        <f t="shared" ca="1" si="86"/>
        <v>#NAME?</v>
      </c>
      <c r="V140" t="e">
        <f t="shared" ca="1" si="87"/>
        <v>#NAME?</v>
      </c>
      <c r="W140" t="e">
        <f t="shared" ca="1" si="88"/>
        <v>#NAME?</v>
      </c>
      <c r="X140" t="e">
        <f t="shared" ca="1" si="75"/>
        <v>#NAME?</v>
      </c>
      <c r="AA140" s="56"/>
      <c r="AB140" s="55"/>
      <c r="AC140" s="56"/>
    </row>
    <row r="141" spans="1:29">
      <c r="A141" s="21" t="s">
        <v>228</v>
      </c>
      <c r="B141" s="25"/>
      <c r="C141" s="25"/>
      <c r="D141" s="91" t="s">
        <v>229</v>
      </c>
      <c r="E141" s="110" t="s">
        <v>230</v>
      </c>
      <c r="F141" s="25"/>
      <c r="G141" s="25"/>
      <c r="H141" s="25"/>
      <c r="J141" t="e">
        <f t="shared" ca="1" si="76"/>
        <v>#NAME?</v>
      </c>
      <c r="K141" t="e">
        <f t="shared" ca="1" si="77"/>
        <v>#NAME?</v>
      </c>
      <c r="L141" t="e">
        <f t="shared" ca="1" si="78"/>
        <v>#NAME?</v>
      </c>
      <c r="M141" t="e">
        <f t="shared" ca="1" si="79"/>
        <v>#NAME?</v>
      </c>
      <c r="N141" t="e">
        <f t="shared" ca="1" si="80"/>
        <v>#NAME?</v>
      </c>
      <c r="O141" t="e">
        <f t="shared" ca="1" si="81"/>
        <v>#NAME?</v>
      </c>
      <c r="P141" t="e">
        <f t="shared" ca="1" si="82"/>
        <v>#NAME?</v>
      </c>
      <c r="R141" t="e">
        <f t="shared" ca="1" si="83"/>
        <v>#NAME?</v>
      </c>
      <c r="S141" t="e">
        <f t="shared" ca="1" si="84"/>
        <v>#NAME?</v>
      </c>
      <c r="T141" t="e">
        <f t="shared" ca="1" si="85"/>
        <v>#NAME?</v>
      </c>
      <c r="U141" t="e">
        <f t="shared" ca="1" si="86"/>
        <v>#NAME?</v>
      </c>
      <c r="V141" t="e">
        <f t="shared" ca="1" si="87"/>
        <v>#NAME?</v>
      </c>
      <c r="W141" t="e">
        <f t="shared" ca="1" si="88"/>
        <v>#NAME?</v>
      </c>
      <c r="X141" t="e">
        <f t="shared" ca="1" si="75"/>
        <v>#NAME?</v>
      </c>
      <c r="AA141" s="56"/>
      <c r="AB141" s="55"/>
      <c r="AC141" s="56"/>
    </row>
    <row r="142" spans="1:29">
      <c r="A142" s="21" t="s">
        <v>231</v>
      </c>
      <c r="B142" s="25"/>
      <c r="C142" s="25"/>
      <c r="D142" s="25"/>
      <c r="E142" s="25"/>
      <c r="F142" s="90" t="s">
        <v>118</v>
      </c>
      <c r="G142" s="25"/>
      <c r="H142" s="25"/>
      <c r="J142" t="e">
        <f t="shared" ca="1" si="76"/>
        <v>#NAME?</v>
      </c>
      <c r="K142" t="e">
        <f t="shared" ca="1" si="77"/>
        <v>#NAME?</v>
      </c>
      <c r="L142" t="e">
        <f t="shared" ca="1" si="78"/>
        <v>#NAME?</v>
      </c>
      <c r="M142" t="e">
        <f t="shared" ca="1" si="79"/>
        <v>#NAME?</v>
      </c>
      <c r="N142" t="e">
        <f t="shared" ca="1" si="80"/>
        <v>#NAME?</v>
      </c>
      <c r="O142" t="e">
        <f t="shared" ca="1" si="81"/>
        <v>#NAME?</v>
      </c>
      <c r="P142" t="e">
        <f t="shared" ca="1" si="82"/>
        <v>#NAME?</v>
      </c>
      <c r="R142" t="e">
        <f t="shared" ca="1" si="83"/>
        <v>#NAME?</v>
      </c>
      <c r="S142" t="e">
        <f t="shared" ca="1" si="84"/>
        <v>#NAME?</v>
      </c>
      <c r="T142" t="e">
        <f t="shared" ca="1" si="85"/>
        <v>#NAME?</v>
      </c>
      <c r="U142" t="e">
        <f t="shared" ca="1" si="86"/>
        <v>#NAME?</v>
      </c>
      <c r="V142" t="e">
        <f t="shared" ca="1" si="87"/>
        <v>#NAME?</v>
      </c>
      <c r="W142" t="e">
        <f t="shared" ca="1" si="88"/>
        <v>#NAME?</v>
      </c>
      <c r="X142" t="e">
        <f t="shared" ca="1" si="75"/>
        <v>#NAME?</v>
      </c>
      <c r="AA142" s="56"/>
      <c r="AB142" s="55"/>
      <c r="AC142" s="56"/>
    </row>
    <row r="143" spans="1:29">
      <c r="A143" s="21" t="s">
        <v>232</v>
      </c>
      <c r="B143" s="25"/>
      <c r="C143" s="25"/>
      <c r="D143" s="25"/>
      <c r="E143" s="25"/>
      <c r="F143" s="25"/>
      <c r="G143" s="91" t="s">
        <v>116</v>
      </c>
      <c r="H143" s="91" t="s">
        <v>233</v>
      </c>
      <c r="J143" t="e">
        <f t="shared" ca="1" si="76"/>
        <v>#NAME?</v>
      </c>
      <c r="K143" t="e">
        <f t="shared" ca="1" si="77"/>
        <v>#NAME?</v>
      </c>
      <c r="L143" t="e">
        <f t="shared" ca="1" si="78"/>
        <v>#NAME?</v>
      </c>
      <c r="M143" t="e">
        <f t="shared" ca="1" si="79"/>
        <v>#NAME?</v>
      </c>
      <c r="N143" t="e">
        <f t="shared" ca="1" si="80"/>
        <v>#NAME?</v>
      </c>
      <c r="O143" t="e">
        <f t="shared" ca="1" si="81"/>
        <v>#NAME?</v>
      </c>
      <c r="P143" t="e">
        <f t="shared" ca="1" si="82"/>
        <v>#NAME?</v>
      </c>
      <c r="R143" t="e">
        <f t="shared" ca="1" si="83"/>
        <v>#NAME?</v>
      </c>
      <c r="S143" t="e">
        <f t="shared" ca="1" si="84"/>
        <v>#NAME?</v>
      </c>
      <c r="T143" t="e">
        <f t="shared" ca="1" si="85"/>
        <v>#NAME?</v>
      </c>
      <c r="U143" t="e">
        <f t="shared" ca="1" si="86"/>
        <v>#NAME?</v>
      </c>
      <c r="V143" t="e">
        <f t="shared" ca="1" si="87"/>
        <v>#NAME?</v>
      </c>
      <c r="W143" t="e">
        <f t="shared" ca="1" si="88"/>
        <v>#NAME?</v>
      </c>
      <c r="X143" t="e">
        <f t="shared" ref="X143" ca="1" si="90">ShiftIndex(H143)</f>
        <v>#NAME?</v>
      </c>
      <c r="AA143" s="56"/>
      <c r="AB143" s="55"/>
      <c r="AC143" s="56"/>
    </row>
    <row r="144" spans="1:29">
      <c r="A144" s="21" t="s">
        <v>234</v>
      </c>
      <c r="B144" s="25"/>
      <c r="C144" s="25"/>
      <c r="D144" s="25"/>
      <c r="E144" s="25"/>
      <c r="F144" s="25"/>
      <c r="G144" s="25"/>
      <c r="H144" s="91" t="s">
        <v>118</v>
      </c>
      <c r="J144" t="e">
        <f t="shared" ca="1" si="76"/>
        <v>#NAME?</v>
      </c>
      <c r="K144" t="e">
        <f t="shared" ca="1" si="77"/>
        <v>#NAME?</v>
      </c>
      <c r="L144" t="e">
        <f t="shared" ca="1" si="78"/>
        <v>#NAME?</v>
      </c>
      <c r="M144" t="e">
        <f t="shared" ca="1" si="79"/>
        <v>#NAME?</v>
      </c>
      <c r="N144" t="e">
        <f t="shared" ca="1" si="80"/>
        <v>#NAME?</v>
      </c>
      <c r="O144" t="e">
        <f t="shared" ca="1" si="81"/>
        <v>#NAME?</v>
      </c>
      <c r="P144" t="e">
        <f t="shared" ca="1" si="82"/>
        <v>#NAME?</v>
      </c>
      <c r="R144" t="e">
        <f t="shared" ca="1" si="83"/>
        <v>#NAME?</v>
      </c>
      <c r="S144" t="e">
        <f t="shared" ca="1" si="84"/>
        <v>#NAME?</v>
      </c>
      <c r="T144" t="e">
        <f t="shared" ca="1" si="85"/>
        <v>#NAME?</v>
      </c>
      <c r="U144" t="e">
        <f t="shared" ca="1" si="86"/>
        <v>#NAME?</v>
      </c>
      <c r="V144" t="e">
        <f t="shared" ca="1" si="87"/>
        <v>#NAME?</v>
      </c>
      <c r="W144" t="e">
        <f t="shared" ca="1" si="88"/>
        <v>#NAME?</v>
      </c>
      <c r="X144" t="e">
        <f t="shared" ref="X144" ca="1" si="91">ShiftIndex(H144)</f>
        <v>#NAME?</v>
      </c>
      <c r="AA144" s="56"/>
      <c r="AB144" s="55"/>
      <c r="AC144" s="56"/>
    </row>
    <row r="145" spans="1:34" s="6" customFormat="1" ht="15" customHeight="1">
      <c r="A145" s="106" t="s">
        <v>235</v>
      </c>
      <c r="B145" s="107" t="str">
        <f t="shared" ref="B145:H145" si="92">B137</f>
        <v>Mon 4 May</v>
      </c>
      <c r="C145" s="107" t="str">
        <f t="shared" si="92"/>
        <v>Tues 5 May</v>
      </c>
      <c r="D145" s="107" t="str">
        <f t="shared" si="92"/>
        <v>Wed 6 May</v>
      </c>
      <c r="E145" s="107" t="str">
        <f t="shared" si="92"/>
        <v>Thu 7 May</v>
      </c>
      <c r="F145" s="107" t="str">
        <f t="shared" si="92"/>
        <v>Fri 8 May</v>
      </c>
      <c r="G145" s="107" t="str">
        <f t="shared" si="92"/>
        <v>Sat 9 May</v>
      </c>
      <c r="H145" s="107" t="str">
        <f t="shared" si="92"/>
        <v>Sun 10 May</v>
      </c>
      <c r="J145" t="e">
        <f t="shared" ca="1" si="76"/>
        <v>#NAME?</v>
      </c>
      <c r="K145" t="e">
        <f t="shared" ca="1" si="77"/>
        <v>#NAME?</v>
      </c>
      <c r="L145" t="e">
        <f t="shared" ca="1" si="78"/>
        <v>#NAME?</v>
      </c>
      <c r="M145" t="e">
        <f t="shared" ca="1" si="79"/>
        <v>#NAME?</v>
      </c>
      <c r="N145" t="e">
        <f t="shared" ca="1" si="80"/>
        <v>#NAME?</v>
      </c>
      <c r="O145" t="e">
        <f t="shared" ca="1" si="81"/>
        <v>#NAME?</v>
      </c>
      <c r="P145" t="e">
        <f t="shared" ca="1" si="82"/>
        <v>#NAME?</v>
      </c>
      <c r="Q145"/>
      <c r="R145" t="e">
        <f t="shared" ca="1" si="83"/>
        <v>#NAME?</v>
      </c>
      <c r="S145" t="e">
        <f t="shared" ca="1" si="84"/>
        <v>#NAME?</v>
      </c>
      <c r="T145" t="e">
        <f t="shared" ca="1" si="85"/>
        <v>#NAME?</v>
      </c>
      <c r="U145" t="e">
        <f t="shared" ca="1" si="86"/>
        <v>#NAME?</v>
      </c>
      <c r="V145" t="e">
        <f t="shared" ca="1" si="87"/>
        <v>#NAME?</v>
      </c>
      <c r="W145" t="e">
        <f t="shared" ca="1" si="88"/>
        <v>#NAME?</v>
      </c>
      <c r="X145" t="e">
        <f t="shared" ca="1" si="75"/>
        <v>#NAME?</v>
      </c>
      <c r="Y145"/>
      <c r="Z145" s="14"/>
      <c r="AA145" s="11"/>
      <c r="AB145" s="11"/>
      <c r="AC145" s="11"/>
      <c r="AD145" s="11"/>
      <c r="AE145" s="11"/>
      <c r="AF145" s="11"/>
      <c r="AG145" s="11"/>
      <c r="AH145" s="11"/>
    </row>
    <row r="146" spans="1:34" s="11" customFormat="1" ht="15" customHeight="1">
      <c r="A146" s="13" t="s">
        <v>236</v>
      </c>
      <c r="B146" s="28" t="s">
        <v>237</v>
      </c>
      <c r="C146" s="28" t="s">
        <v>238</v>
      </c>
      <c r="D146" s="28" t="s">
        <v>239</v>
      </c>
      <c r="E146" s="28" t="s">
        <v>239</v>
      </c>
      <c r="F146" s="28" t="s">
        <v>238</v>
      </c>
      <c r="G146" s="28" t="s">
        <v>240</v>
      </c>
      <c r="H146" s="28" t="s">
        <v>241</v>
      </c>
      <c r="J146" t="e">
        <f t="shared" ca="1" si="76"/>
        <v>#NAME?</v>
      </c>
      <c r="K146" t="e">
        <f t="shared" ca="1" si="77"/>
        <v>#NAME?</v>
      </c>
      <c r="L146" t="e">
        <f t="shared" ca="1" si="78"/>
        <v>#NAME?</v>
      </c>
      <c r="M146" t="e">
        <f t="shared" ca="1" si="79"/>
        <v>#NAME?</v>
      </c>
      <c r="N146" t="e">
        <f t="shared" ca="1" si="80"/>
        <v>#NAME?</v>
      </c>
      <c r="O146" t="e">
        <f t="shared" ca="1" si="81"/>
        <v>#NAME?</v>
      </c>
      <c r="P146" t="e">
        <f t="shared" ca="1" si="82"/>
        <v>#NAME?</v>
      </c>
      <c r="Q146"/>
      <c r="R146" t="e">
        <f t="shared" ca="1" si="83"/>
        <v>#NAME?</v>
      </c>
      <c r="S146" t="e">
        <f t="shared" ca="1" si="84"/>
        <v>#NAME?</v>
      </c>
      <c r="T146" t="e">
        <f t="shared" ca="1" si="85"/>
        <v>#NAME?</v>
      </c>
      <c r="U146" t="e">
        <f t="shared" ca="1" si="86"/>
        <v>#NAME?</v>
      </c>
      <c r="V146" t="e">
        <f t="shared" ca="1" si="87"/>
        <v>#NAME?</v>
      </c>
      <c r="W146" t="e">
        <f t="shared" ca="1" si="88"/>
        <v>#NAME?</v>
      </c>
      <c r="X146" t="e">
        <f t="shared" ca="1" si="75"/>
        <v>#NAME?</v>
      </c>
      <c r="Y146"/>
      <c r="Z146" s="12"/>
      <c r="AA146"/>
    </row>
    <row r="147" spans="1:34">
      <c r="A147" s="106" t="s">
        <v>242</v>
      </c>
      <c r="B147" s="107" t="str">
        <f t="shared" ref="B147:H147" si="93">B59</f>
        <v>Mon 4 May</v>
      </c>
      <c r="C147" s="107" t="str">
        <f t="shared" si="93"/>
        <v>Tues 5 May</v>
      </c>
      <c r="D147" s="107" t="str">
        <f t="shared" si="93"/>
        <v>Wed 6 May</v>
      </c>
      <c r="E147" s="107" t="str">
        <f t="shared" si="93"/>
        <v>Thu 7 May</v>
      </c>
      <c r="F147" s="107" t="str">
        <f t="shared" si="93"/>
        <v>Fri 8 May</v>
      </c>
      <c r="G147" s="107" t="str">
        <f t="shared" si="93"/>
        <v>Sat 9 May</v>
      </c>
      <c r="H147" s="107" t="str">
        <f t="shared" si="93"/>
        <v>Sun 10 May</v>
      </c>
    </row>
    <row r="148" spans="1:34">
      <c r="A148" s="27" t="s">
        <v>243</v>
      </c>
      <c r="B148" s="17">
        <f ca="1">COUNTIFS(J:J,"Red",R:R,"AM")</f>
        <v>0</v>
      </c>
      <c r="C148" s="17">
        <f ca="1">COUNTIFS(K:K,"Red",S:S,"AM")</f>
        <v>0</v>
      </c>
      <c r="D148" s="17">
        <f ca="1">COUNTIFS(L:L,"Red",T:T,"AM")</f>
        <v>0</v>
      </c>
      <c r="E148" s="17">
        <f ca="1">COUNTIFS(M:M,"Red",U:U,"AM")</f>
        <v>0</v>
      </c>
      <c r="F148" s="17">
        <f ca="1">COUNTIFS(N:N,"Red",V:V,"AM")</f>
        <v>0</v>
      </c>
      <c r="G148" s="17">
        <f ca="1">COUNTIFS(O:O,"Red",W:W,"AM")</f>
        <v>0</v>
      </c>
      <c r="H148" s="17">
        <f ca="1">COUNTIFS(P:P,"Red",X:X,"AM")</f>
        <v>0</v>
      </c>
    </row>
    <row r="149" spans="1:34">
      <c r="A149" s="2" t="s">
        <v>244</v>
      </c>
      <c r="B149" s="17">
        <f ca="1">COUNTIFS(J:J,"Green",R:R,"AM")</f>
        <v>0</v>
      </c>
      <c r="C149" s="17">
        <f ca="1">COUNTIFS(K:K,"Green",S:S,"AM")</f>
        <v>0</v>
      </c>
      <c r="D149" s="17">
        <f ca="1">COUNTIFS(L:L,"Green",T:T,"AM")</f>
        <v>0</v>
      </c>
      <c r="E149" s="17">
        <f ca="1">COUNTIFS(M:M,"Green",U:U,"AM")</f>
        <v>0</v>
      </c>
      <c r="F149" s="17">
        <f ca="1">COUNTIFS(N:N,"Green",V:V,"AM")</f>
        <v>0</v>
      </c>
      <c r="G149" s="17">
        <f ca="1">COUNTIFS(O:O,"Green",W:W,"AM")</f>
        <v>0</v>
      </c>
      <c r="H149" s="17">
        <f ca="1">COUNTIFS(P:P,"Green",X:X,"AM")</f>
        <v>0</v>
      </c>
    </row>
    <row r="150" spans="1:34">
      <c r="A150" s="26" t="s">
        <v>245</v>
      </c>
      <c r="B150" s="17">
        <f ca="1">COUNTIFS(J:J,"Gold",R:R,"AM")</f>
        <v>0</v>
      </c>
      <c r="C150" s="17">
        <f ca="1">COUNTIFS(K:K,"Gold",S:S,"AM")</f>
        <v>0</v>
      </c>
      <c r="D150" s="17">
        <f ca="1">COUNTIFS(L:L,"Gold",T:T,"AM")</f>
        <v>0</v>
      </c>
      <c r="E150" s="17">
        <f ca="1">COUNTIFS(M:M,"Gold",U:U,"AM")</f>
        <v>0</v>
      </c>
      <c r="F150" s="17">
        <f ca="1">COUNTIFS(N:N,"Gold",V:V,"AM")</f>
        <v>0</v>
      </c>
      <c r="G150" s="17">
        <f ca="1">COUNTIFS(O:O,"Gold",W:W,"AM")</f>
        <v>0</v>
      </c>
      <c r="H150" s="17">
        <f ca="1">COUNTIFS(P:P,"Gold",X:X,"AM")</f>
        <v>0</v>
      </c>
    </row>
    <row r="151" spans="1:34">
      <c r="A151" s="29" t="s">
        <v>246</v>
      </c>
      <c r="B151" s="17">
        <f ca="1">COUNTIFS(J:J,"LGreen",R:R,"AM")</f>
        <v>0</v>
      </c>
      <c r="C151" s="17">
        <f ca="1">COUNTIFS(K:K,"LGreen",S:S,"AM")</f>
        <v>0</v>
      </c>
      <c r="D151" s="17">
        <f ca="1">COUNTIFS(L:L,"LGreen",T:T,"AM")</f>
        <v>0</v>
      </c>
      <c r="E151" s="17">
        <f ca="1">COUNTIFS(M:M,"LGreen",U:U,"AM")</f>
        <v>0</v>
      </c>
      <c r="F151" s="17">
        <f ca="1">COUNTIFS(N:N,"LGreen",V:V,"AM")</f>
        <v>0</v>
      </c>
      <c r="G151" s="17">
        <f ca="1">COUNTIFS(O:O,"LGreen",W:W,"AM")</f>
        <v>0</v>
      </c>
      <c r="H151" s="17">
        <f ca="1">COUNTIFS(P:P,"LGreen",X:X,"AM")</f>
        <v>0</v>
      </c>
    </row>
    <row r="152" spans="1:34">
      <c r="A152" s="43" t="s">
        <v>26</v>
      </c>
      <c r="B152" s="17">
        <f ca="1">COUNTIFS(J:J,"Blue",R:R,"AM")</f>
        <v>0</v>
      </c>
      <c r="C152" s="17">
        <f ca="1">COUNTIFS(K:K,"Blue",S:S,"AM")</f>
        <v>0</v>
      </c>
      <c r="D152" s="17">
        <f ca="1">COUNTIFS(L:L,"Blue",T:T,"AM")</f>
        <v>0</v>
      </c>
      <c r="E152" s="17">
        <f ca="1">COUNTIFS(M:M,"Blue",U:U,"AM")</f>
        <v>0</v>
      </c>
      <c r="F152" s="17">
        <f ca="1">COUNTIFS(N:N,"Blue",V:V,"AM")</f>
        <v>0</v>
      </c>
      <c r="G152" s="17">
        <f ca="1">COUNTIFS(O:O,"Blue",W:W,"AM")</f>
        <v>0</v>
      </c>
      <c r="H152" s="17">
        <f ca="1">COUNTIFS(P:P,"Blue",X:X,"AM")</f>
        <v>0</v>
      </c>
    </row>
    <row r="153" spans="1:34">
      <c r="A153" s="3" t="s">
        <v>16</v>
      </c>
      <c r="B153" s="17">
        <f ca="1">COUNTIFS(J:J,"Pink",R:R,"AM")</f>
        <v>0</v>
      </c>
      <c r="C153" s="17">
        <f ca="1">COUNTIFS(K:K,"Pink",S:S,"AM")</f>
        <v>0</v>
      </c>
      <c r="D153" s="17">
        <f ca="1">COUNTIFS(L:L,"Pink",T:T,"AM")</f>
        <v>0</v>
      </c>
      <c r="E153" s="17">
        <f ca="1">COUNTIFS(M:M,"Pink",U:U,"AM")</f>
        <v>0</v>
      </c>
      <c r="F153" s="17">
        <f ca="1">COUNTIFS(N:N,"Pink",V:V,"AM")</f>
        <v>0</v>
      </c>
      <c r="G153" s="17">
        <f ca="1">COUNTIFS(O:O,"Pink",W:W,"AM")</f>
        <v>0</v>
      </c>
      <c r="H153" s="17">
        <f ca="1">COUNTIFS(P:P,"Pink",X:X,"AM")</f>
        <v>0</v>
      </c>
    </row>
    <row r="154" spans="1:34">
      <c r="A154" s="5" t="s">
        <v>247</v>
      </c>
      <c r="B154" s="17">
        <f ca="1">COUNTIFS(R:R,"AM") - B148-B149-B150-B151-B152-B153</f>
        <v>0</v>
      </c>
      <c r="C154" s="17">
        <f ca="1">COUNTIFS(S:S,"AM") - C148-C149-C150-C151-C152-C153</f>
        <v>0</v>
      </c>
      <c r="D154" s="17">
        <f ca="1">COUNTIFS(T:T,"AM") - D148-D149-D150-D151-D152-D153</f>
        <v>0</v>
      </c>
      <c r="E154" s="17">
        <f ca="1">COUNTIFS(U:U,"AM") - E148-E149-E150-E151-E152-E153</f>
        <v>0</v>
      </c>
      <c r="F154" s="17">
        <f ca="1">COUNTIFS(V:V,"AM") - F148-F149-F150-F151-F152-F153</f>
        <v>0</v>
      </c>
      <c r="G154" s="17">
        <f ca="1">COUNTIFS(W:W,"AM") - G148-G149-G150-G151-G152-G153</f>
        <v>0</v>
      </c>
      <c r="H154" s="17">
        <f ca="1">COUNTIFS(X:X,"AM") - H148-H149-H150-H151-H152-H153</f>
        <v>0</v>
      </c>
    </row>
    <row r="155" spans="1:34" s="46" customFormat="1">
      <c r="A155" s="45" t="s">
        <v>248</v>
      </c>
      <c r="B155" s="47">
        <f ca="1">SUM(B148:B153)</f>
        <v>0</v>
      </c>
      <c r="C155" s="47">
        <f t="shared" ref="C155:H155" ca="1" si="94">SUM(C148:C153)</f>
        <v>0</v>
      </c>
      <c r="D155" s="47">
        <f t="shared" ca="1" si="94"/>
        <v>0</v>
      </c>
      <c r="E155" s="47">
        <f t="shared" ca="1" si="94"/>
        <v>0</v>
      </c>
      <c r="F155" s="47">
        <f t="shared" ca="1" si="94"/>
        <v>0</v>
      </c>
      <c r="G155" s="47">
        <f t="shared" ca="1" si="94"/>
        <v>0</v>
      </c>
      <c r="H155" s="47">
        <f t="shared" ca="1" si="94"/>
        <v>0</v>
      </c>
      <c r="Z155" s="48"/>
    </row>
    <row r="156" spans="1:34">
      <c r="A156" s="27" t="s">
        <v>249</v>
      </c>
      <c r="B156" s="17">
        <f ca="1">COUNTIFS(J:J,"Red",R:R,"PM")</f>
        <v>0</v>
      </c>
      <c r="C156" s="17">
        <f ca="1">COUNTIFS(K:K,"Red",S:S,"PM")</f>
        <v>0</v>
      </c>
      <c r="D156" s="17">
        <f ca="1">COUNTIFS(L:L,"Red",T:T,"PM")</f>
        <v>0</v>
      </c>
      <c r="E156" s="17">
        <f ca="1">COUNTIFS(M:M,"Red",U:U,"PM")</f>
        <v>0</v>
      </c>
      <c r="F156" s="17">
        <f ca="1">COUNTIFS(N:N,"Red",V:V,"PM")</f>
        <v>0</v>
      </c>
      <c r="G156" s="17">
        <f ca="1">COUNTIFS(O:O,"Red",W:W,"PM")</f>
        <v>0</v>
      </c>
      <c r="H156" s="17">
        <f ca="1">COUNTIFS(P:P,"Red",X:X,"PM")</f>
        <v>0</v>
      </c>
    </row>
    <row r="157" spans="1:34">
      <c r="A157" s="2" t="s">
        <v>250</v>
      </c>
      <c r="B157" s="17">
        <f ca="1">COUNTIFS(J:J,"Green",R:R,"PM")</f>
        <v>0</v>
      </c>
      <c r="C157" s="17">
        <f ca="1">COUNTIFS(K:K,"Green",S:S,"PM")</f>
        <v>0</v>
      </c>
      <c r="D157" s="17">
        <f ca="1">COUNTIFS(L:L,"Green",T:T,"PM")</f>
        <v>0</v>
      </c>
      <c r="E157" s="17">
        <f ca="1">COUNTIFS(M:M,"Green",U:U,"PM")</f>
        <v>0</v>
      </c>
      <c r="F157" s="17">
        <f ca="1">COUNTIFS(N:N,"Green",V:V,"PM")</f>
        <v>0</v>
      </c>
      <c r="G157" s="17">
        <f ca="1">COUNTIFS(O:O,"Green",W:W,"PM")</f>
        <v>0</v>
      </c>
      <c r="H157" s="17">
        <f ca="1">COUNTIFS(P:P,"Green",X:X,"PM")</f>
        <v>0</v>
      </c>
    </row>
    <row r="158" spans="1:34">
      <c r="A158" s="26" t="s">
        <v>251</v>
      </c>
      <c r="B158" s="17">
        <f ca="1">COUNTIFS(J:J,"Gold",R:R,"PM")</f>
        <v>0</v>
      </c>
      <c r="C158" s="17">
        <f ca="1">COUNTIFS(K:K,"Gold",S:S,"PM")</f>
        <v>0</v>
      </c>
      <c r="D158" s="17">
        <f ca="1">COUNTIFS(L:L,"Gold",T:T,"PM")</f>
        <v>0</v>
      </c>
      <c r="E158" s="17">
        <f ca="1">COUNTIFS(M:M,"Gold",U:U,"PM")</f>
        <v>0</v>
      </c>
      <c r="F158" s="17">
        <f ca="1">COUNTIFS(N:N,"Gold",V:V,"PM")</f>
        <v>0</v>
      </c>
      <c r="G158" s="17">
        <f ca="1">COUNTIFS(O:O,"Gold",W:W,"PM")</f>
        <v>0</v>
      </c>
      <c r="H158" s="17">
        <f ca="1">COUNTIFS(P:P,"Gold",X:X,"PM")</f>
        <v>0</v>
      </c>
    </row>
    <row r="159" spans="1:34">
      <c r="A159" s="29" t="s">
        <v>252</v>
      </c>
      <c r="B159" s="17">
        <f ca="1">COUNTIFS(J:J,"LGreen",R:R,"PM")</f>
        <v>0</v>
      </c>
      <c r="C159" s="17">
        <f ca="1">COUNTIFS(K:K,"LGreen",S:S,"PM")</f>
        <v>0</v>
      </c>
      <c r="D159" s="17">
        <f ca="1">COUNTIFS(L:L,"LGreen",T:T,"PM")</f>
        <v>0</v>
      </c>
      <c r="E159" s="17">
        <f ca="1">COUNTIFS(M:M,"LGreen",U:U,"PM")</f>
        <v>0</v>
      </c>
      <c r="F159" s="17">
        <f ca="1">COUNTIFS(N:N,"LGreen",V:V,"PM")</f>
        <v>0</v>
      </c>
      <c r="G159" s="17">
        <f ca="1">COUNTIFS(O:O,"LGreen",W:W,"PM")</f>
        <v>0</v>
      </c>
      <c r="H159" s="17">
        <f ca="1">COUNTIFS(P:P,"LGreen",X:X,"PM")</f>
        <v>0</v>
      </c>
    </row>
    <row r="160" spans="1:34">
      <c r="A160" s="10" t="s">
        <v>253</v>
      </c>
      <c r="B160" s="17">
        <f ca="1">COUNTIFS(J:J,"Blue",R:R,"PM")</f>
        <v>0</v>
      </c>
      <c r="C160" s="17">
        <f ca="1">COUNTIFS(K:K,"Blue",S:S,"PM")</f>
        <v>0</v>
      </c>
      <c r="D160" s="17">
        <f ca="1">COUNTIFS(L:L,"Blue",T:T,"PM")</f>
        <v>0</v>
      </c>
      <c r="E160" s="17">
        <f ca="1">COUNTIFS(M:M,"Blue",U:U,"PM")</f>
        <v>0</v>
      </c>
      <c r="F160" s="17">
        <f ca="1">COUNTIFS(N:N,"Blue",V:V,"PM")</f>
        <v>0</v>
      </c>
      <c r="G160" s="17">
        <f ca="1">COUNTIFS(O:O,"Blue",W:W,"PM")</f>
        <v>0</v>
      </c>
      <c r="H160" s="17">
        <f ca="1">COUNTIFS(P:P,"Blue",X:X,"PM")</f>
        <v>0</v>
      </c>
    </row>
    <row r="161" spans="1:26">
      <c r="A161" s="3" t="s">
        <v>59</v>
      </c>
      <c r="B161" s="17">
        <f ca="1">COUNTIFS(J:J,"Pink",R:R,"PM")</f>
        <v>0</v>
      </c>
      <c r="C161" s="17">
        <f ca="1">COUNTIFS(K:K,"Pink",S:S,"PM")</f>
        <v>0</v>
      </c>
      <c r="D161" s="17">
        <f ca="1">COUNTIFS(L:L,"Pink",T:T,"PM")</f>
        <v>0</v>
      </c>
      <c r="E161" s="17">
        <f ca="1">COUNTIFS(M:M,"Pink",U:U,"PM")</f>
        <v>0</v>
      </c>
      <c r="F161" s="17">
        <f ca="1">COUNTIFS(N:N,"Pink",V:V,"PM")</f>
        <v>0</v>
      </c>
      <c r="G161" s="17">
        <f ca="1">COUNTIFS(O:O,"Pink",W:W,"PM")</f>
        <v>0</v>
      </c>
      <c r="H161" s="17">
        <f ca="1">COUNTIFS(P:P,"Pink",X:X,"PM")</f>
        <v>0</v>
      </c>
    </row>
    <row r="162" spans="1:26">
      <c r="A162" s="5" t="s">
        <v>254</v>
      </c>
      <c r="B162" s="17">
        <f ca="1">COUNTIFS(R:R,"PM") -B157-B158-B161-B160-B156-B159</f>
        <v>0</v>
      </c>
      <c r="C162" s="17">
        <f ca="1">COUNTIFS(S:S,"PM") -C157-C158-C161-C160-C156-C159</f>
        <v>0</v>
      </c>
      <c r="D162" s="17">
        <f ca="1">COUNTIFS(T:T,"PM") -D157-D158-D161-D160-D156-D159</f>
        <v>0</v>
      </c>
      <c r="E162" s="17">
        <f ca="1">COUNTIFS(U:U,"PM") -E157-E158-E161-E160-E156-E159</f>
        <v>0</v>
      </c>
      <c r="F162" s="17">
        <f ca="1">COUNTIFS(V:V,"PM") -F157-F158-F161-F160-F156-F159</f>
        <v>0</v>
      </c>
      <c r="G162" s="17">
        <f ca="1">COUNTIFS(W:W,"PM") -G157-G158-G161-G160-G156-G159</f>
        <v>0</v>
      </c>
      <c r="H162" s="17">
        <f ca="1">COUNTIFS(X:X,"PM") -H157-H158-H161-H160-H156-H159</f>
        <v>0</v>
      </c>
    </row>
    <row r="163" spans="1:26" s="46" customFormat="1">
      <c r="A163" s="45" t="s">
        <v>255</v>
      </c>
      <c r="B163" s="47">
        <f ca="1">SUM(B156:B161)</f>
        <v>0</v>
      </c>
      <c r="C163" s="47">
        <f t="shared" ref="C163:H163" ca="1" si="95">SUM(C156:C161)</f>
        <v>0</v>
      </c>
      <c r="D163" s="47">
        <f t="shared" ca="1" si="95"/>
        <v>0</v>
      </c>
      <c r="E163" s="47">
        <f t="shared" ca="1" si="95"/>
        <v>0</v>
      </c>
      <c r="F163" s="47">
        <f t="shared" ca="1" si="95"/>
        <v>0</v>
      </c>
      <c r="G163" s="47">
        <f t="shared" ca="1" si="95"/>
        <v>0</v>
      </c>
      <c r="H163" s="47">
        <f t="shared" ca="1" si="95"/>
        <v>0</v>
      </c>
      <c r="Z163" s="48"/>
    </row>
    <row r="164" spans="1:26">
      <c r="A164" s="4" t="s">
        <v>256</v>
      </c>
      <c r="B164" s="17">
        <f ca="1">COUNTIFS(R:R,"ND")</f>
        <v>0</v>
      </c>
      <c r="C164" s="17">
        <f ca="1">COUNTIFS(S:S,"ND")</f>
        <v>0</v>
      </c>
      <c r="D164" s="17">
        <f ca="1">COUNTIFS(T:T,"ND")</f>
        <v>0</v>
      </c>
      <c r="E164" s="17">
        <f ca="1">COUNTIFS(U:U,"ND")</f>
        <v>0</v>
      </c>
      <c r="F164" s="17">
        <f ca="1">COUNTIFS(V:V,"ND")</f>
        <v>0</v>
      </c>
      <c r="G164" s="17">
        <f ca="1">COUNTIFS(W:W,"ND")</f>
        <v>0</v>
      </c>
      <c r="H164" s="17">
        <f ca="1">COUNTIFS(X:X,"ND")</f>
        <v>0</v>
      </c>
    </row>
    <row r="165" spans="1:26">
      <c r="I165" s="9"/>
    </row>
    <row r="166" spans="1:26">
      <c r="A166" s="8"/>
      <c r="B166" s="18"/>
      <c r="C166" s="18"/>
      <c r="D166" s="19"/>
      <c r="E166" s="18"/>
      <c r="F166" s="18"/>
      <c r="G166" s="18"/>
      <c r="H166" s="20"/>
      <c r="Z166" s="23"/>
    </row>
    <row r="167" spans="1:26">
      <c r="D167" s="19"/>
    </row>
  </sheetData>
  <mergeCells count="26">
    <mergeCell ref="B131:H131"/>
    <mergeCell ref="B104:H104"/>
    <mergeCell ref="F107:H107"/>
    <mergeCell ref="B125:H125"/>
    <mergeCell ref="B24:H24"/>
    <mergeCell ref="B28:H28"/>
    <mergeCell ref="B31:H31"/>
    <mergeCell ref="B35:H35"/>
    <mergeCell ref="B40:H40"/>
    <mergeCell ref="B42:H42"/>
    <mergeCell ref="B47:H47"/>
    <mergeCell ref="C118:H118"/>
    <mergeCell ref="B69:H69"/>
    <mergeCell ref="B70:H70"/>
    <mergeCell ref="B89:H89"/>
    <mergeCell ref="B95:H95"/>
    <mergeCell ref="B4:H4"/>
    <mergeCell ref="B5:H5"/>
    <mergeCell ref="B8:H8"/>
    <mergeCell ref="B9:H9"/>
    <mergeCell ref="B13:H13"/>
    <mergeCell ref="B14:H14"/>
    <mergeCell ref="B15:H15"/>
    <mergeCell ref="B20:H20"/>
    <mergeCell ref="B23:H23"/>
    <mergeCell ref="B21:H21"/>
  </mergeCells>
  <phoneticPr fontId="12" type="noConversion"/>
  <conditionalFormatting sqref="B151:H151 B153:H153 B159:H159 B161:H161">
    <cfRule type="cellIs" dxfId="77" priority="173" operator="lessThan">
      <formula>2</formula>
    </cfRule>
  </conditionalFormatting>
  <conditionalFormatting sqref="B152:H152">
    <cfRule type="cellIs" dxfId="76" priority="171" operator="lessThan">
      <formula>2</formula>
    </cfRule>
  </conditionalFormatting>
  <conditionalFormatting sqref="B149:H150 B157:H158">
    <cfRule type="cellIs" dxfId="75" priority="174" operator="lessThan">
      <formula>4</formula>
    </cfRule>
  </conditionalFormatting>
  <conditionalFormatting sqref="B148:H148 B156:H156">
    <cfRule type="cellIs" dxfId="74" priority="175" operator="lessThan">
      <formula>2</formula>
    </cfRule>
  </conditionalFormatting>
  <conditionalFormatting sqref="B164:H164">
    <cfRule type="cellIs" dxfId="73" priority="172" operator="lessThan">
      <formula>7</formula>
    </cfRule>
  </conditionalFormatting>
  <conditionalFormatting sqref="B160:H160">
    <cfRule type="cellIs" dxfId="72" priority="170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8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6">
    <tabColor rgb="FFCCFFCC"/>
    <pageSetUpPr fitToPage="1"/>
  </sheetPr>
  <dimension ref="A1:AH160"/>
  <sheetViews>
    <sheetView topLeftCell="A79" zoomScaleNormal="100" workbookViewId="0">
      <selection activeCell="D104" sqref="D104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22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46153</v>
      </c>
      <c r="C2" s="105">
        <f>B2+1</f>
        <v>46154</v>
      </c>
      <c r="D2" s="105">
        <f t="shared" ref="D2:H2" si="0">C2+1</f>
        <v>46155</v>
      </c>
      <c r="E2" s="105">
        <f t="shared" si="0"/>
        <v>46156</v>
      </c>
      <c r="F2" s="105">
        <f t="shared" si="0"/>
        <v>46157</v>
      </c>
      <c r="G2" s="105">
        <f t="shared" si="0"/>
        <v>46158</v>
      </c>
      <c r="H2" s="105">
        <f t="shared" si="0"/>
        <v>46159</v>
      </c>
    </row>
    <row r="3" spans="1:26" ht="14.45" customHeight="1">
      <c r="A3" s="21" t="s">
        <v>15</v>
      </c>
      <c r="B3" s="25"/>
      <c r="C3" s="110" t="s">
        <v>16</v>
      </c>
      <c r="D3" s="25"/>
      <c r="E3" s="25"/>
      <c r="F3" s="25"/>
      <c r="G3" s="25"/>
      <c r="H3" s="25"/>
      <c r="J3" t="e">
        <f t="shared" ref="J3:P3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3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127" t="s">
        <v>18</v>
      </c>
      <c r="C4" s="128"/>
      <c r="D4" s="128"/>
      <c r="E4" s="128"/>
      <c r="F4" s="128"/>
      <c r="G4" s="128"/>
      <c r="H4" s="129"/>
      <c r="J4" t="e">
        <f t="shared" ref="J4:J67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M67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R67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U67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25"/>
      <c r="E5" s="91" t="s">
        <v>31</v>
      </c>
      <c r="F5" s="25"/>
      <c r="G5" s="25"/>
      <c r="H5" s="116" t="s">
        <v>45</v>
      </c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</row>
    <row r="7" spans="1:26" ht="14.45" customHeight="1">
      <c r="A7" s="21" t="s">
        <v>22</v>
      </c>
      <c r="B7" s="25"/>
      <c r="C7" s="115" t="s">
        <v>23</v>
      </c>
      <c r="D7" s="28" t="s">
        <v>25</v>
      </c>
      <c r="E7" s="44" t="s">
        <v>26</v>
      </c>
      <c r="F7" s="25" t="s">
        <v>24</v>
      </c>
      <c r="G7" s="25"/>
      <c r="H7" s="25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27</v>
      </c>
      <c r="B8" s="127" t="s">
        <v>18</v>
      </c>
      <c r="C8" s="128"/>
      <c r="D8" s="128"/>
      <c r="E8" s="128"/>
      <c r="F8" s="128"/>
      <c r="G8" s="128"/>
      <c r="H8" s="129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28</v>
      </c>
      <c r="B9" s="25"/>
      <c r="C9" s="25"/>
      <c r="D9" s="110" t="s">
        <v>59</v>
      </c>
      <c r="E9" s="91" t="s">
        <v>36</v>
      </c>
      <c r="F9" s="25" t="s">
        <v>24</v>
      </c>
      <c r="G9" s="25"/>
      <c r="H9" s="25"/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91" t="s">
        <v>31</v>
      </c>
      <c r="E10" s="90" t="s">
        <v>257</v>
      </c>
      <c r="F10" s="25"/>
      <c r="G10" s="25"/>
      <c r="H10" s="25"/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33</v>
      </c>
      <c r="B11" s="44" t="s">
        <v>26</v>
      </c>
      <c r="C11" s="91" t="s">
        <v>36</v>
      </c>
      <c r="D11" s="25"/>
      <c r="E11" s="25"/>
      <c r="F11" s="25" t="s">
        <v>258</v>
      </c>
      <c r="G11" s="110" t="s">
        <v>16</v>
      </c>
      <c r="H11" s="91" t="s">
        <v>31</v>
      </c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35</v>
      </c>
      <c r="B12" s="127" t="s">
        <v>259</v>
      </c>
      <c r="C12" s="128"/>
      <c r="D12" s="128"/>
      <c r="E12" s="128"/>
      <c r="F12" s="128"/>
      <c r="G12" s="128"/>
      <c r="H12" s="129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37</v>
      </c>
      <c r="B13" s="127" t="s">
        <v>18</v>
      </c>
      <c r="C13" s="128"/>
      <c r="D13" s="128"/>
      <c r="E13" s="128"/>
      <c r="F13" s="128"/>
      <c r="G13" s="128"/>
      <c r="H13" s="129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39</v>
      </c>
      <c r="B14" s="127" t="s">
        <v>260</v>
      </c>
      <c r="C14" s="128"/>
      <c r="D14" s="128"/>
      <c r="E14" s="128"/>
      <c r="F14" s="128"/>
      <c r="G14" s="128"/>
      <c r="H14" s="129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41</v>
      </c>
      <c r="B15" s="127" t="s">
        <v>42</v>
      </c>
      <c r="C15" s="128"/>
      <c r="D15" s="128"/>
      <c r="E15" s="128"/>
      <c r="F15" s="128"/>
      <c r="G15" s="128"/>
      <c r="H15" s="129"/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43</v>
      </c>
      <c r="B16" s="25"/>
      <c r="C16" s="25"/>
      <c r="D16" s="110" t="s">
        <v>16</v>
      </c>
      <c r="E16" s="116" t="s">
        <v>32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44</v>
      </c>
      <c r="B17" s="110" t="s">
        <v>59</v>
      </c>
      <c r="C17" s="25" t="s">
        <v>24</v>
      </c>
      <c r="D17" s="28" t="s">
        <v>34</v>
      </c>
      <c r="E17" s="25"/>
      <c r="F17" s="25"/>
      <c r="G17" s="25"/>
      <c r="H17" s="110" t="s">
        <v>16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46</v>
      </c>
      <c r="B18" s="116" t="s">
        <v>45</v>
      </c>
      <c r="C18" s="25"/>
      <c r="D18" s="25"/>
      <c r="E18" s="25"/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25" t="s">
        <v>258</v>
      </c>
      <c r="D19" s="25" t="s">
        <v>261</v>
      </c>
      <c r="E19" s="25"/>
      <c r="F19" s="25"/>
      <c r="G19" s="25"/>
      <c r="H19" s="25"/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50</v>
      </c>
      <c r="B20" s="127" t="s">
        <v>20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0.375</v>
      </c>
    </row>
    <row r="21" spans="1:26">
      <c r="A21" s="21" t="s">
        <v>51</v>
      </c>
      <c r="B21" s="91" t="s">
        <v>36</v>
      </c>
      <c r="C21" s="25"/>
      <c r="D21" s="25"/>
      <c r="E21" s="25" t="s">
        <v>24</v>
      </c>
      <c r="F21" s="90" t="s">
        <v>262</v>
      </c>
      <c r="G21" s="44" t="s">
        <v>26</v>
      </c>
      <c r="H21" s="25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52</v>
      </c>
      <c r="B22" s="127" t="s">
        <v>18</v>
      </c>
      <c r="C22" s="128"/>
      <c r="D22" s="128"/>
      <c r="E22" s="128"/>
      <c r="F22" s="128"/>
      <c r="G22" s="128"/>
      <c r="H22" s="129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53</v>
      </c>
      <c r="B23" s="127" t="s">
        <v>20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54</v>
      </c>
      <c r="B24" s="127" t="s">
        <v>18</v>
      </c>
      <c r="C24" s="128"/>
      <c r="D24" s="128"/>
      <c r="E24" s="128"/>
      <c r="F24" s="128"/>
      <c r="G24" s="128"/>
      <c r="H24" s="129"/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55</v>
      </c>
      <c r="B25" s="25"/>
      <c r="C25" s="25"/>
      <c r="D25" s="25"/>
      <c r="E25" s="25" t="s">
        <v>24</v>
      </c>
      <c r="F25" s="44" t="s">
        <v>26</v>
      </c>
      <c r="G25" s="25"/>
      <c r="H25" s="25"/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56</v>
      </c>
      <c r="B26" s="25"/>
      <c r="C26" s="25"/>
      <c r="D26" s="115" t="s">
        <v>23</v>
      </c>
      <c r="E26" s="25"/>
      <c r="F26" s="91" t="s">
        <v>36</v>
      </c>
      <c r="G26" s="90" t="s">
        <v>257</v>
      </c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0.5</v>
      </c>
    </row>
    <row r="27" spans="1:26">
      <c r="A27" s="21" t="s">
        <v>58</v>
      </c>
      <c r="B27" s="25"/>
      <c r="C27" s="44" t="s">
        <v>26</v>
      </c>
      <c r="D27" s="116" t="s">
        <v>32</v>
      </c>
      <c r="E27" s="25"/>
      <c r="F27" s="25"/>
      <c r="G27" s="90" t="s">
        <v>262</v>
      </c>
      <c r="H27" s="25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60</v>
      </c>
      <c r="B28" s="127" t="s">
        <v>260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61</v>
      </c>
      <c r="B29" s="115" t="s">
        <v>23</v>
      </c>
      <c r="C29" s="91" t="s">
        <v>31</v>
      </c>
      <c r="D29" s="90" t="s">
        <v>257</v>
      </c>
      <c r="E29" s="25"/>
      <c r="F29" s="25"/>
      <c r="G29" s="25"/>
      <c r="H29" s="25"/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1</v>
      </c>
    </row>
    <row r="30" spans="1:26">
      <c r="A30" s="21" t="s">
        <v>62</v>
      </c>
      <c r="B30" s="90" t="s">
        <v>36</v>
      </c>
      <c r="C30" s="25" t="s">
        <v>24</v>
      </c>
      <c r="D30" s="44" t="s">
        <v>26</v>
      </c>
      <c r="E30" s="28" t="s">
        <v>34</v>
      </c>
      <c r="F30" s="25"/>
      <c r="G30" s="25"/>
      <c r="H30" s="25"/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63</v>
      </c>
      <c r="B31" s="25"/>
      <c r="C31" s="90" t="s">
        <v>262</v>
      </c>
      <c r="D31" s="25"/>
      <c r="E31" s="115" t="s">
        <v>23</v>
      </c>
      <c r="F31" s="116" t="s">
        <v>32</v>
      </c>
      <c r="G31" s="25"/>
      <c r="H31" s="44" t="s">
        <v>26</v>
      </c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64</v>
      </c>
      <c r="B32" s="25"/>
      <c r="C32" s="25"/>
      <c r="D32" s="25" t="s">
        <v>24</v>
      </c>
      <c r="E32" s="90" t="s">
        <v>262</v>
      </c>
      <c r="F32" s="110" t="s">
        <v>59</v>
      </c>
      <c r="G32" s="25"/>
      <c r="H32" s="25"/>
      <c r="J32" t="e">
        <f t="shared" ca="1" si="3"/>
        <v>#NAME?</v>
      </c>
      <c r="K32" t="e">
        <f t="shared" ca="1" si="4"/>
        <v>#NAME?</v>
      </c>
      <c r="L32" t="e">
        <f t="shared" ca="1" si="5"/>
        <v>#NAME?</v>
      </c>
      <c r="M32" t="e">
        <f t="shared" ca="1" si="6"/>
        <v>#NAME?</v>
      </c>
      <c r="N32" t="e">
        <f t="shared" ca="1" si="7"/>
        <v>#NAME?</v>
      </c>
      <c r="O32" t="e">
        <f t="shared" ca="1" si="8"/>
        <v>#NAME?</v>
      </c>
      <c r="P32" t="e">
        <f t="shared" ca="1" si="9"/>
        <v>#NAME?</v>
      </c>
      <c r="R32" t="e">
        <f t="shared" ca="1" si="10"/>
        <v>#NAME?</v>
      </c>
      <c r="S32" t="e">
        <f t="shared" ca="1" si="11"/>
        <v>#NAME?</v>
      </c>
      <c r="T32" t="e">
        <f t="shared" ca="1" si="12"/>
        <v>#NAME?</v>
      </c>
      <c r="U32" t="e">
        <f t="shared" ca="1" si="13"/>
        <v>#NAME?</v>
      </c>
      <c r="V32" t="e">
        <f t="shared" ca="1" si="14"/>
        <v>#NAME?</v>
      </c>
      <c r="W32" t="e">
        <f t="shared" ca="1" si="15"/>
        <v>#NAME?</v>
      </c>
      <c r="X32" t="e">
        <f t="shared" ca="1" si="16"/>
        <v>#NAME?</v>
      </c>
      <c r="Z32" s="15">
        <v>0.5</v>
      </c>
    </row>
    <row r="33" spans="1:26" ht="14.45" customHeight="1">
      <c r="A33" s="21" t="s">
        <v>65</v>
      </c>
      <c r="B33" s="91" t="s">
        <v>31</v>
      </c>
      <c r="C33" s="110" t="s">
        <v>59</v>
      </c>
      <c r="D33" s="25" t="s">
        <v>24</v>
      </c>
      <c r="E33" s="25"/>
      <c r="F33" s="91" t="s">
        <v>31</v>
      </c>
      <c r="G33" s="25"/>
      <c r="H33" s="25"/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68</v>
      </c>
      <c r="B35" s="25"/>
      <c r="C35" s="116" t="s">
        <v>32</v>
      </c>
      <c r="D35" s="25" t="s">
        <v>24</v>
      </c>
      <c r="E35" s="25"/>
      <c r="F35" s="25"/>
      <c r="G35" s="25"/>
      <c r="H35" s="90" t="s">
        <v>262</v>
      </c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69</v>
      </c>
      <c r="B36" s="25"/>
      <c r="C36" s="25" t="s">
        <v>24</v>
      </c>
      <c r="D36" s="25"/>
      <c r="E36" s="110" t="s">
        <v>16</v>
      </c>
      <c r="F36" s="25"/>
      <c r="G36" s="91" t="s">
        <v>36</v>
      </c>
      <c r="H36" s="90" t="s">
        <v>257</v>
      </c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70</v>
      </c>
      <c r="B37" s="25" t="s">
        <v>24</v>
      </c>
      <c r="C37" s="116" t="s">
        <v>45</v>
      </c>
      <c r="D37" s="25" t="s">
        <v>24</v>
      </c>
      <c r="E37" s="116" t="s">
        <v>45</v>
      </c>
      <c r="F37" s="25"/>
      <c r="G37" s="25"/>
      <c r="H37" s="91" t="s">
        <v>36</v>
      </c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71</v>
      </c>
      <c r="B38" s="127" t="s">
        <v>263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72</v>
      </c>
      <c r="B39" s="25"/>
      <c r="C39" s="90" t="s">
        <v>257</v>
      </c>
      <c r="D39" s="25" t="s">
        <v>24</v>
      </c>
      <c r="E39" s="28" t="s">
        <v>25</v>
      </c>
      <c r="F39" s="116" t="s">
        <v>45</v>
      </c>
      <c r="G39" s="25"/>
      <c r="H39" s="25"/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74</v>
      </c>
      <c r="B40" s="127" t="s">
        <v>20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25" t="s">
        <v>24</v>
      </c>
      <c r="E41" s="25"/>
      <c r="F41" s="25" t="s">
        <v>24</v>
      </c>
      <c r="G41" s="25"/>
      <c r="H41" s="25"/>
      <c r="J41" t="e">
        <f t="shared" ca="1" si="3"/>
        <v>#NAME?</v>
      </c>
      <c r="K41" t="e">
        <f t="shared" ca="1" si="4"/>
        <v>#NAME?</v>
      </c>
      <c r="L41" t="e">
        <f t="shared" ca="1" si="5"/>
        <v>#NAME?</v>
      </c>
      <c r="M41" t="e">
        <f t="shared" ca="1" si="6"/>
        <v>#NAME?</v>
      </c>
      <c r="N41" t="e">
        <f t="shared" ca="1" si="7"/>
        <v>#NAME?</v>
      </c>
      <c r="O41" t="e">
        <f t="shared" ca="1" si="8"/>
        <v>#NAME?</v>
      </c>
      <c r="P41" t="e">
        <f t="shared" ca="1" si="9"/>
        <v>#NAME?</v>
      </c>
      <c r="R41" t="e">
        <f t="shared" ca="1" si="10"/>
        <v>#NAME?</v>
      </c>
      <c r="S41" t="e">
        <f t="shared" ca="1" si="11"/>
        <v>#NAME?</v>
      </c>
      <c r="T41" t="e">
        <f t="shared" ca="1" si="12"/>
        <v>#NAME?</v>
      </c>
      <c r="U41" t="e">
        <f t="shared" ca="1" si="13"/>
        <v>#NAME?</v>
      </c>
      <c r="V41" t="e">
        <f t="shared" ca="1" si="14"/>
        <v>#NAME?</v>
      </c>
      <c r="W41" t="e">
        <f t="shared" ca="1" si="15"/>
        <v>#NAME?</v>
      </c>
      <c r="X41" t="e">
        <f t="shared" ca="1" si="16"/>
        <v>#NAME?</v>
      </c>
    </row>
    <row r="42" spans="1:26">
      <c r="A42" s="21" t="s">
        <v>76</v>
      </c>
      <c r="B42" s="90" t="s">
        <v>31</v>
      </c>
      <c r="C42" s="25"/>
      <c r="D42" s="25" t="s">
        <v>264</v>
      </c>
      <c r="E42" s="25"/>
      <c r="F42" s="90" t="s">
        <v>257</v>
      </c>
      <c r="G42" s="110" t="s">
        <v>59</v>
      </c>
      <c r="H42" s="25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77</v>
      </c>
      <c r="B43" s="116" t="s">
        <v>32</v>
      </c>
      <c r="C43" s="25" t="s">
        <v>265</v>
      </c>
      <c r="D43" s="25"/>
      <c r="E43" s="25"/>
      <c r="F43" s="115" t="s">
        <v>23</v>
      </c>
      <c r="G43" s="25"/>
      <c r="H43" s="25"/>
      <c r="J43" t="e">
        <f t="shared" ca="1" si="3"/>
        <v>#NAME?</v>
      </c>
      <c r="K43" t="e">
        <f t="shared" ca="1" si="4"/>
        <v>#NAME?</v>
      </c>
      <c r="L43" t="e">
        <f t="shared" ca="1" si="5"/>
        <v>#NAME?</v>
      </c>
      <c r="M43" t="e">
        <f t="shared" ca="1" si="6"/>
        <v>#NAME?</v>
      </c>
      <c r="N43" t="e">
        <f t="shared" ca="1" si="7"/>
        <v>#NAME?</v>
      </c>
      <c r="O43" t="e">
        <f t="shared" ca="1" si="8"/>
        <v>#NAME?</v>
      </c>
      <c r="P43" t="e">
        <f t="shared" ca="1" si="9"/>
        <v>#NAME?</v>
      </c>
      <c r="R43" t="e">
        <f t="shared" ca="1" si="10"/>
        <v>#NAME?</v>
      </c>
      <c r="S43" t="e">
        <f t="shared" ca="1" si="11"/>
        <v>#NAME?</v>
      </c>
      <c r="T43" t="e">
        <f t="shared" ca="1" si="12"/>
        <v>#NAME?</v>
      </c>
      <c r="U43" t="e">
        <f t="shared" ca="1" si="13"/>
        <v>#NAME?</v>
      </c>
      <c r="V43" t="e">
        <f t="shared" ca="1" si="14"/>
        <v>#NAME?</v>
      </c>
      <c r="W43" t="e">
        <f t="shared" ca="1" si="15"/>
        <v>#NAME?</v>
      </c>
      <c r="X43" t="e">
        <f t="shared" ca="1" si="16"/>
        <v>#NAME?</v>
      </c>
    </row>
    <row r="44" spans="1:26" ht="14.45" customHeight="1">
      <c r="A44" s="21" t="s">
        <v>79</v>
      </c>
      <c r="B44" s="110" t="s">
        <v>16</v>
      </c>
      <c r="C44" s="25"/>
      <c r="D44" s="25" t="s">
        <v>24</v>
      </c>
      <c r="E44" s="25"/>
      <c r="F44" s="25"/>
      <c r="G44" s="116" t="s">
        <v>32</v>
      </c>
      <c r="H44" s="28" t="s">
        <v>34</v>
      </c>
      <c r="J44" t="e">
        <f t="shared" ca="1" si="3"/>
        <v>#NAME?</v>
      </c>
      <c r="K44" t="e">
        <f t="shared" ca="1" si="4"/>
        <v>#NAME?</v>
      </c>
      <c r="L44" t="e">
        <f t="shared" ca="1" si="5"/>
        <v>#NAME?</v>
      </c>
      <c r="M44" t="e">
        <f t="shared" ca="1" si="6"/>
        <v>#NAME?</v>
      </c>
      <c r="N44" t="e">
        <f t="shared" ca="1" si="7"/>
        <v>#NAME?</v>
      </c>
      <c r="O44" t="e">
        <f t="shared" ca="1" si="8"/>
        <v>#NAME?</v>
      </c>
      <c r="P44" t="e">
        <f t="shared" ca="1" si="9"/>
        <v>#NAME?</v>
      </c>
      <c r="R44" t="e">
        <f t="shared" ca="1" si="10"/>
        <v>#NAME?</v>
      </c>
      <c r="S44" t="e">
        <f t="shared" ca="1" si="11"/>
        <v>#NAME?</v>
      </c>
      <c r="T44" t="e">
        <f t="shared" ca="1" si="12"/>
        <v>#NAME?</v>
      </c>
      <c r="U44" t="e">
        <f t="shared" ca="1" si="13"/>
        <v>#NAME?</v>
      </c>
      <c r="V44" t="e">
        <f t="shared" ca="1" si="14"/>
        <v>#NAME?</v>
      </c>
      <c r="W44" t="e">
        <f t="shared" ca="1" si="15"/>
        <v>#NAME?</v>
      </c>
      <c r="X44" t="e">
        <f t="shared" ca="1" si="16"/>
        <v>#NAME?</v>
      </c>
      <c r="Z44" s="15">
        <v>0.875</v>
      </c>
    </row>
    <row r="45" spans="1:26">
      <c r="A45" s="21" t="s">
        <v>80</v>
      </c>
      <c r="B45" s="25"/>
      <c r="C45" s="25"/>
      <c r="D45" s="116" t="s">
        <v>45</v>
      </c>
      <c r="E45" s="110" t="s">
        <v>59</v>
      </c>
      <c r="F45" s="25"/>
      <c r="G45" s="91" t="s">
        <v>31</v>
      </c>
      <c r="H45" s="116" t="s">
        <v>32</v>
      </c>
      <c r="J45" t="e">
        <f t="shared" ca="1" si="3"/>
        <v>#NAME?</v>
      </c>
      <c r="K45" t="e">
        <f t="shared" ca="1" si="4"/>
        <v>#NAME?</v>
      </c>
      <c r="L45" t="e">
        <f t="shared" ca="1" si="5"/>
        <v>#NAME?</v>
      </c>
      <c r="M45" t="e">
        <f t="shared" ca="1" si="6"/>
        <v>#NAME?</v>
      </c>
      <c r="N45" t="e">
        <f t="shared" ca="1" si="7"/>
        <v>#NAME?</v>
      </c>
      <c r="O45" t="e">
        <f t="shared" ca="1" si="8"/>
        <v>#NAME?</v>
      </c>
      <c r="P45" t="e">
        <f t="shared" ca="1" si="9"/>
        <v>#NAME?</v>
      </c>
      <c r="R45" t="e">
        <f t="shared" ca="1" si="10"/>
        <v>#NAME?</v>
      </c>
      <c r="S45" t="e">
        <f t="shared" ca="1" si="11"/>
        <v>#NAME?</v>
      </c>
      <c r="T45" t="e">
        <f t="shared" ca="1" si="12"/>
        <v>#NAME?</v>
      </c>
      <c r="U45" t="e">
        <f t="shared" ca="1" si="13"/>
        <v>#NAME?</v>
      </c>
      <c r="V45" t="e">
        <f t="shared" ca="1" si="14"/>
        <v>#NAME?</v>
      </c>
      <c r="W45" t="e">
        <f t="shared" ca="1" si="15"/>
        <v>#NAME?</v>
      </c>
      <c r="X45" t="e">
        <f t="shared" ca="1" si="16"/>
        <v>#NAME?</v>
      </c>
      <c r="Z45" s="15">
        <v>0.75</v>
      </c>
    </row>
    <row r="46" spans="1:26">
      <c r="A46" s="21" t="s">
        <v>81</v>
      </c>
      <c r="B46" s="25"/>
      <c r="C46" s="25"/>
      <c r="D46" s="25" t="s">
        <v>24</v>
      </c>
      <c r="E46" s="25"/>
      <c r="F46" s="25"/>
      <c r="G46" s="116" t="s">
        <v>45</v>
      </c>
      <c r="H46" s="110" t="s">
        <v>59</v>
      </c>
      <c r="J46" t="e">
        <f t="shared" ca="1" si="3"/>
        <v>#NAME?</v>
      </c>
      <c r="K46" t="e">
        <f t="shared" ca="1" si="4"/>
        <v>#NAME?</v>
      </c>
      <c r="L46" t="e">
        <f t="shared" ca="1" si="5"/>
        <v>#NAME?</v>
      </c>
      <c r="M46" t="e">
        <f t="shared" ca="1" si="6"/>
        <v>#NAME?</v>
      </c>
      <c r="N46" t="e">
        <f t="shared" ca="1" si="7"/>
        <v>#NAME?</v>
      </c>
      <c r="O46" t="e">
        <f t="shared" ca="1" si="8"/>
        <v>#NAME?</v>
      </c>
      <c r="P46" t="e">
        <f t="shared" ca="1" si="9"/>
        <v>#NAME?</v>
      </c>
      <c r="R46" t="e">
        <f t="shared" ca="1" si="10"/>
        <v>#NAME?</v>
      </c>
      <c r="S46" t="e">
        <f t="shared" ca="1" si="11"/>
        <v>#NAME?</v>
      </c>
      <c r="T46" t="e">
        <f t="shared" ca="1" si="12"/>
        <v>#NAME?</v>
      </c>
      <c r="U46" t="e">
        <f t="shared" ca="1" si="13"/>
        <v>#NAME?</v>
      </c>
      <c r="V46" t="e">
        <f t="shared" ca="1" si="14"/>
        <v>#NAME?</v>
      </c>
      <c r="W46" t="e">
        <f t="shared" ca="1" si="15"/>
        <v>#NAME?</v>
      </c>
      <c r="X46" t="e">
        <f t="shared" ca="1" si="16"/>
        <v>#NAME?</v>
      </c>
      <c r="Z46" s="15">
        <v>0.75</v>
      </c>
    </row>
    <row r="47" spans="1:26">
      <c r="A47" s="21" t="s">
        <v>82</v>
      </c>
      <c r="B47" s="127" t="s">
        <v>20</v>
      </c>
      <c r="C47" s="128"/>
      <c r="D47" s="128"/>
      <c r="E47" s="128"/>
      <c r="F47" s="128"/>
      <c r="G47" s="128"/>
      <c r="H47" s="129"/>
      <c r="J47" t="e">
        <f t="shared" ca="1" si="3"/>
        <v>#NAME?</v>
      </c>
      <c r="K47" t="e">
        <f t="shared" ca="1" si="4"/>
        <v>#NAME?</v>
      </c>
      <c r="L47" t="e">
        <f t="shared" ca="1" si="5"/>
        <v>#NAME?</v>
      </c>
      <c r="M47" t="e">
        <f t="shared" ca="1" si="6"/>
        <v>#NAME?</v>
      </c>
      <c r="N47" t="e">
        <f t="shared" ca="1" si="7"/>
        <v>#NAME?</v>
      </c>
      <c r="O47" t="e">
        <f t="shared" ca="1" si="8"/>
        <v>#NAME?</v>
      </c>
      <c r="P47" t="e">
        <f t="shared" ca="1" si="9"/>
        <v>#NAME?</v>
      </c>
      <c r="R47" t="e">
        <f t="shared" ca="1" si="10"/>
        <v>#NAME?</v>
      </c>
      <c r="S47" t="e">
        <f t="shared" ca="1" si="11"/>
        <v>#NAME?</v>
      </c>
      <c r="T47" t="e">
        <f t="shared" ca="1" si="12"/>
        <v>#NAME?</v>
      </c>
      <c r="U47" t="e">
        <f t="shared" ca="1" si="13"/>
        <v>#NAME?</v>
      </c>
      <c r="V47" t="e">
        <f t="shared" ca="1" si="14"/>
        <v>#NAME?</v>
      </c>
      <c r="W47" t="e">
        <f t="shared" ca="1" si="15"/>
        <v>#NAME?</v>
      </c>
      <c r="X47" t="e">
        <f t="shared" ca="1" si="16"/>
        <v>#NAME?</v>
      </c>
      <c r="Z47" s="15">
        <v>0.5</v>
      </c>
    </row>
    <row r="48" spans="1:26">
      <c r="A48" s="21" t="s">
        <v>83</v>
      </c>
      <c r="B48" s="25"/>
      <c r="C48" s="25"/>
      <c r="D48" s="91" t="s">
        <v>36</v>
      </c>
      <c r="E48" s="25"/>
      <c r="F48" s="110" t="s">
        <v>16</v>
      </c>
      <c r="G48" s="25"/>
      <c r="H48" s="25"/>
      <c r="J48" t="e">
        <f t="shared" ca="1" si="3"/>
        <v>#NAME?</v>
      </c>
      <c r="K48" t="e">
        <f t="shared" ca="1" si="4"/>
        <v>#NAME?</v>
      </c>
      <c r="L48" t="e">
        <f t="shared" ca="1" si="5"/>
        <v>#NAME?</v>
      </c>
      <c r="M48" t="e">
        <f t="shared" ca="1" si="6"/>
        <v>#NAME?</v>
      </c>
      <c r="N48" t="e">
        <f t="shared" ca="1" si="7"/>
        <v>#NAME?</v>
      </c>
      <c r="O48" t="e">
        <f t="shared" ca="1" si="8"/>
        <v>#NAME?</v>
      </c>
      <c r="P48" t="e">
        <f t="shared" ca="1" si="9"/>
        <v>#NAME?</v>
      </c>
      <c r="R48" t="e">
        <f t="shared" ca="1" si="10"/>
        <v>#NAME?</v>
      </c>
      <c r="S48" t="e">
        <f t="shared" ca="1" si="11"/>
        <v>#NAME?</v>
      </c>
      <c r="T48" t="e">
        <f t="shared" ca="1" si="12"/>
        <v>#NAME?</v>
      </c>
      <c r="U48" t="e">
        <f t="shared" ca="1" si="13"/>
        <v>#NAME?</v>
      </c>
      <c r="V48" t="e">
        <f t="shared" ca="1" si="14"/>
        <v>#NAME?</v>
      </c>
      <c r="W48" t="e">
        <f t="shared" ca="1" si="15"/>
        <v>#NAME?</v>
      </c>
      <c r="X48" t="e">
        <f t="shared" ca="1" si="16"/>
        <v>#NAME?</v>
      </c>
      <c r="Z48" s="15">
        <v>0.625</v>
      </c>
    </row>
    <row r="49" spans="1:26" ht="15" customHeight="1">
      <c r="A49" s="21" t="s">
        <v>85</v>
      </c>
      <c r="B49" s="127" t="s">
        <v>20</v>
      </c>
      <c r="C49" s="128"/>
      <c r="D49" s="128"/>
      <c r="E49" s="128"/>
      <c r="F49" s="128"/>
      <c r="G49" s="128"/>
      <c r="H49" s="129"/>
      <c r="J49" t="e">
        <f t="shared" ca="1" si="3"/>
        <v>#NAME?</v>
      </c>
      <c r="K49" t="e">
        <f t="shared" ca="1" si="4"/>
        <v>#NAME?</v>
      </c>
      <c r="L49" t="e">
        <f t="shared" ca="1" si="5"/>
        <v>#NAME?</v>
      </c>
      <c r="M49" t="e">
        <f t="shared" ca="1" si="6"/>
        <v>#NAME?</v>
      </c>
      <c r="N49" t="e">
        <f t="shared" ca="1" si="7"/>
        <v>#NAME?</v>
      </c>
      <c r="O49" t="e">
        <f t="shared" ca="1" si="8"/>
        <v>#NAME?</v>
      </c>
      <c r="P49" t="e">
        <f t="shared" ca="1" si="9"/>
        <v>#NAME?</v>
      </c>
      <c r="R49" t="e">
        <f t="shared" ca="1" si="10"/>
        <v>#NAME?</v>
      </c>
      <c r="S49" t="e">
        <f t="shared" ca="1" si="11"/>
        <v>#NAME?</v>
      </c>
      <c r="T49" t="e">
        <f t="shared" ca="1" si="12"/>
        <v>#NAME?</v>
      </c>
      <c r="U49" t="e">
        <f t="shared" ca="1" si="13"/>
        <v>#NAME?</v>
      </c>
      <c r="V49" t="e">
        <f t="shared" ca="1" si="14"/>
        <v>#NAME?</v>
      </c>
      <c r="W49" t="e">
        <f t="shared" ca="1" si="15"/>
        <v>#NAME?</v>
      </c>
      <c r="X49" t="e">
        <f t="shared" ca="1" si="16"/>
        <v>#NAME?</v>
      </c>
      <c r="Z49" s="15">
        <v>0.5</v>
      </c>
    </row>
    <row r="50" spans="1:26" ht="15" customHeight="1">
      <c r="A50" s="21" t="s">
        <v>266</v>
      </c>
      <c r="B50" s="25"/>
      <c r="C50" s="25"/>
      <c r="D50" s="90" t="s">
        <v>31</v>
      </c>
      <c r="E50" s="25"/>
      <c r="F50" s="25"/>
      <c r="G50" s="25"/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</row>
    <row r="51" spans="1:26" ht="15" customHeight="1">
      <c r="A51" s="21" t="s">
        <v>87</v>
      </c>
      <c r="B51" s="25"/>
      <c r="C51" s="25"/>
      <c r="D51" s="25"/>
      <c r="E51" s="25"/>
      <c r="F51" s="28" t="s">
        <v>34</v>
      </c>
      <c r="G51" s="25"/>
      <c r="H51" s="25"/>
      <c r="J51" t="e">
        <f t="shared" ca="1" si="3"/>
        <v>#NAME?</v>
      </c>
      <c r="K51" t="e">
        <f t="shared" ca="1" si="4"/>
        <v>#NAME?</v>
      </c>
      <c r="L51" t="e">
        <f t="shared" ca="1" si="5"/>
        <v>#NAME?</v>
      </c>
      <c r="M51" t="e">
        <f t="shared" ca="1" si="6"/>
        <v>#NAME?</v>
      </c>
      <c r="N51" t="e">
        <f t="shared" ca="1" si="7"/>
        <v>#NAME?</v>
      </c>
      <c r="O51" t="e">
        <f t="shared" ca="1" si="8"/>
        <v>#NAME?</v>
      </c>
      <c r="P51" t="e">
        <f t="shared" ca="1" si="9"/>
        <v>#NAME?</v>
      </c>
      <c r="R51" t="e">
        <f t="shared" ca="1" si="10"/>
        <v>#NAME?</v>
      </c>
      <c r="S51" t="e">
        <f t="shared" ca="1" si="11"/>
        <v>#NAME?</v>
      </c>
      <c r="T51" t="e">
        <f t="shared" ca="1" si="12"/>
        <v>#NAME?</v>
      </c>
      <c r="U51" t="e">
        <f t="shared" ca="1" si="13"/>
        <v>#NAME?</v>
      </c>
      <c r="V51" t="e">
        <f t="shared" ca="1" si="14"/>
        <v>#NAME?</v>
      </c>
      <c r="W51" t="e">
        <f t="shared" ca="1" si="15"/>
        <v>#NAME?</v>
      </c>
      <c r="X51" t="e">
        <f t="shared" ca="1" si="16"/>
        <v>#NAME?</v>
      </c>
    </row>
    <row r="52" spans="1:26" s="52" customFormat="1">
      <c r="A52" s="50" t="s">
        <v>89</v>
      </c>
      <c r="B52" s="51" t="s">
        <v>267</v>
      </c>
      <c r="C52" s="51" t="s">
        <v>268</v>
      </c>
      <c r="D52" s="51" t="s">
        <v>269</v>
      </c>
      <c r="E52" s="51" t="s">
        <v>270</v>
      </c>
      <c r="F52" s="51" t="s">
        <v>271</v>
      </c>
      <c r="G52" s="51" t="s">
        <v>272</v>
      </c>
      <c r="H52" s="51" t="s">
        <v>273</v>
      </c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Q52"/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  <c r="Z52" s="57">
        <f>SUM(Z3:Z50)</f>
        <v>28.75</v>
      </c>
    </row>
    <row r="53" spans="1:26" ht="15" customHeight="1">
      <c r="A53" s="106" t="s">
        <v>99</v>
      </c>
      <c r="B53" s="107" t="s">
        <v>274</v>
      </c>
      <c r="C53" s="107" t="str">
        <f>C57</f>
        <v>Tues 12 May</v>
      </c>
      <c r="D53" s="107" t="str">
        <f t="shared" ref="D53:H53" si="17">D57</f>
        <v>Wed 13 May</v>
      </c>
      <c r="E53" s="107" t="str">
        <f t="shared" si="17"/>
        <v>Thu 14 May</v>
      </c>
      <c r="F53" s="107" t="str">
        <f t="shared" si="17"/>
        <v>Fri 15 May</v>
      </c>
      <c r="G53" s="107" t="str">
        <f t="shared" si="17"/>
        <v>Sat 16 May</v>
      </c>
      <c r="H53" s="107" t="str">
        <f t="shared" si="17"/>
        <v>Sun 17 May</v>
      </c>
      <c r="J53" t="e">
        <f t="shared" ca="1" si="3"/>
        <v>#NAME?</v>
      </c>
      <c r="K53" t="e">
        <f t="shared" ca="1" si="4"/>
        <v>#NAME?</v>
      </c>
      <c r="L53" t="e">
        <f t="shared" ca="1" si="5"/>
        <v>#NAME?</v>
      </c>
      <c r="M53" t="e">
        <f t="shared" ca="1" si="6"/>
        <v>#NAME?</v>
      </c>
      <c r="N53" t="e">
        <f t="shared" ca="1" si="7"/>
        <v>#NAME?</v>
      </c>
      <c r="O53" t="e">
        <f t="shared" ca="1" si="8"/>
        <v>#NAME?</v>
      </c>
      <c r="P53" t="e">
        <f t="shared" ca="1" si="9"/>
        <v>#NAME?</v>
      </c>
      <c r="R53" t="e">
        <f t="shared" ca="1" si="10"/>
        <v>#NAME?</v>
      </c>
      <c r="S53" t="e">
        <f t="shared" ca="1" si="11"/>
        <v>#NAME?</v>
      </c>
      <c r="T53" t="e">
        <f t="shared" ca="1" si="12"/>
        <v>#NAME?</v>
      </c>
      <c r="U53" t="e">
        <f t="shared" ca="1" si="13"/>
        <v>#NAME?</v>
      </c>
      <c r="V53" t="e">
        <f t="shared" ca="1" si="14"/>
        <v>#NAME?</v>
      </c>
      <c r="W53" t="e">
        <f t="shared" ca="1" si="15"/>
        <v>#NAME?</v>
      </c>
      <c r="X53" t="e">
        <f t="shared" ca="1" si="16"/>
        <v>#NAME?</v>
      </c>
    </row>
    <row r="54" spans="1:26" ht="15" customHeight="1">
      <c r="A54" s="22" t="s">
        <v>107</v>
      </c>
      <c r="B54" s="25" t="s">
        <v>24</v>
      </c>
      <c r="C54" s="25"/>
      <c r="D54" s="25" t="s">
        <v>108</v>
      </c>
      <c r="E54" s="25" t="s">
        <v>108</v>
      </c>
      <c r="F54" s="25"/>
      <c r="G54" s="25"/>
      <c r="H54" s="25"/>
      <c r="J54" t="e">
        <f t="shared" ca="1" si="3"/>
        <v>#NAME?</v>
      </c>
      <c r="K54" t="e">
        <f t="shared" ca="1" si="4"/>
        <v>#NAME?</v>
      </c>
      <c r="L54" t="e">
        <f t="shared" ca="1" si="5"/>
        <v>#NAME?</v>
      </c>
      <c r="M54" t="e">
        <f t="shared" ca="1" si="6"/>
        <v>#NAME?</v>
      </c>
      <c r="N54" t="e">
        <f t="shared" ca="1" si="7"/>
        <v>#NAME?</v>
      </c>
      <c r="O54" t="e">
        <f t="shared" ca="1" si="8"/>
        <v>#NAME?</v>
      </c>
      <c r="P54" t="e">
        <f t="shared" ca="1" si="9"/>
        <v>#NAME?</v>
      </c>
      <c r="R54" t="e">
        <f t="shared" ca="1" si="10"/>
        <v>#NAME?</v>
      </c>
      <c r="S54" t="e">
        <f t="shared" ca="1" si="11"/>
        <v>#NAME?</v>
      </c>
      <c r="T54" t="e">
        <f t="shared" ca="1" si="12"/>
        <v>#NAME?</v>
      </c>
      <c r="U54" t="e">
        <f t="shared" ca="1" si="13"/>
        <v>#NAME?</v>
      </c>
      <c r="V54" t="e">
        <f t="shared" ca="1" si="14"/>
        <v>#NAME?</v>
      </c>
      <c r="W54" t="e">
        <f t="shared" ca="1" si="15"/>
        <v>#NAME?</v>
      </c>
      <c r="X54" t="e">
        <f t="shared" ca="1" si="16"/>
        <v>#NAME?</v>
      </c>
    </row>
    <row r="55" spans="1:26" ht="15" customHeight="1">
      <c r="A55" s="22" t="s">
        <v>109</v>
      </c>
      <c r="B55" s="25" t="s">
        <v>108</v>
      </c>
      <c r="C55" s="25"/>
      <c r="D55" s="25"/>
      <c r="E55" s="25"/>
      <c r="F55" s="25" t="s">
        <v>108</v>
      </c>
      <c r="G55" s="25"/>
      <c r="H55" s="25"/>
      <c r="J55" t="e">
        <f t="shared" ca="1" si="3"/>
        <v>#NAME?</v>
      </c>
      <c r="K55" t="e">
        <f t="shared" ca="1" si="4"/>
        <v>#NAME?</v>
      </c>
      <c r="L55" t="e">
        <f t="shared" ca="1" si="5"/>
        <v>#NAME?</v>
      </c>
      <c r="M55" t="e">
        <f t="shared" ca="1" si="6"/>
        <v>#NAME?</v>
      </c>
      <c r="N55" t="e">
        <f t="shared" ca="1" si="7"/>
        <v>#NAME?</v>
      </c>
      <c r="O55" t="e">
        <f t="shared" ca="1" si="8"/>
        <v>#NAME?</v>
      </c>
      <c r="P55" t="e">
        <f t="shared" ca="1" si="9"/>
        <v>#NAME?</v>
      </c>
      <c r="R55" t="e">
        <f t="shared" ca="1" si="10"/>
        <v>#NAME?</v>
      </c>
      <c r="S55" t="e">
        <f t="shared" ca="1" si="11"/>
        <v>#NAME?</v>
      </c>
      <c r="T55" t="e">
        <f t="shared" ca="1" si="12"/>
        <v>#NAME?</v>
      </c>
      <c r="U55" t="e">
        <f t="shared" ca="1" si="13"/>
        <v>#NAME?</v>
      </c>
      <c r="V55" t="e">
        <f t="shared" ca="1" si="14"/>
        <v>#NAME?</v>
      </c>
      <c r="W55" t="e">
        <f t="shared" ca="1" si="15"/>
        <v>#NAME?</v>
      </c>
      <c r="X55" t="e">
        <f t="shared" ca="1" si="16"/>
        <v>#NAME?</v>
      </c>
    </row>
    <row r="56" spans="1:26" ht="15" customHeight="1">
      <c r="A56" s="22" t="s">
        <v>110</v>
      </c>
      <c r="B56" s="25"/>
      <c r="C56" s="25" t="s">
        <v>108</v>
      </c>
      <c r="D56" s="25"/>
      <c r="E56" s="25"/>
      <c r="F56" s="25"/>
      <c r="G56" s="25" t="s">
        <v>111</v>
      </c>
      <c r="H56" s="25"/>
      <c r="J56" t="e">
        <f t="shared" ca="1" si="3"/>
        <v>#NAME?</v>
      </c>
      <c r="K56" t="e">
        <f t="shared" ca="1" si="4"/>
        <v>#NAME?</v>
      </c>
      <c r="L56" t="e">
        <f t="shared" ca="1" si="5"/>
        <v>#NAME?</v>
      </c>
      <c r="M56" t="e">
        <f t="shared" ca="1" si="6"/>
        <v>#NAME?</v>
      </c>
      <c r="N56" t="e">
        <f t="shared" ca="1" si="7"/>
        <v>#NAME?</v>
      </c>
      <c r="O56" t="e">
        <f t="shared" ca="1" si="8"/>
        <v>#NAME?</v>
      </c>
      <c r="P56" t="e">
        <f t="shared" ca="1" si="9"/>
        <v>#NAME?</v>
      </c>
      <c r="R56" t="e">
        <f t="shared" ca="1" si="10"/>
        <v>#NAME?</v>
      </c>
      <c r="S56" t="e">
        <f t="shared" ca="1" si="11"/>
        <v>#NAME?</v>
      </c>
      <c r="T56" t="e">
        <f t="shared" ca="1" si="12"/>
        <v>#NAME?</v>
      </c>
      <c r="U56" t="e">
        <f t="shared" ca="1" si="13"/>
        <v>#NAME?</v>
      </c>
      <c r="V56" t="e">
        <f t="shared" ca="1" si="14"/>
        <v>#NAME?</v>
      </c>
      <c r="W56" t="e">
        <f t="shared" ca="1" si="15"/>
        <v>#NAME?</v>
      </c>
      <c r="X56" t="e">
        <f t="shared" ca="1" si="16"/>
        <v>#NAME?</v>
      </c>
    </row>
    <row r="57" spans="1:26" ht="15" customHeight="1">
      <c r="A57" s="106" t="s">
        <v>113</v>
      </c>
      <c r="B57" s="107" t="s">
        <v>274</v>
      </c>
      <c r="C57" s="107" t="s">
        <v>275</v>
      </c>
      <c r="D57" s="107" t="s">
        <v>276</v>
      </c>
      <c r="E57" s="107" t="s">
        <v>277</v>
      </c>
      <c r="F57" s="107" t="s">
        <v>278</v>
      </c>
      <c r="G57" s="107" t="s">
        <v>279</v>
      </c>
      <c r="H57" s="107" t="s">
        <v>280</v>
      </c>
      <c r="J57" t="e">
        <f t="shared" ca="1" si="3"/>
        <v>#NAME?</v>
      </c>
      <c r="K57" t="e">
        <f t="shared" ca="1" si="4"/>
        <v>#NAME?</v>
      </c>
      <c r="L57" t="e">
        <f t="shared" ca="1" si="5"/>
        <v>#NAME?</v>
      </c>
      <c r="M57" t="e">
        <f t="shared" ca="1" si="6"/>
        <v>#NAME?</v>
      </c>
      <c r="N57" t="e">
        <f t="shared" ca="1" si="7"/>
        <v>#NAME?</v>
      </c>
      <c r="O57" t="e">
        <f t="shared" ca="1" si="8"/>
        <v>#NAME?</v>
      </c>
      <c r="P57" t="e">
        <f t="shared" ca="1" si="9"/>
        <v>#NAME?</v>
      </c>
      <c r="R57" t="e">
        <f t="shared" ca="1" si="10"/>
        <v>#NAME?</v>
      </c>
      <c r="S57" t="e">
        <f t="shared" ca="1" si="11"/>
        <v>#NAME?</v>
      </c>
      <c r="T57" t="e">
        <f t="shared" ca="1" si="12"/>
        <v>#NAME?</v>
      </c>
      <c r="U57" t="e">
        <f t="shared" ca="1" si="13"/>
        <v>#NAME?</v>
      </c>
      <c r="V57" t="e">
        <f t="shared" ca="1" si="14"/>
        <v>#NAME?</v>
      </c>
      <c r="W57" t="e">
        <f t="shared" ca="1" si="15"/>
        <v>#NAME?</v>
      </c>
      <c r="X57" t="e">
        <f t="shared" ca="1" si="16"/>
        <v>#NAME?</v>
      </c>
    </row>
    <row r="58" spans="1:26" ht="15" customHeight="1">
      <c r="A58" s="22" t="s">
        <v>114</v>
      </c>
      <c r="B58" s="113" t="s">
        <v>150</v>
      </c>
      <c r="C58" s="28" t="s">
        <v>119</v>
      </c>
      <c r="D58" s="25"/>
      <c r="E58" s="25"/>
      <c r="F58" s="25"/>
      <c r="G58" s="28" t="s">
        <v>119</v>
      </c>
      <c r="H58" s="120" t="s">
        <v>118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  <c r="Z58" s="15">
        <v>1</v>
      </c>
    </row>
    <row r="59" spans="1:26" ht="15" customHeight="1">
      <c r="A59" s="22" t="s">
        <v>117</v>
      </c>
      <c r="B59" s="25"/>
      <c r="C59" s="25"/>
      <c r="D59" s="120" t="s">
        <v>118</v>
      </c>
      <c r="E59" s="28" t="s">
        <v>115</v>
      </c>
      <c r="F59" s="25"/>
      <c r="G59" s="121" t="s">
        <v>118</v>
      </c>
      <c r="H59" s="28" t="s">
        <v>119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120</v>
      </c>
      <c r="B60" s="25" t="s">
        <v>123</v>
      </c>
      <c r="C60" s="25" t="s">
        <v>123</v>
      </c>
      <c r="D60" s="25"/>
      <c r="E60" s="25"/>
      <c r="F60" s="25"/>
      <c r="G60" s="25"/>
      <c r="H60" s="25"/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0.25</v>
      </c>
    </row>
    <row r="61" spans="1:26" ht="15" customHeight="1">
      <c r="A61" s="22" t="s">
        <v>121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0.5</v>
      </c>
    </row>
    <row r="62" spans="1:26" ht="15" customHeight="1">
      <c r="A62" s="106" t="s">
        <v>124</v>
      </c>
      <c r="B62" s="107" t="str">
        <f>B57</f>
        <v>Mon 11 May</v>
      </c>
      <c r="C62" s="107" t="str">
        <f t="shared" ref="C62:H62" si="18">C57</f>
        <v>Tues 12 May</v>
      </c>
      <c r="D62" s="107" t="str">
        <f t="shared" si="18"/>
        <v>Wed 13 May</v>
      </c>
      <c r="E62" s="107" t="str">
        <f t="shared" si="18"/>
        <v>Thu 14 May</v>
      </c>
      <c r="F62" s="107" t="str">
        <f t="shared" si="18"/>
        <v>Fri 15 May</v>
      </c>
      <c r="G62" s="107" t="str">
        <f t="shared" si="18"/>
        <v>Sat 16 May</v>
      </c>
      <c r="H62" s="107" t="str">
        <f t="shared" si="18"/>
        <v>Sun 17 May</v>
      </c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53">
        <f>SUM(Z58:Z61)</f>
        <v>2.75</v>
      </c>
    </row>
    <row r="63" spans="1:26" ht="15" customHeight="1">
      <c r="A63" s="22" t="s">
        <v>125</v>
      </c>
      <c r="B63" s="28" t="s">
        <v>281</v>
      </c>
      <c r="C63" s="120" t="s">
        <v>126</v>
      </c>
      <c r="D63" s="28" t="s">
        <v>119</v>
      </c>
      <c r="E63" s="120" t="s">
        <v>118</v>
      </c>
      <c r="F63" s="25"/>
      <c r="G63" s="120" t="s">
        <v>118</v>
      </c>
      <c r="H63" s="28" t="s">
        <v>119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15">
        <v>1</v>
      </c>
    </row>
    <row r="64" spans="1:26" ht="15" customHeight="1">
      <c r="A64" s="22" t="s">
        <v>128</v>
      </c>
      <c r="B64" s="25"/>
      <c r="C64" s="25"/>
      <c r="D64" s="25"/>
      <c r="E64" s="110" t="s">
        <v>142</v>
      </c>
      <c r="F64" s="25"/>
      <c r="G64" s="25"/>
      <c r="H64" s="25"/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0.25</v>
      </c>
    </row>
    <row r="65" spans="1:26" ht="15" customHeight="1">
      <c r="A65" s="22" t="s">
        <v>129</v>
      </c>
      <c r="B65" s="120" t="s">
        <v>118</v>
      </c>
      <c r="C65" s="25"/>
      <c r="D65" s="121" t="s">
        <v>118</v>
      </c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0.5</v>
      </c>
    </row>
    <row r="66" spans="1:26" ht="26.25">
      <c r="A66" s="106" t="s">
        <v>130</v>
      </c>
      <c r="B66" s="108" t="str">
        <f>B57</f>
        <v>Mon 11 May</v>
      </c>
      <c r="C66" s="107" t="str">
        <f t="shared" ref="C66:H66" si="19">C57</f>
        <v>Tues 12 May</v>
      </c>
      <c r="D66" s="108" t="s">
        <v>282</v>
      </c>
      <c r="E66" s="107" t="str">
        <f t="shared" si="19"/>
        <v>Thu 14 May</v>
      </c>
      <c r="F66" s="107" t="str">
        <f t="shared" si="19"/>
        <v>Fri 15 May</v>
      </c>
      <c r="G66" s="107" t="str">
        <f t="shared" si="19"/>
        <v>Sat 16 May</v>
      </c>
      <c r="H66" s="107" t="str">
        <f t="shared" si="19"/>
        <v>Sun 17 May</v>
      </c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53">
        <f>SUM(Z63:Z65)</f>
        <v>1.75</v>
      </c>
    </row>
    <row r="67" spans="1:26" ht="15" customHeight="1">
      <c r="A67" s="22" t="s">
        <v>133</v>
      </c>
      <c r="B67" s="127" t="s">
        <v>18</v>
      </c>
      <c r="C67" s="128"/>
      <c r="D67" s="128"/>
      <c r="E67" s="128"/>
      <c r="F67" s="128"/>
      <c r="G67" s="128"/>
      <c r="H67" s="129" t="s">
        <v>134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15">
        <v>0.5</v>
      </c>
    </row>
    <row r="68" spans="1:26" ht="14.45" customHeight="1">
      <c r="A68" s="22" t="s">
        <v>135</v>
      </c>
      <c r="B68" s="127" t="s">
        <v>18</v>
      </c>
      <c r="C68" s="128"/>
      <c r="D68" s="128"/>
      <c r="E68" s="128"/>
      <c r="F68" s="128"/>
      <c r="G68" s="128"/>
      <c r="H68" s="129" t="s">
        <v>134</v>
      </c>
      <c r="J68" t="e">
        <f t="shared" ref="J68:J131" ca="1" si="20">colorindex(B68)</f>
        <v>#NAME?</v>
      </c>
      <c r="K68" t="e">
        <f t="shared" ref="K68:K131" ca="1" si="21">colorindex(C68)</f>
        <v>#NAME?</v>
      </c>
      <c r="L68" t="e">
        <f t="shared" ref="L68:L131" ca="1" si="22">colorindex(D68)</f>
        <v>#NAME?</v>
      </c>
      <c r="M68" t="e">
        <f t="shared" ref="M68:M131" ca="1" si="23">colorindex(E68)</f>
        <v>#NAME?</v>
      </c>
      <c r="N68" t="e">
        <f t="shared" ref="N68:N131" ca="1" si="24">colorindex(F68)</f>
        <v>#NAME?</v>
      </c>
      <c r="O68" t="e">
        <f t="shared" ref="O68:O131" ca="1" si="25">colorindex(G68)</f>
        <v>#NAME?</v>
      </c>
      <c r="P68" t="e">
        <f t="shared" ref="P68:P131" ca="1" si="26">colorindex(H68)</f>
        <v>#NAME?</v>
      </c>
      <c r="R68" t="e">
        <f t="shared" ref="R68:R131" ca="1" si="27">ShiftIndex(B68)</f>
        <v>#NAME?</v>
      </c>
      <c r="S68" t="e">
        <f t="shared" ref="S68:S131" ca="1" si="28">ShiftIndex(C68)</f>
        <v>#NAME?</v>
      </c>
      <c r="T68" t="e">
        <f t="shared" ref="T68:T131" ca="1" si="29">ShiftIndex(D68)</f>
        <v>#NAME?</v>
      </c>
      <c r="U68" t="e">
        <f t="shared" ref="U68:U131" ca="1" si="30">ShiftIndex(E68)</f>
        <v>#NAME?</v>
      </c>
      <c r="V68" t="e">
        <f t="shared" ref="V68:V131" ca="1" si="31">ShiftIndex(F68)</f>
        <v>#NAME?</v>
      </c>
      <c r="W68" t="e">
        <f t="shared" ref="W68:W131" ca="1" si="32">ShiftIndex(G68)</f>
        <v>#NAME?</v>
      </c>
      <c r="X68" t="e">
        <f t="shared" ref="X68:X131" ca="1" si="33">ShiftIndex(H68)</f>
        <v>#NAME?</v>
      </c>
      <c r="Z68" s="15">
        <v>0.5</v>
      </c>
    </row>
    <row r="69" spans="1:26" ht="15" customHeight="1">
      <c r="A69" s="22" t="s">
        <v>136</v>
      </c>
      <c r="B69" s="25"/>
      <c r="C69" s="120" t="s">
        <v>118</v>
      </c>
      <c r="D69" s="25" t="s">
        <v>141</v>
      </c>
      <c r="E69" s="44" t="s">
        <v>186</v>
      </c>
      <c r="F69" s="110" t="s">
        <v>142</v>
      </c>
      <c r="G69" s="25"/>
      <c r="H69" s="25"/>
      <c r="J69" t="e">
        <f t="shared" ca="1" si="20"/>
        <v>#NAME?</v>
      </c>
      <c r="K69" t="e">
        <f t="shared" ca="1" si="21"/>
        <v>#NAME?</v>
      </c>
      <c r="L69" t="e">
        <f t="shared" ca="1" si="22"/>
        <v>#NAME?</v>
      </c>
      <c r="M69" t="e">
        <f t="shared" ca="1" si="23"/>
        <v>#NAME?</v>
      </c>
      <c r="N69" t="e">
        <f t="shared" ca="1" si="24"/>
        <v>#NAME?</v>
      </c>
      <c r="O69" t="e">
        <f t="shared" ca="1" si="25"/>
        <v>#NAME?</v>
      </c>
      <c r="P69" t="e">
        <f t="shared" ca="1" si="26"/>
        <v>#NAME?</v>
      </c>
      <c r="R69" t="e">
        <f t="shared" ca="1" si="27"/>
        <v>#NAME?</v>
      </c>
      <c r="S69" t="e">
        <f t="shared" ca="1" si="28"/>
        <v>#NAME?</v>
      </c>
      <c r="T69" t="e">
        <f t="shared" ca="1" si="29"/>
        <v>#NAME?</v>
      </c>
      <c r="U69" t="e">
        <f t="shared" ca="1" si="30"/>
        <v>#NAME?</v>
      </c>
      <c r="V69" t="e">
        <f t="shared" ca="1" si="31"/>
        <v>#NAME?</v>
      </c>
      <c r="W69" t="e">
        <f t="shared" ca="1" si="32"/>
        <v>#NAME?</v>
      </c>
      <c r="X69" t="e">
        <f t="shared" ca="1" si="33"/>
        <v>#NAME?</v>
      </c>
      <c r="Z69" s="24">
        <v>1</v>
      </c>
    </row>
    <row r="70" spans="1:26" ht="15" customHeight="1">
      <c r="A70" s="22" t="s">
        <v>137</v>
      </c>
      <c r="B70" s="28" t="s">
        <v>115</v>
      </c>
      <c r="C70" s="25" t="s">
        <v>123</v>
      </c>
      <c r="D70" s="25" t="s">
        <v>123</v>
      </c>
      <c r="E70" s="25" t="s">
        <v>123</v>
      </c>
      <c r="F70" s="25" t="s">
        <v>123</v>
      </c>
      <c r="G70" s="25"/>
      <c r="H70" s="25"/>
      <c r="J70" t="e">
        <f t="shared" ca="1" si="20"/>
        <v>#NAME?</v>
      </c>
      <c r="K70" t="e">
        <f t="shared" ca="1" si="21"/>
        <v>#NAME?</v>
      </c>
      <c r="L70" t="e">
        <f t="shared" ca="1" si="22"/>
        <v>#NAME?</v>
      </c>
      <c r="M70" t="e">
        <f t="shared" ca="1" si="23"/>
        <v>#NAME?</v>
      </c>
      <c r="N70" t="e">
        <f t="shared" ca="1" si="24"/>
        <v>#NAME?</v>
      </c>
      <c r="O70" t="e">
        <f t="shared" ca="1" si="25"/>
        <v>#NAME?</v>
      </c>
      <c r="P70" t="e">
        <f t="shared" ca="1" si="26"/>
        <v>#NAME?</v>
      </c>
      <c r="R70" t="e">
        <f t="shared" ca="1" si="27"/>
        <v>#NAME?</v>
      </c>
      <c r="S70" t="e">
        <f t="shared" ca="1" si="28"/>
        <v>#NAME?</v>
      </c>
      <c r="T70" t="e">
        <f t="shared" ca="1" si="29"/>
        <v>#NAME?</v>
      </c>
      <c r="U70" t="e">
        <f t="shared" ca="1" si="30"/>
        <v>#NAME?</v>
      </c>
      <c r="V70" t="e">
        <f t="shared" ca="1" si="31"/>
        <v>#NAME?</v>
      </c>
      <c r="W70" t="e">
        <f t="shared" ca="1" si="32"/>
        <v>#NAME?</v>
      </c>
      <c r="X70" t="e">
        <f t="shared" ca="1" si="33"/>
        <v>#NAME?</v>
      </c>
      <c r="Z70" s="24">
        <v>0.5</v>
      </c>
    </row>
    <row r="71" spans="1:26" ht="15" customHeight="1">
      <c r="A71" s="22" t="s">
        <v>140</v>
      </c>
      <c r="B71" s="120" t="s">
        <v>116</v>
      </c>
      <c r="C71" s="25"/>
      <c r="D71" s="25" t="s">
        <v>141</v>
      </c>
      <c r="E71" s="110" t="s">
        <v>139</v>
      </c>
      <c r="F71" s="121" t="s">
        <v>116</v>
      </c>
      <c r="G71" s="28" t="s">
        <v>115</v>
      </c>
      <c r="H71" s="121" t="s">
        <v>116</v>
      </c>
      <c r="J71" t="e">
        <f t="shared" ca="1" si="20"/>
        <v>#NAME?</v>
      </c>
      <c r="K71" t="e">
        <f t="shared" ca="1" si="21"/>
        <v>#NAME?</v>
      </c>
      <c r="L71" t="e">
        <f t="shared" ca="1" si="22"/>
        <v>#NAME?</v>
      </c>
      <c r="M71" t="e">
        <f t="shared" ca="1" si="23"/>
        <v>#NAME?</v>
      </c>
      <c r="N71" t="e">
        <f t="shared" ca="1" si="24"/>
        <v>#NAME?</v>
      </c>
      <c r="O71" t="e">
        <f t="shared" ca="1" si="25"/>
        <v>#NAME?</v>
      </c>
      <c r="P71" t="e">
        <f t="shared" ca="1" si="26"/>
        <v>#NAME?</v>
      </c>
      <c r="R71" t="e">
        <f t="shared" ca="1" si="27"/>
        <v>#NAME?</v>
      </c>
      <c r="S71" t="e">
        <f t="shared" ca="1" si="28"/>
        <v>#NAME?</v>
      </c>
      <c r="T71" t="e">
        <f t="shared" ca="1" si="29"/>
        <v>#NAME?</v>
      </c>
      <c r="U71" t="e">
        <f t="shared" ca="1" si="30"/>
        <v>#NAME?</v>
      </c>
      <c r="V71" t="e">
        <f t="shared" ca="1" si="31"/>
        <v>#NAME?</v>
      </c>
      <c r="W71" t="e">
        <f t="shared" ca="1" si="32"/>
        <v>#NAME?</v>
      </c>
      <c r="X71" t="e">
        <f t="shared" ca="1" si="33"/>
        <v>#NAME?</v>
      </c>
      <c r="Z71" s="24">
        <v>1</v>
      </c>
    </row>
    <row r="72" spans="1:26" ht="15" customHeight="1">
      <c r="A72" s="22" t="s">
        <v>143</v>
      </c>
      <c r="B72" s="25"/>
      <c r="C72" s="110" t="s">
        <v>139</v>
      </c>
      <c r="D72" s="121" t="s">
        <v>116</v>
      </c>
      <c r="E72" s="25"/>
      <c r="F72" s="25" t="s">
        <v>123</v>
      </c>
      <c r="G72" s="25" t="s">
        <v>123</v>
      </c>
      <c r="H72" s="25" t="s">
        <v>123</v>
      </c>
      <c r="J72" t="e">
        <f t="shared" ca="1" si="20"/>
        <v>#NAME?</v>
      </c>
      <c r="K72" t="e">
        <f t="shared" ca="1" si="21"/>
        <v>#NAME?</v>
      </c>
      <c r="L72" t="e">
        <f t="shared" ca="1" si="22"/>
        <v>#NAME?</v>
      </c>
      <c r="M72" t="e">
        <f t="shared" ca="1" si="23"/>
        <v>#NAME?</v>
      </c>
      <c r="N72" t="e">
        <f t="shared" ca="1" si="24"/>
        <v>#NAME?</v>
      </c>
      <c r="O72" t="e">
        <f t="shared" ca="1" si="25"/>
        <v>#NAME?</v>
      </c>
      <c r="P72" t="e">
        <f t="shared" ca="1" si="26"/>
        <v>#NAME?</v>
      </c>
      <c r="R72" t="e">
        <f t="shared" ca="1" si="27"/>
        <v>#NAME?</v>
      </c>
      <c r="S72" t="e">
        <f t="shared" ca="1" si="28"/>
        <v>#NAME?</v>
      </c>
      <c r="T72" t="e">
        <f t="shared" ca="1" si="29"/>
        <v>#NAME?</v>
      </c>
      <c r="U72" t="e">
        <f t="shared" ca="1" si="30"/>
        <v>#NAME?</v>
      </c>
      <c r="V72" t="e">
        <f t="shared" ca="1" si="31"/>
        <v>#NAME?</v>
      </c>
      <c r="W72" t="e">
        <f t="shared" ca="1" si="32"/>
        <v>#NAME?</v>
      </c>
      <c r="X72" t="e">
        <f t="shared" ca="1" si="33"/>
        <v>#NAME?</v>
      </c>
      <c r="Z72" s="24">
        <v>1</v>
      </c>
    </row>
    <row r="73" spans="1:26" ht="15" customHeight="1">
      <c r="A73" s="22" t="s">
        <v>145</v>
      </c>
      <c r="B73" s="25"/>
      <c r="C73" s="25"/>
      <c r="D73" s="25" t="s">
        <v>141</v>
      </c>
      <c r="E73" s="109" t="s">
        <v>18</v>
      </c>
      <c r="F73" s="28" t="s">
        <v>119</v>
      </c>
      <c r="G73" s="91" t="s">
        <v>118</v>
      </c>
      <c r="H73" s="110" t="s">
        <v>142</v>
      </c>
      <c r="J73" t="e">
        <f t="shared" ca="1" si="20"/>
        <v>#NAME?</v>
      </c>
      <c r="K73" t="e">
        <f t="shared" ca="1" si="21"/>
        <v>#NAME?</v>
      </c>
      <c r="L73" t="e">
        <f t="shared" ca="1" si="22"/>
        <v>#NAME?</v>
      </c>
      <c r="M73" t="e">
        <f t="shared" ca="1" si="23"/>
        <v>#NAME?</v>
      </c>
      <c r="N73" t="e">
        <f t="shared" ca="1" si="24"/>
        <v>#NAME?</v>
      </c>
      <c r="O73" t="e">
        <f t="shared" ca="1" si="25"/>
        <v>#NAME?</v>
      </c>
      <c r="P73" t="e">
        <f t="shared" ca="1" si="26"/>
        <v>#NAME?</v>
      </c>
      <c r="R73" t="e">
        <f t="shared" ca="1" si="27"/>
        <v>#NAME?</v>
      </c>
      <c r="S73" t="e">
        <f t="shared" ca="1" si="28"/>
        <v>#NAME?</v>
      </c>
      <c r="T73" t="e">
        <f t="shared" ca="1" si="29"/>
        <v>#NAME?</v>
      </c>
      <c r="U73" t="e">
        <f t="shared" ca="1" si="30"/>
        <v>#NAME?</v>
      </c>
      <c r="V73" t="e">
        <f t="shared" ca="1" si="31"/>
        <v>#NAME?</v>
      </c>
      <c r="W73" t="e">
        <f t="shared" ca="1" si="32"/>
        <v>#NAME?</v>
      </c>
      <c r="X73" t="e">
        <f t="shared" ca="1" si="33"/>
        <v>#NAME?</v>
      </c>
      <c r="Z73" s="24">
        <v>1</v>
      </c>
    </row>
    <row r="74" spans="1:26" ht="26.25">
      <c r="A74" s="106" t="s">
        <v>146</v>
      </c>
      <c r="B74" s="108" t="str">
        <f>B57</f>
        <v>Mon 11 May</v>
      </c>
      <c r="C74" s="107" t="str">
        <f>C66</f>
        <v>Tues 12 May</v>
      </c>
      <c r="D74" s="108" t="s">
        <v>282</v>
      </c>
      <c r="E74" s="107" t="str">
        <f>E66</f>
        <v>Thu 14 May</v>
      </c>
      <c r="F74" s="107" t="str">
        <f>F66</f>
        <v>Fri 15 May</v>
      </c>
      <c r="G74" s="107" t="str">
        <f>G66</f>
        <v>Sat 16 May</v>
      </c>
      <c r="H74" s="107" t="str">
        <f>H66</f>
        <v>Sun 17 May</v>
      </c>
      <c r="J74" t="e">
        <f t="shared" ca="1" si="20"/>
        <v>#NAME?</v>
      </c>
      <c r="K74" t="e">
        <f t="shared" ca="1" si="21"/>
        <v>#NAME?</v>
      </c>
      <c r="L74" t="e">
        <f t="shared" ca="1" si="22"/>
        <v>#NAME?</v>
      </c>
      <c r="M74" t="e">
        <f t="shared" ca="1" si="23"/>
        <v>#NAME?</v>
      </c>
      <c r="N74" t="e">
        <f t="shared" ca="1" si="24"/>
        <v>#NAME?</v>
      </c>
      <c r="O74" t="e">
        <f t="shared" ca="1" si="25"/>
        <v>#NAME?</v>
      </c>
      <c r="P74" t="e">
        <f t="shared" ca="1" si="26"/>
        <v>#NAME?</v>
      </c>
      <c r="R74" t="e">
        <f t="shared" ca="1" si="27"/>
        <v>#NAME?</v>
      </c>
      <c r="S74" t="e">
        <f t="shared" ca="1" si="28"/>
        <v>#NAME?</v>
      </c>
      <c r="T74" t="e">
        <f t="shared" ca="1" si="29"/>
        <v>#NAME?</v>
      </c>
      <c r="U74" t="e">
        <f t="shared" ca="1" si="30"/>
        <v>#NAME?</v>
      </c>
      <c r="V74" t="e">
        <f t="shared" ca="1" si="31"/>
        <v>#NAME?</v>
      </c>
      <c r="W74" t="e">
        <f t="shared" ca="1" si="32"/>
        <v>#NAME?</v>
      </c>
      <c r="X74" t="e">
        <f t="shared" ca="1" si="33"/>
        <v>#NAME?</v>
      </c>
      <c r="Z74" s="53">
        <f>SUM(Z67:Z73)</f>
        <v>5.5</v>
      </c>
    </row>
    <row r="75" spans="1:26" ht="15" customHeight="1">
      <c r="A75" s="22" t="s">
        <v>147</v>
      </c>
      <c r="B75" s="127" t="s">
        <v>18</v>
      </c>
      <c r="C75" s="128"/>
      <c r="D75" s="128"/>
      <c r="E75" s="128"/>
      <c r="F75" s="128"/>
      <c r="G75" s="128"/>
      <c r="H75" s="129" t="s">
        <v>134</v>
      </c>
      <c r="J75" t="e">
        <f t="shared" ca="1" si="20"/>
        <v>#NAME?</v>
      </c>
      <c r="K75" t="e">
        <f t="shared" ca="1" si="21"/>
        <v>#NAME?</v>
      </c>
      <c r="L75" t="e">
        <f t="shared" ca="1" si="22"/>
        <v>#NAME?</v>
      </c>
      <c r="M75" t="e">
        <f t="shared" ca="1" si="23"/>
        <v>#NAME?</v>
      </c>
      <c r="N75" t="e">
        <f t="shared" ca="1" si="24"/>
        <v>#NAME?</v>
      </c>
      <c r="O75" t="e">
        <f t="shared" ca="1" si="25"/>
        <v>#NAME?</v>
      </c>
      <c r="P75" t="e">
        <f t="shared" ca="1" si="26"/>
        <v>#NAME?</v>
      </c>
      <c r="R75" t="e">
        <f t="shared" ca="1" si="27"/>
        <v>#NAME?</v>
      </c>
      <c r="S75" t="e">
        <f t="shared" ca="1" si="28"/>
        <v>#NAME?</v>
      </c>
      <c r="T75" t="e">
        <f t="shared" ca="1" si="29"/>
        <v>#NAME?</v>
      </c>
      <c r="U75" t="e">
        <f t="shared" ca="1" si="30"/>
        <v>#NAME?</v>
      </c>
      <c r="V75" t="e">
        <f t="shared" ca="1" si="31"/>
        <v>#NAME?</v>
      </c>
      <c r="W75" t="e">
        <f t="shared" ca="1" si="32"/>
        <v>#NAME?</v>
      </c>
      <c r="X75" t="e">
        <f t="shared" ca="1" si="33"/>
        <v>#NAME?</v>
      </c>
      <c r="Z75" s="24">
        <v>1</v>
      </c>
    </row>
    <row r="76" spans="1:26" ht="15" customHeight="1">
      <c r="A76" s="22" t="s">
        <v>151</v>
      </c>
      <c r="B76" s="25"/>
      <c r="C76" s="25"/>
      <c r="D76" s="25" t="s">
        <v>141</v>
      </c>
      <c r="E76" s="28" t="s">
        <v>115</v>
      </c>
      <c r="F76" s="25"/>
      <c r="G76" s="28" t="s">
        <v>119</v>
      </c>
      <c r="H76" s="121" t="s">
        <v>118</v>
      </c>
      <c r="J76" t="e">
        <f t="shared" ca="1" si="20"/>
        <v>#NAME?</v>
      </c>
      <c r="K76" t="e">
        <f t="shared" ca="1" si="21"/>
        <v>#NAME?</v>
      </c>
      <c r="L76" t="e">
        <f t="shared" ca="1" si="22"/>
        <v>#NAME?</v>
      </c>
      <c r="M76" t="e">
        <f t="shared" ca="1" si="23"/>
        <v>#NAME?</v>
      </c>
      <c r="N76" t="e">
        <f t="shared" ca="1" si="24"/>
        <v>#NAME?</v>
      </c>
      <c r="O76" t="e">
        <f t="shared" ca="1" si="25"/>
        <v>#NAME?</v>
      </c>
      <c r="P76" t="e">
        <f t="shared" ca="1" si="26"/>
        <v>#NAME?</v>
      </c>
      <c r="R76" t="e">
        <f t="shared" ca="1" si="27"/>
        <v>#NAME?</v>
      </c>
      <c r="S76" t="e">
        <f t="shared" ca="1" si="28"/>
        <v>#NAME?</v>
      </c>
      <c r="T76" t="e">
        <f t="shared" ca="1" si="29"/>
        <v>#NAME?</v>
      </c>
      <c r="U76" t="e">
        <f t="shared" ca="1" si="30"/>
        <v>#NAME?</v>
      </c>
      <c r="V76" t="e">
        <f t="shared" ca="1" si="31"/>
        <v>#NAME?</v>
      </c>
      <c r="W76" t="e">
        <f t="shared" ca="1" si="32"/>
        <v>#NAME?</v>
      </c>
      <c r="X76" t="e">
        <f t="shared" ca="1" si="33"/>
        <v>#NAME?</v>
      </c>
      <c r="Z76" s="15">
        <v>1</v>
      </c>
    </row>
    <row r="77" spans="1:26" ht="15" customHeight="1">
      <c r="A77" s="22" t="s">
        <v>153</v>
      </c>
      <c r="B77" s="28" t="s">
        <v>119</v>
      </c>
      <c r="C77" s="110" t="s">
        <v>142</v>
      </c>
      <c r="D77" s="25" t="s">
        <v>141</v>
      </c>
      <c r="E77" s="25"/>
      <c r="F77" s="25"/>
      <c r="G77" s="25"/>
      <c r="H77" s="25"/>
      <c r="J77" t="e">
        <f t="shared" ca="1" si="20"/>
        <v>#NAME?</v>
      </c>
      <c r="K77" t="e">
        <f t="shared" ca="1" si="21"/>
        <v>#NAME?</v>
      </c>
      <c r="L77" t="e">
        <f t="shared" ca="1" si="22"/>
        <v>#NAME?</v>
      </c>
      <c r="M77" t="e">
        <f t="shared" ca="1" si="23"/>
        <v>#NAME?</v>
      </c>
      <c r="N77" t="e">
        <f t="shared" ca="1" si="24"/>
        <v>#NAME?</v>
      </c>
      <c r="O77" t="e">
        <f t="shared" ca="1" si="25"/>
        <v>#NAME?</v>
      </c>
      <c r="P77" t="e">
        <f t="shared" ca="1" si="26"/>
        <v>#NAME?</v>
      </c>
      <c r="R77" t="e">
        <f t="shared" ca="1" si="27"/>
        <v>#NAME?</v>
      </c>
      <c r="S77" t="e">
        <f t="shared" ca="1" si="28"/>
        <v>#NAME?</v>
      </c>
      <c r="T77" t="e">
        <f t="shared" ca="1" si="29"/>
        <v>#NAME?</v>
      </c>
      <c r="U77" t="e">
        <f t="shared" ca="1" si="30"/>
        <v>#NAME?</v>
      </c>
      <c r="V77" t="e">
        <f t="shared" ca="1" si="31"/>
        <v>#NAME?</v>
      </c>
      <c r="W77" t="e">
        <f t="shared" ca="1" si="32"/>
        <v>#NAME?</v>
      </c>
      <c r="X77" t="e">
        <f t="shared" ca="1" si="33"/>
        <v>#NAME?</v>
      </c>
      <c r="Z77" s="15">
        <v>0.5</v>
      </c>
    </row>
    <row r="78" spans="1:26">
      <c r="A78" s="22" t="s">
        <v>154</v>
      </c>
      <c r="B78" s="25"/>
      <c r="C78" s="25"/>
      <c r="D78" s="25" t="s">
        <v>141</v>
      </c>
      <c r="E78" s="121" t="s">
        <v>116</v>
      </c>
      <c r="F78" s="120" t="s">
        <v>116</v>
      </c>
      <c r="G78" s="25"/>
      <c r="H78" s="25"/>
      <c r="J78" t="e">
        <f t="shared" ca="1" si="20"/>
        <v>#NAME?</v>
      </c>
      <c r="K78" t="e">
        <f t="shared" ca="1" si="21"/>
        <v>#NAME?</v>
      </c>
      <c r="L78" t="e">
        <f t="shared" ca="1" si="22"/>
        <v>#NAME?</v>
      </c>
      <c r="M78" t="e">
        <f t="shared" ca="1" si="23"/>
        <v>#NAME?</v>
      </c>
      <c r="N78" t="e">
        <f t="shared" ca="1" si="24"/>
        <v>#NAME?</v>
      </c>
      <c r="O78" t="e">
        <f t="shared" ca="1" si="25"/>
        <v>#NAME?</v>
      </c>
      <c r="P78" t="e">
        <f t="shared" ca="1" si="26"/>
        <v>#NAME?</v>
      </c>
      <c r="R78" t="e">
        <f t="shared" ca="1" si="27"/>
        <v>#NAME?</v>
      </c>
      <c r="S78" t="e">
        <f t="shared" ca="1" si="28"/>
        <v>#NAME?</v>
      </c>
      <c r="T78" t="e">
        <f t="shared" ca="1" si="29"/>
        <v>#NAME?</v>
      </c>
      <c r="U78" t="e">
        <f t="shared" ca="1" si="30"/>
        <v>#NAME?</v>
      </c>
      <c r="V78" t="e">
        <f t="shared" ca="1" si="31"/>
        <v>#NAME?</v>
      </c>
      <c r="W78" t="e">
        <f t="shared" ca="1" si="32"/>
        <v>#NAME?</v>
      </c>
      <c r="X78" t="e">
        <f t="shared" ca="1" si="33"/>
        <v>#NAME?</v>
      </c>
      <c r="Z78" s="15">
        <v>1</v>
      </c>
    </row>
    <row r="79" spans="1:26">
      <c r="A79" s="22" t="s">
        <v>155</v>
      </c>
      <c r="B79" s="121" t="s">
        <v>118</v>
      </c>
      <c r="C79" s="25"/>
      <c r="D79" s="25" t="s">
        <v>141</v>
      </c>
      <c r="E79" s="25"/>
      <c r="F79" s="25"/>
      <c r="G79" s="120" t="s">
        <v>116</v>
      </c>
      <c r="H79" s="120" t="s">
        <v>116</v>
      </c>
      <c r="J79" t="e">
        <f t="shared" ca="1" si="20"/>
        <v>#NAME?</v>
      </c>
      <c r="K79" t="e">
        <f t="shared" ca="1" si="21"/>
        <v>#NAME?</v>
      </c>
      <c r="L79" t="e">
        <f t="shared" ca="1" si="22"/>
        <v>#NAME?</v>
      </c>
      <c r="M79" t="e">
        <f t="shared" ca="1" si="23"/>
        <v>#NAME?</v>
      </c>
      <c r="N79" t="e">
        <f t="shared" ca="1" si="24"/>
        <v>#NAME?</v>
      </c>
      <c r="O79" t="e">
        <f t="shared" ca="1" si="25"/>
        <v>#NAME?</v>
      </c>
      <c r="P79" t="e">
        <f t="shared" ca="1" si="26"/>
        <v>#NAME?</v>
      </c>
      <c r="R79" t="e">
        <f t="shared" ca="1" si="27"/>
        <v>#NAME?</v>
      </c>
      <c r="S79" t="e">
        <f t="shared" ca="1" si="28"/>
        <v>#NAME?</v>
      </c>
      <c r="T79" t="e">
        <f t="shared" ca="1" si="29"/>
        <v>#NAME?</v>
      </c>
      <c r="U79" t="e">
        <f t="shared" ca="1" si="30"/>
        <v>#NAME?</v>
      </c>
      <c r="V79" t="e">
        <f t="shared" ca="1" si="31"/>
        <v>#NAME?</v>
      </c>
      <c r="W79" t="e">
        <f t="shared" ca="1" si="32"/>
        <v>#NAME?</v>
      </c>
      <c r="X79" t="e">
        <f t="shared" ca="1" si="33"/>
        <v>#NAME?</v>
      </c>
      <c r="Z79" s="15">
        <v>0.5</v>
      </c>
    </row>
    <row r="80" spans="1:26" ht="15" customHeight="1">
      <c r="A80" s="22" t="s">
        <v>156</v>
      </c>
      <c r="B80" s="28" t="s">
        <v>115</v>
      </c>
      <c r="C80" s="121" t="s">
        <v>116</v>
      </c>
      <c r="D80" s="28" t="s">
        <v>115</v>
      </c>
      <c r="E80" s="121" t="s">
        <v>116</v>
      </c>
      <c r="F80" s="25"/>
      <c r="G80" s="25"/>
      <c r="H80" s="25"/>
      <c r="J80" t="e">
        <f t="shared" ca="1" si="20"/>
        <v>#NAME?</v>
      </c>
      <c r="K80" t="e">
        <f t="shared" ca="1" si="21"/>
        <v>#NAME?</v>
      </c>
      <c r="L80" t="e">
        <f t="shared" ca="1" si="22"/>
        <v>#NAME?</v>
      </c>
      <c r="M80" t="e">
        <f t="shared" ca="1" si="23"/>
        <v>#NAME?</v>
      </c>
      <c r="N80" t="e">
        <f t="shared" ca="1" si="24"/>
        <v>#NAME?</v>
      </c>
      <c r="O80" t="e">
        <f t="shared" ca="1" si="25"/>
        <v>#NAME?</v>
      </c>
      <c r="P80" t="e">
        <f t="shared" ca="1" si="26"/>
        <v>#NAME?</v>
      </c>
      <c r="R80" t="e">
        <f t="shared" ca="1" si="27"/>
        <v>#NAME?</v>
      </c>
      <c r="S80" t="e">
        <f t="shared" ca="1" si="28"/>
        <v>#NAME?</v>
      </c>
      <c r="T80" t="e">
        <f t="shared" ca="1" si="29"/>
        <v>#NAME?</v>
      </c>
      <c r="U80" t="e">
        <f t="shared" ca="1" si="30"/>
        <v>#NAME?</v>
      </c>
      <c r="V80" t="e">
        <f t="shared" ca="1" si="31"/>
        <v>#NAME?</v>
      </c>
      <c r="W80" t="e">
        <f t="shared" ca="1" si="32"/>
        <v>#NAME?</v>
      </c>
      <c r="X80" t="e">
        <f t="shared" ca="1" si="33"/>
        <v>#NAME?</v>
      </c>
      <c r="Z80" s="15">
        <v>1</v>
      </c>
    </row>
    <row r="81" spans="1:26" ht="15" customHeight="1">
      <c r="A81" s="22" t="s">
        <v>158</v>
      </c>
      <c r="B81" s="25"/>
      <c r="C81" s="25"/>
      <c r="D81" s="121" t="s">
        <v>116</v>
      </c>
      <c r="E81" s="25"/>
      <c r="F81" s="110" t="s">
        <v>139</v>
      </c>
      <c r="G81" s="121" t="s">
        <v>116</v>
      </c>
      <c r="H81" s="121" t="s">
        <v>116</v>
      </c>
      <c r="J81" t="e">
        <f t="shared" ca="1" si="20"/>
        <v>#NAME?</v>
      </c>
      <c r="K81" t="e">
        <f t="shared" ca="1" si="21"/>
        <v>#NAME?</v>
      </c>
      <c r="L81" t="e">
        <f t="shared" ca="1" si="22"/>
        <v>#NAME?</v>
      </c>
      <c r="M81" t="e">
        <f t="shared" ca="1" si="23"/>
        <v>#NAME?</v>
      </c>
      <c r="N81" t="e">
        <f t="shared" ca="1" si="24"/>
        <v>#NAME?</v>
      </c>
      <c r="O81" t="e">
        <f t="shared" ca="1" si="25"/>
        <v>#NAME?</v>
      </c>
      <c r="P81" t="e">
        <f t="shared" ca="1" si="26"/>
        <v>#NAME?</v>
      </c>
      <c r="R81" t="e">
        <f t="shared" ca="1" si="27"/>
        <v>#NAME?</v>
      </c>
      <c r="S81" t="e">
        <f t="shared" ca="1" si="28"/>
        <v>#NAME?</v>
      </c>
      <c r="T81" t="e">
        <f t="shared" ca="1" si="29"/>
        <v>#NAME?</v>
      </c>
      <c r="U81" t="e">
        <f t="shared" ca="1" si="30"/>
        <v>#NAME?</v>
      </c>
      <c r="V81" t="e">
        <f t="shared" ca="1" si="31"/>
        <v>#NAME?</v>
      </c>
      <c r="W81" t="e">
        <f t="shared" ca="1" si="32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159</v>
      </c>
      <c r="B82" s="25"/>
      <c r="C82" s="25"/>
      <c r="D82" s="110" t="s">
        <v>139</v>
      </c>
      <c r="E82" s="25"/>
      <c r="F82" s="28" t="s">
        <v>115</v>
      </c>
      <c r="G82" s="120" t="s">
        <v>116</v>
      </c>
      <c r="H82" s="110" t="s">
        <v>139</v>
      </c>
      <c r="J82" t="e">
        <f t="shared" ca="1" si="20"/>
        <v>#NAME?</v>
      </c>
      <c r="K82" t="e">
        <f t="shared" ca="1" si="21"/>
        <v>#NAME?</v>
      </c>
      <c r="L82" t="e">
        <f t="shared" ca="1" si="22"/>
        <v>#NAME?</v>
      </c>
      <c r="M82" t="e">
        <f t="shared" ca="1" si="23"/>
        <v>#NAME?</v>
      </c>
      <c r="N82" t="e">
        <f t="shared" ca="1" si="24"/>
        <v>#NAME?</v>
      </c>
      <c r="O82" t="e">
        <f t="shared" ca="1" si="25"/>
        <v>#NAME?</v>
      </c>
      <c r="P82" t="e">
        <f t="shared" ca="1" si="26"/>
        <v>#NAME?</v>
      </c>
      <c r="R82" t="e">
        <f t="shared" ca="1" si="27"/>
        <v>#NAME?</v>
      </c>
      <c r="S82" t="e">
        <f t="shared" ca="1" si="28"/>
        <v>#NAME?</v>
      </c>
      <c r="T82" t="e">
        <f t="shared" ca="1" si="29"/>
        <v>#NAME?</v>
      </c>
      <c r="U82" t="e">
        <f t="shared" ca="1" si="30"/>
        <v>#NAME?</v>
      </c>
      <c r="V82" t="e">
        <f t="shared" ca="1" si="31"/>
        <v>#NAME?</v>
      </c>
      <c r="W82" t="e">
        <f t="shared" ca="1" si="32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160</v>
      </c>
      <c r="B83" s="25"/>
      <c r="C83" s="120" t="s">
        <v>116</v>
      </c>
      <c r="D83" s="25" t="s">
        <v>141</v>
      </c>
      <c r="E83" s="121" t="s">
        <v>118</v>
      </c>
      <c r="F83" s="120" t="s">
        <v>118</v>
      </c>
      <c r="G83" s="25"/>
      <c r="H83" s="25"/>
      <c r="J83" t="e">
        <f t="shared" ca="1" si="20"/>
        <v>#NAME?</v>
      </c>
      <c r="K83" t="e">
        <f t="shared" ca="1" si="21"/>
        <v>#NAME?</v>
      </c>
      <c r="L83" t="e">
        <f t="shared" ca="1" si="22"/>
        <v>#NAME?</v>
      </c>
      <c r="M83" t="e">
        <f t="shared" ca="1" si="23"/>
        <v>#NAME?</v>
      </c>
      <c r="N83" t="e">
        <f t="shared" ca="1" si="24"/>
        <v>#NAME?</v>
      </c>
      <c r="O83" t="e">
        <f t="shared" ca="1" si="25"/>
        <v>#NAME?</v>
      </c>
      <c r="P83" t="e">
        <f t="shared" ca="1" si="26"/>
        <v>#NAME?</v>
      </c>
      <c r="R83" t="e">
        <f t="shared" ca="1" si="27"/>
        <v>#NAME?</v>
      </c>
      <c r="S83" t="e">
        <f t="shared" ca="1" si="28"/>
        <v>#NAME?</v>
      </c>
      <c r="T83" t="e">
        <f t="shared" ca="1" si="29"/>
        <v>#NAME?</v>
      </c>
      <c r="U83" t="e">
        <f t="shared" ca="1" si="30"/>
        <v>#NAME?</v>
      </c>
      <c r="V83" t="e">
        <f t="shared" ca="1" si="31"/>
        <v>#NAME?</v>
      </c>
      <c r="W83" t="e">
        <f t="shared" ca="1" si="32"/>
        <v>#NAME?</v>
      </c>
      <c r="X83" t="e">
        <f t="shared" ca="1" si="33"/>
        <v>#NAME?</v>
      </c>
      <c r="Z83" s="15">
        <v>1</v>
      </c>
    </row>
    <row r="84" spans="1:26">
      <c r="A84" s="22" t="s">
        <v>161</v>
      </c>
      <c r="B84" s="25"/>
      <c r="C84" s="121" t="s">
        <v>118</v>
      </c>
      <c r="D84" s="25" t="s">
        <v>141</v>
      </c>
      <c r="E84" s="25"/>
      <c r="F84" s="25"/>
      <c r="G84" s="25"/>
      <c r="H84" s="25" t="s">
        <v>152</v>
      </c>
      <c r="J84" t="e">
        <f t="shared" ca="1" si="20"/>
        <v>#NAME?</v>
      </c>
      <c r="K84" t="e">
        <f t="shared" ca="1" si="21"/>
        <v>#NAME?</v>
      </c>
      <c r="L84" t="e">
        <f t="shared" ca="1" si="22"/>
        <v>#NAME?</v>
      </c>
      <c r="M84" t="e">
        <f t="shared" ca="1" si="23"/>
        <v>#NAME?</v>
      </c>
      <c r="N84" t="e">
        <f t="shared" ca="1" si="24"/>
        <v>#NAME?</v>
      </c>
      <c r="O84" t="e">
        <f t="shared" ca="1" si="25"/>
        <v>#NAME?</v>
      </c>
      <c r="P84" t="e">
        <f t="shared" ca="1" si="26"/>
        <v>#NAME?</v>
      </c>
      <c r="R84" t="e">
        <f t="shared" ca="1" si="27"/>
        <v>#NAME?</v>
      </c>
      <c r="S84" t="e">
        <f t="shared" ca="1" si="28"/>
        <v>#NAME?</v>
      </c>
      <c r="T84" t="e">
        <f t="shared" ca="1" si="29"/>
        <v>#NAME?</v>
      </c>
      <c r="U84" t="e">
        <f t="shared" ca="1" si="30"/>
        <v>#NAME?</v>
      </c>
      <c r="V84" t="e">
        <f t="shared" ca="1" si="31"/>
        <v>#NAME?</v>
      </c>
      <c r="W84" t="e">
        <f t="shared" ca="1" si="32"/>
        <v>#NAME?</v>
      </c>
      <c r="X84" t="e">
        <f t="shared" ca="1" si="33"/>
        <v>#NAME?</v>
      </c>
      <c r="Z84" s="15">
        <v>0.25</v>
      </c>
    </row>
    <row r="85" spans="1:26">
      <c r="A85" s="22" t="s">
        <v>162</v>
      </c>
      <c r="B85" s="110" t="s">
        <v>142</v>
      </c>
      <c r="C85" s="28" t="s">
        <v>115</v>
      </c>
      <c r="D85" s="25" t="s">
        <v>141</v>
      </c>
      <c r="E85" s="25" t="s">
        <v>152</v>
      </c>
      <c r="F85" s="25" t="s">
        <v>152</v>
      </c>
      <c r="G85" s="25"/>
      <c r="H85" s="25"/>
      <c r="J85" t="e">
        <f t="shared" ca="1" si="20"/>
        <v>#NAME?</v>
      </c>
      <c r="K85" t="e">
        <f t="shared" ca="1" si="21"/>
        <v>#NAME?</v>
      </c>
      <c r="L85" t="e">
        <f t="shared" ca="1" si="22"/>
        <v>#NAME?</v>
      </c>
      <c r="M85" t="e">
        <f t="shared" ca="1" si="23"/>
        <v>#NAME?</v>
      </c>
      <c r="N85" t="e">
        <f t="shared" ca="1" si="24"/>
        <v>#NAME?</v>
      </c>
      <c r="O85" t="e">
        <f t="shared" ca="1" si="25"/>
        <v>#NAME?</v>
      </c>
      <c r="P85" t="e">
        <f t="shared" ca="1" si="26"/>
        <v>#NAME?</v>
      </c>
      <c r="R85" t="e">
        <f t="shared" ca="1" si="27"/>
        <v>#NAME?</v>
      </c>
      <c r="S85" t="e">
        <f t="shared" ca="1" si="28"/>
        <v>#NAME?</v>
      </c>
      <c r="T85" t="e">
        <f t="shared" ca="1" si="29"/>
        <v>#NAME?</v>
      </c>
      <c r="U85" t="e">
        <f t="shared" ca="1" si="30"/>
        <v>#NAME?</v>
      </c>
      <c r="V85" t="e">
        <f t="shared" ca="1" si="31"/>
        <v>#NAME?</v>
      </c>
      <c r="W85" t="e">
        <f t="shared" ca="1" si="32"/>
        <v>#NAME?</v>
      </c>
      <c r="X85" t="e">
        <f t="shared" ca="1" si="33"/>
        <v>#NAME?</v>
      </c>
      <c r="Z85" s="15">
        <v>1</v>
      </c>
    </row>
    <row r="86" spans="1:26" ht="15" customHeight="1">
      <c r="A86" s="22" t="s">
        <v>163</v>
      </c>
      <c r="B86" s="25" t="s">
        <v>152</v>
      </c>
      <c r="C86" s="25" t="s">
        <v>152</v>
      </c>
      <c r="D86" s="25" t="s">
        <v>152</v>
      </c>
      <c r="E86" s="25" t="s">
        <v>152</v>
      </c>
      <c r="F86" s="25"/>
      <c r="G86" s="25"/>
      <c r="H86" s="25"/>
      <c r="J86" t="e">
        <f t="shared" ca="1" si="20"/>
        <v>#NAME?</v>
      </c>
      <c r="K86" t="e">
        <f t="shared" ca="1" si="21"/>
        <v>#NAME?</v>
      </c>
      <c r="L86" t="e">
        <f t="shared" ca="1" si="22"/>
        <v>#NAME?</v>
      </c>
      <c r="M86" t="e">
        <f t="shared" ca="1" si="23"/>
        <v>#NAME?</v>
      </c>
      <c r="N86" t="e">
        <f t="shared" ca="1" si="24"/>
        <v>#NAME?</v>
      </c>
      <c r="O86" t="e">
        <f t="shared" ca="1" si="25"/>
        <v>#NAME?</v>
      </c>
      <c r="P86" t="e">
        <f t="shared" ca="1" si="26"/>
        <v>#NAME?</v>
      </c>
      <c r="R86" t="e">
        <f t="shared" ca="1" si="27"/>
        <v>#NAME?</v>
      </c>
      <c r="S86" t="e">
        <f t="shared" ca="1" si="28"/>
        <v>#NAME?</v>
      </c>
      <c r="T86" t="e">
        <f t="shared" ca="1" si="29"/>
        <v>#NAME?</v>
      </c>
      <c r="U86" t="e">
        <f t="shared" ca="1" si="30"/>
        <v>#NAME?</v>
      </c>
      <c r="V86" t="e">
        <f t="shared" ca="1" si="31"/>
        <v>#NAME?</v>
      </c>
      <c r="W86" t="e">
        <f t="shared" ca="1" si="32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164</v>
      </c>
      <c r="B87" s="127" t="s">
        <v>18</v>
      </c>
      <c r="C87" s="128"/>
      <c r="D87" s="128"/>
      <c r="E87" s="128"/>
      <c r="F87" s="128"/>
      <c r="G87" s="128"/>
      <c r="H87" s="129" t="s">
        <v>134</v>
      </c>
      <c r="J87" t="e">
        <f t="shared" ca="1" si="20"/>
        <v>#NAME?</v>
      </c>
      <c r="K87" t="e">
        <f t="shared" ca="1" si="21"/>
        <v>#NAME?</v>
      </c>
      <c r="L87" t="e">
        <f t="shared" ca="1" si="22"/>
        <v>#NAME?</v>
      </c>
      <c r="M87" t="e">
        <f t="shared" ca="1" si="23"/>
        <v>#NAME?</v>
      </c>
      <c r="N87" t="e">
        <f t="shared" ca="1" si="24"/>
        <v>#NAME?</v>
      </c>
      <c r="O87" t="e">
        <f t="shared" ca="1" si="25"/>
        <v>#NAME?</v>
      </c>
      <c r="P87" t="e">
        <f t="shared" ca="1" si="26"/>
        <v>#NAME?</v>
      </c>
      <c r="R87" t="e">
        <f t="shared" ca="1" si="27"/>
        <v>#NAME?</v>
      </c>
      <c r="S87" t="e">
        <f t="shared" ca="1" si="28"/>
        <v>#NAME?</v>
      </c>
      <c r="T87" t="e">
        <f t="shared" ca="1" si="29"/>
        <v>#NAME?</v>
      </c>
      <c r="U87" t="e">
        <f t="shared" ca="1" si="30"/>
        <v>#NAME?</v>
      </c>
      <c r="V87" t="e">
        <f t="shared" ca="1" si="31"/>
        <v>#NAME?</v>
      </c>
      <c r="W87" t="e">
        <f t="shared" ca="1" si="32"/>
        <v>#NAME?</v>
      </c>
      <c r="X87" t="e">
        <f t="shared" ca="1" si="33"/>
        <v>#NAME?</v>
      </c>
      <c r="Z87" s="15">
        <v>0.75</v>
      </c>
    </row>
    <row r="88" spans="1:26" ht="15" customHeight="1">
      <c r="A88" s="22" t="s">
        <v>167</v>
      </c>
      <c r="B88" s="25"/>
      <c r="C88" s="25"/>
      <c r="D88" s="25" t="s">
        <v>141</v>
      </c>
      <c r="E88" s="25"/>
      <c r="F88" s="121" t="s">
        <v>118</v>
      </c>
      <c r="G88" s="110" t="s">
        <v>142</v>
      </c>
      <c r="H88" s="28" t="s">
        <v>115</v>
      </c>
      <c r="J88" t="e">
        <f t="shared" ca="1" si="20"/>
        <v>#NAME?</v>
      </c>
      <c r="K88" t="e">
        <f t="shared" ca="1" si="21"/>
        <v>#NAME?</v>
      </c>
      <c r="L88" t="e">
        <f t="shared" ca="1" si="22"/>
        <v>#NAME?</v>
      </c>
      <c r="M88" t="e">
        <f t="shared" ca="1" si="23"/>
        <v>#NAME?</v>
      </c>
      <c r="N88" t="e">
        <f t="shared" ca="1" si="24"/>
        <v>#NAME?</v>
      </c>
      <c r="O88" t="e">
        <f t="shared" ca="1" si="25"/>
        <v>#NAME?</v>
      </c>
      <c r="P88" t="e">
        <f t="shared" ca="1" si="26"/>
        <v>#NAME?</v>
      </c>
      <c r="R88" t="e">
        <f t="shared" ca="1" si="27"/>
        <v>#NAME?</v>
      </c>
      <c r="S88" t="e">
        <f t="shared" ca="1" si="28"/>
        <v>#NAME?</v>
      </c>
      <c r="T88" t="e">
        <f t="shared" ca="1" si="29"/>
        <v>#NAME?</v>
      </c>
      <c r="U88" t="e">
        <f t="shared" ca="1" si="30"/>
        <v>#NAME?</v>
      </c>
      <c r="V88" t="e">
        <f t="shared" ca="1" si="31"/>
        <v>#NAME?</v>
      </c>
      <c r="W88" t="e">
        <f t="shared" ca="1" si="32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168</v>
      </c>
      <c r="B89" s="25"/>
      <c r="C89" s="121" t="s">
        <v>116</v>
      </c>
      <c r="D89" s="120" t="s">
        <v>116</v>
      </c>
      <c r="E89" s="25"/>
      <c r="F89" s="28" t="s">
        <v>119</v>
      </c>
      <c r="G89" s="121" t="s">
        <v>116</v>
      </c>
      <c r="H89" s="25"/>
      <c r="J89" t="e">
        <f t="shared" ca="1" si="20"/>
        <v>#NAME?</v>
      </c>
      <c r="K89" t="e">
        <f t="shared" ca="1" si="21"/>
        <v>#NAME?</v>
      </c>
      <c r="L89" t="e">
        <f t="shared" ca="1" si="22"/>
        <v>#NAME?</v>
      </c>
      <c r="M89" t="e">
        <f t="shared" ca="1" si="23"/>
        <v>#NAME?</v>
      </c>
      <c r="N89" t="e">
        <f t="shared" ca="1" si="24"/>
        <v>#NAME?</v>
      </c>
      <c r="O89" t="e">
        <f t="shared" ca="1" si="25"/>
        <v>#NAME?</v>
      </c>
      <c r="P89" t="e">
        <f t="shared" ca="1" si="26"/>
        <v>#NAME?</v>
      </c>
      <c r="R89" t="e">
        <f t="shared" ca="1" si="27"/>
        <v>#NAME?</v>
      </c>
      <c r="S89" t="e">
        <f t="shared" ca="1" si="28"/>
        <v>#NAME?</v>
      </c>
      <c r="T89" t="e">
        <f t="shared" ca="1" si="29"/>
        <v>#NAME?</v>
      </c>
      <c r="U89" t="e">
        <f t="shared" ca="1" si="30"/>
        <v>#NAME?</v>
      </c>
      <c r="V89" t="e">
        <f t="shared" ca="1" si="31"/>
        <v>#NAME?</v>
      </c>
      <c r="W89" t="e">
        <f t="shared" ca="1" si="32"/>
        <v>#NAME?</v>
      </c>
      <c r="X89" t="e">
        <f t="shared" ca="1" si="33"/>
        <v>#NAME?</v>
      </c>
      <c r="Z89" s="15">
        <v>1</v>
      </c>
    </row>
    <row r="90" spans="1:26" ht="15" customHeight="1">
      <c r="A90" s="22" t="s">
        <v>169</v>
      </c>
      <c r="B90" s="25" t="s">
        <v>152</v>
      </c>
      <c r="C90" s="25" t="s">
        <v>152</v>
      </c>
      <c r="D90" s="25" t="s">
        <v>152</v>
      </c>
      <c r="E90" s="25"/>
      <c r="F90" s="25"/>
      <c r="G90" s="25"/>
      <c r="H90" s="25"/>
      <c r="J90" t="e">
        <f t="shared" ca="1" si="20"/>
        <v>#NAME?</v>
      </c>
      <c r="K90" t="e">
        <f t="shared" ca="1" si="21"/>
        <v>#NAME?</v>
      </c>
      <c r="L90" t="e">
        <f t="shared" ca="1" si="22"/>
        <v>#NAME?</v>
      </c>
      <c r="M90" t="e">
        <f t="shared" ca="1" si="23"/>
        <v>#NAME?</v>
      </c>
      <c r="N90" t="e">
        <f t="shared" ca="1" si="24"/>
        <v>#NAME?</v>
      </c>
      <c r="O90" t="e">
        <f t="shared" ca="1" si="25"/>
        <v>#NAME?</v>
      </c>
      <c r="P90" t="e">
        <f t="shared" ca="1" si="26"/>
        <v>#NAME?</v>
      </c>
      <c r="R90" t="e">
        <f t="shared" ca="1" si="27"/>
        <v>#NAME?</v>
      </c>
      <c r="S90" t="e">
        <f t="shared" ca="1" si="28"/>
        <v>#NAME?</v>
      </c>
      <c r="T90" t="e">
        <f t="shared" ca="1" si="29"/>
        <v>#NAME?</v>
      </c>
      <c r="U90" t="e">
        <f t="shared" ca="1" si="30"/>
        <v>#NAME?</v>
      </c>
      <c r="V90" t="e">
        <f t="shared" ca="1" si="31"/>
        <v>#NAME?</v>
      </c>
      <c r="W90" t="e">
        <f t="shared" ca="1" si="32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171</v>
      </c>
      <c r="B91" s="121" t="s">
        <v>116</v>
      </c>
      <c r="C91" s="25"/>
      <c r="D91" s="25" t="s">
        <v>141</v>
      </c>
      <c r="E91" s="25"/>
      <c r="F91" s="25" t="s">
        <v>152</v>
      </c>
      <c r="G91" s="25" t="s">
        <v>152</v>
      </c>
      <c r="H91" s="25" t="s">
        <v>152</v>
      </c>
      <c r="J91" t="e">
        <f t="shared" ca="1" si="20"/>
        <v>#NAME?</v>
      </c>
      <c r="K91" t="e">
        <f t="shared" ca="1" si="21"/>
        <v>#NAME?</v>
      </c>
      <c r="L91" t="e">
        <f t="shared" ca="1" si="22"/>
        <v>#NAME?</v>
      </c>
      <c r="M91" t="e">
        <f t="shared" ca="1" si="23"/>
        <v>#NAME?</v>
      </c>
      <c r="N91" t="e">
        <f t="shared" ca="1" si="24"/>
        <v>#NAME?</v>
      </c>
      <c r="O91" t="e">
        <f t="shared" ca="1" si="25"/>
        <v>#NAME?</v>
      </c>
      <c r="P91" t="e">
        <f t="shared" ca="1" si="26"/>
        <v>#NAME?</v>
      </c>
      <c r="R91" t="e">
        <f t="shared" ca="1" si="27"/>
        <v>#NAME?</v>
      </c>
      <c r="S91" t="e">
        <f t="shared" ca="1" si="28"/>
        <v>#NAME?</v>
      </c>
      <c r="T91" t="e">
        <f t="shared" ca="1" si="29"/>
        <v>#NAME?</v>
      </c>
      <c r="U91" t="e">
        <f t="shared" ca="1" si="30"/>
        <v>#NAME?</v>
      </c>
      <c r="V91" t="e">
        <f t="shared" ca="1" si="31"/>
        <v>#NAME?</v>
      </c>
      <c r="W91" t="e">
        <f t="shared" ca="1" si="32"/>
        <v>#NAME?</v>
      </c>
      <c r="X91" t="e">
        <f t="shared" ca="1" si="33"/>
        <v>#NAME?</v>
      </c>
      <c r="Z91" s="15">
        <v>0.75</v>
      </c>
    </row>
    <row r="92" spans="1:26">
      <c r="A92" s="22" t="s">
        <v>174</v>
      </c>
      <c r="B92" s="110" t="s">
        <v>139</v>
      </c>
      <c r="C92" s="25"/>
      <c r="D92" s="25" t="s">
        <v>141</v>
      </c>
      <c r="E92" s="25"/>
      <c r="F92" s="25"/>
      <c r="G92" s="25" t="s">
        <v>152</v>
      </c>
      <c r="H92" s="25" t="s">
        <v>152</v>
      </c>
      <c r="J92" t="e">
        <f t="shared" ca="1" si="20"/>
        <v>#NAME?</v>
      </c>
      <c r="K92" t="e">
        <f t="shared" ca="1" si="21"/>
        <v>#NAME?</v>
      </c>
      <c r="L92" t="e">
        <f t="shared" ca="1" si="22"/>
        <v>#NAME?</v>
      </c>
      <c r="M92" t="e">
        <f t="shared" ca="1" si="23"/>
        <v>#NAME?</v>
      </c>
      <c r="N92" t="e">
        <f t="shared" ca="1" si="24"/>
        <v>#NAME?</v>
      </c>
      <c r="O92" t="e">
        <f t="shared" ca="1" si="25"/>
        <v>#NAME?</v>
      </c>
      <c r="P92" t="e">
        <f t="shared" ca="1" si="26"/>
        <v>#NAME?</v>
      </c>
      <c r="R92" t="e">
        <f t="shared" ca="1" si="27"/>
        <v>#NAME?</v>
      </c>
      <c r="S92" t="e">
        <f t="shared" ca="1" si="28"/>
        <v>#NAME?</v>
      </c>
      <c r="T92" t="e">
        <f t="shared" ca="1" si="29"/>
        <v>#NAME?</v>
      </c>
      <c r="U92" t="e">
        <f t="shared" ca="1" si="30"/>
        <v>#NAME?</v>
      </c>
      <c r="V92" t="e">
        <f t="shared" ca="1" si="31"/>
        <v>#NAME?</v>
      </c>
      <c r="W92" t="e">
        <f t="shared" ca="1" si="32"/>
        <v>#NAME?</v>
      </c>
      <c r="X92" t="e">
        <f t="shared" ca="1" si="33"/>
        <v>#NAME?</v>
      </c>
      <c r="Z92" s="15">
        <v>0.75</v>
      </c>
    </row>
    <row r="93" spans="1:26">
      <c r="A93" s="22" t="s">
        <v>175</v>
      </c>
      <c r="B93" s="127" t="s">
        <v>18</v>
      </c>
      <c r="C93" s="128"/>
      <c r="D93" s="128"/>
      <c r="E93" s="128"/>
      <c r="F93" s="128"/>
      <c r="G93" s="128"/>
      <c r="H93" s="129" t="s">
        <v>134</v>
      </c>
      <c r="J93" t="e">
        <f t="shared" ca="1" si="20"/>
        <v>#NAME?</v>
      </c>
      <c r="K93" t="e">
        <f t="shared" ca="1" si="21"/>
        <v>#NAME?</v>
      </c>
      <c r="L93" t="e">
        <f t="shared" ca="1" si="22"/>
        <v>#NAME?</v>
      </c>
      <c r="M93" t="e">
        <f t="shared" ca="1" si="23"/>
        <v>#NAME?</v>
      </c>
      <c r="N93" t="e">
        <f t="shared" ca="1" si="24"/>
        <v>#NAME?</v>
      </c>
      <c r="O93" t="e">
        <f t="shared" ca="1" si="25"/>
        <v>#NAME?</v>
      </c>
      <c r="P93" t="e">
        <f t="shared" ca="1" si="26"/>
        <v>#NAME?</v>
      </c>
      <c r="R93" t="e">
        <f t="shared" ca="1" si="27"/>
        <v>#NAME?</v>
      </c>
      <c r="S93" t="e">
        <f t="shared" ca="1" si="28"/>
        <v>#NAME?</v>
      </c>
      <c r="T93" t="e">
        <f t="shared" ca="1" si="29"/>
        <v>#NAME?</v>
      </c>
      <c r="U93" t="e">
        <f t="shared" ca="1" si="30"/>
        <v>#NAME?</v>
      </c>
      <c r="V93" t="e">
        <f t="shared" ca="1" si="31"/>
        <v>#NAME?</v>
      </c>
      <c r="W93" t="e">
        <f t="shared" ca="1" si="32"/>
        <v>#NAME?</v>
      </c>
      <c r="X93" t="e">
        <f t="shared" ca="1" si="33"/>
        <v>#NAME?</v>
      </c>
      <c r="Z93" s="15">
        <v>1</v>
      </c>
    </row>
    <row r="94" spans="1:26" ht="15" customHeight="1">
      <c r="A94" s="22" t="s">
        <v>176</v>
      </c>
      <c r="B94" s="25"/>
      <c r="C94" s="25"/>
      <c r="D94" s="25"/>
      <c r="E94" s="25"/>
      <c r="F94" s="25"/>
      <c r="G94" s="25" t="s">
        <v>152</v>
      </c>
      <c r="H94" s="25"/>
      <c r="J94" t="e">
        <f t="shared" ca="1" si="20"/>
        <v>#NAME?</v>
      </c>
      <c r="K94" t="e">
        <f t="shared" ca="1" si="21"/>
        <v>#NAME?</v>
      </c>
      <c r="L94" t="e">
        <f t="shared" ca="1" si="22"/>
        <v>#NAME?</v>
      </c>
      <c r="M94" t="e">
        <f t="shared" ca="1" si="23"/>
        <v>#NAME?</v>
      </c>
      <c r="N94" t="e">
        <f t="shared" ca="1" si="24"/>
        <v>#NAME?</v>
      </c>
      <c r="O94" t="e">
        <f t="shared" ca="1" si="25"/>
        <v>#NAME?</v>
      </c>
      <c r="P94" t="e">
        <f t="shared" ca="1" si="26"/>
        <v>#NAME?</v>
      </c>
      <c r="R94" t="e">
        <f t="shared" ca="1" si="27"/>
        <v>#NAME?</v>
      </c>
      <c r="S94" t="e">
        <f t="shared" ca="1" si="28"/>
        <v>#NAME?</v>
      </c>
      <c r="T94" t="e">
        <f t="shared" ca="1" si="29"/>
        <v>#NAME?</v>
      </c>
      <c r="U94" t="e">
        <f t="shared" ca="1" si="30"/>
        <v>#NAME?</v>
      </c>
      <c r="V94" t="e">
        <f t="shared" ca="1" si="31"/>
        <v>#NAME?</v>
      </c>
      <c r="W94" t="e">
        <f t="shared" ca="1" si="32"/>
        <v>#NAME?</v>
      </c>
      <c r="X94" t="e">
        <f t="shared" ca="1" si="33"/>
        <v>#NAME?</v>
      </c>
      <c r="Z94" s="15">
        <v>0.25</v>
      </c>
    </row>
    <row r="95" spans="1:26" ht="15" customHeight="1">
      <c r="A95" s="22" t="s">
        <v>177</v>
      </c>
      <c r="B95" s="25" t="s">
        <v>152</v>
      </c>
      <c r="C95" s="25" t="s">
        <v>152</v>
      </c>
      <c r="D95" s="25" t="s">
        <v>152</v>
      </c>
      <c r="E95" s="25" t="s">
        <v>152</v>
      </c>
      <c r="F95" s="25"/>
      <c r="G95" s="25"/>
      <c r="H95" s="25"/>
      <c r="J95" t="e">
        <f t="shared" ca="1" si="20"/>
        <v>#NAME?</v>
      </c>
      <c r="K95" t="e">
        <f t="shared" ca="1" si="21"/>
        <v>#NAME?</v>
      </c>
      <c r="L95" t="e">
        <f t="shared" ca="1" si="22"/>
        <v>#NAME?</v>
      </c>
      <c r="M95" t="e">
        <f t="shared" ca="1" si="23"/>
        <v>#NAME?</v>
      </c>
      <c r="N95" t="e">
        <f t="shared" ca="1" si="24"/>
        <v>#NAME?</v>
      </c>
      <c r="O95" t="e">
        <f t="shared" ca="1" si="25"/>
        <v>#NAME?</v>
      </c>
      <c r="P95" t="e">
        <f t="shared" ca="1" si="26"/>
        <v>#NAME?</v>
      </c>
      <c r="R95" t="e">
        <f t="shared" ca="1" si="27"/>
        <v>#NAME?</v>
      </c>
      <c r="S95" t="e">
        <f t="shared" ca="1" si="28"/>
        <v>#NAME?</v>
      </c>
      <c r="T95" t="e">
        <f t="shared" ca="1" si="29"/>
        <v>#NAME?</v>
      </c>
      <c r="U95" t="e">
        <f t="shared" ca="1" si="30"/>
        <v>#NAME?</v>
      </c>
      <c r="V95" t="e">
        <f t="shared" ca="1" si="31"/>
        <v>#NAME?</v>
      </c>
      <c r="W95" t="e">
        <f t="shared" ca="1" si="32"/>
        <v>#NAME?</v>
      </c>
      <c r="X95" t="e">
        <f t="shared" ca="1" si="33"/>
        <v>#NAME?</v>
      </c>
      <c r="Z95" s="15">
        <v>0.75</v>
      </c>
    </row>
    <row r="96" spans="1:26" ht="15" customHeight="1">
      <c r="A96" s="22" t="s">
        <v>178</v>
      </c>
      <c r="B96" s="121" t="s">
        <v>116</v>
      </c>
      <c r="C96" s="120" t="s">
        <v>116</v>
      </c>
      <c r="D96" s="25" t="s">
        <v>141</v>
      </c>
      <c r="E96" s="110" t="s">
        <v>142</v>
      </c>
      <c r="F96" s="121" t="s">
        <v>116</v>
      </c>
      <c r="G96" s="110" t="s">
        <v>139</v>
      </c>
      <c r="H96" s="25"/>
      <c r="J96" t="e">
        <f t="shared" ca="1" si="20"/>
        <v>#NAME?</v>
      </c>
      <c r="K96" t="e">
        <f t="shared" ca="1" si="21"/>
        <v>#NAME?</v>
      </c>
      <c r="L96" t="e">
        <f t="shared" ca="1" si="22"/>
        <v>#NAME?</v>
      </c>
      <c r="M96" t="e">
        <f t="shared" ca="1" si="23"/>
        <v>#NAME?</v>
      </c>
      <c r="N96" t="e">
        <f t="shared" ca="1" si="24"/>
        <v>#NAME?</v>
      </c>
      <c r="O96" t="e">
        <f t="shared" ca="1" si="25"/>
        <v>#NAME?</v>
      </c>
      <c r="P96" t="e">
        <f t="shared" ca="1" si="26"/>
        <v>#NAME?</v>
      </c>
      <c r="R96" t="e">
        <f t="shared" ca="1" si="27"/>
        <v>#NAME?</v>
      </c>
      <c r="S96" t="e">
        <f t="shared" ca="1" si="28"/>
        <v>#NAME?</v>
      </c>
      <c r="T96" t="e">
        <f t="shared" ca="1" si="29"/>
        <v>#NAME?</v>
      </c>
      <c r="U96" t="e">
        <f t="shared" ca="1" si="30"/>
        <v>#NAME?</v>
      </c>
      <c r="V96" t="e">
        <f t="shared" ca="1" si="31"/>
        <v>#NAME?</v>
      </c>
      <c r="W96" t="e">
        <f t="shared" ca="1" si="32"/>
        <v>#NAME?</v>
      </c>
      <c r="X96" t="e">
        <f t="shared" ca="1" si="33"/>
        <v>#NAME?</v>
      </c>
      <c r="Z96" s="15">
        <v>1</v>
      </c>
    </row>
    <row r="97" spans="1:26">
      <c r="A97" s="106" t="s">
        <v>179</v>
      </c>
      <c r="B97" s="107" t="str">
        <f t="shared" ref="B97:H97" si="34">B57</f>
        <v>Mon 11 May</v>
      </c>
      <c r="C97" s="107" t="str">
        <f t="shared" si="34"/>
        <v>Tues 12 May</v>
      </c>
      <c r="D97" s="107" t="str">
        <f t="shared" si="34"/>
        <v>Wed 13 May</v>
      </c>
      <c r="E97" s="107" t="str">
        <f t="shared" si="34"/>
        <v>Thu 14 May</v>
      </c>
      <c r="F97" s="107" t="str">
        <f t="shared" si="34"/>
        <v>Fri 15 May</v>
      </c>
      <c r="G97" s="107" t="str">
        <f t="shared" si="34"/>
        <v>Sat 16 May</v>
      </c>
      <c r="H97" s="107" t="str">
        <f t="shared" si="34"/>
        <v>Sun 17 May</v>
      </c>
      <c r="J97" t="e">
        <f t="shared" ca="1" si="20"/>
        <v>#NAME?</v>
      </c>
      <c r="K97" t="e">
        <f t="shared" ca="1" si="21"/>
        <v>#NAME?</v>
      </c>
      <c r="L97" t="e">
        <f t="shared" ca="1" si="22"/>
        <v>#NAME?</v>
      </c>
      <c r="M97" t="e">
        <f t="shared" ca="1" si="23"/>
        <v>#NAME?</v>
      </c>
      <c r="N97" t="e">
        <f t="shared" ca="1" si="24"/>
        <v>#NAME?</v>
      </c>
      <c r="O97" t="e">
        <f t="shared" ca="1" si="25"/>
        <v>#NAME?</v>
      </c>
      <c r="P97" t="e">
        <f t="shared" ca="1" si="26"/>
        <v>#NAME?</v>
      </c>
      <c r="R97" t="e">
        <f t="shared" ca="1" si="27"/>
        <v>#NAME?</v>
      </c>
      <c r="S97" t="e">
        <f t="shared" ca="1" si="28"/>
        <v>#NAME?</v>
      </c>
      <c r="T97" t="e">
        <f t="shared" ca="1" si="29"/>
        <v>#NAME?</v>
      </c>
      <c r="U97" t="e">
        <f t="shared" ca="1" si="30"/>
        <v>#NAME?</v>
      </c>
      <c r="V97" t="e">
        <f t="shared" ca="1" si="31"/>
        <v>#NAME?</v>
      </c>
      <c r="W97" t="e">
        <f t="shared" ca="1" si="32"/>
        <v>#NAME?</v>
      </c>
      <c r="X97" t="e">
        <f t="shared" ca="1" si="33"/>
        <v>#NAME?</v>
      </c>
      <c r="Z97" s="54">
        <f>SUM(Z75:Z96)</f>
        <v>18.25</v>
      </c>
    </row>
    <row r="98" spans="1:26">
      <c r="A98" s="22" t="s">
        <v>180</v>
      </c>
      <c r="B98" s="25"/>
      <c r="C98" s="25"/>
      <c r="D98" s="25"/>
      <c r="E98" s="25"/>
      <c r="F98" s="25"/>
      <c r="G98" s="25"/>
      <c r="H98" s="110" t="s">
        <v>182</v>
      </c>
      <c r="J98" t="e">
        <f t="shared" ca="1" si="20"/>
        <v>#NAME?</v>
      </c>
      <c r="K98" t="e">
        <f t="shared" ca="1" si="21"/>
        <v>#NAME?</v>
      </c>
      <c r="L98" t="e">
        <f t="shared" ca="1" si="22"/>
        <v>#NAME?</v>
      </c>
      <c r="M98" t="e">
        <f t="shared" ca="1" si="23"/>
        <v>#NAME?</v>
      </c>
      <c r="N98" t="e">
        <f t="shared" ca="1" si="24"/>
        <v>#NAME?</v>
      </c>
      <c r="O98" t="e">
        <f t="shared" ca="1" si="25"/>
        <v>#NAME?</v>
      </c>
      <c r="P98" t="e">
        <f t="shared" ca="1" si="26"/>
        <v>#NAME?</v>
      </c>
      <c r="R98" t="e">
        <f t="shared" ca="1" si="27"/>
        <v>#NAME?</v>
      </c>
      <c r="S98" t="e">
        <f t="shared" ca="1" si="28"/>
        <v>#NAME?</v>
      </c>
      <c r="T98" t="e">
        <f t="shared" ca="1" si="29"/>
        <v>#NAME?</v>
      </c>
      <c r="U98" t="e">
        <f t="shared" ca="1" si="30"/>
        <v>#NAME?</v>
      </c>
      <c r="V98" t="e">
        <f t="shared" ca="1" si="31"/>
        <v>#NAME?</v>
      </c>
      <c r="W98" t="e">
        <f t="shared" ca="1" si="32"/>
        <v>#NAME?</v>
      </c>
      <c r="X98" t="e">
        <f t="shared" ca="1" si="33"/>
        <v>#NAME?</v>
      </c>
      <c r="Z98" s="15">
        <v>1</v>
      </c>
    </row>
    <row r="99" spans="1:26">
      <c r="A99" s="22" t="s">
        <v>183</v>
      </c>
      <c r="B99" s="25"/>
      <c r="C99" s="110" t="s">
        <v>182</v>
      </c>
      <c r="D99" s="110" t="s">
        <v>182</v>
      </c>
      <c r="E99" s="110" t="s">
        <v>116</v>
      </c>
      <c r="F99" s="110" t="s">
        <v>116</v>
      </c>
      <c r="G99" s="25"/>
      <c r="H99" s="25"/>
      <c r="J99" t="e">
        <f t="shared" ca="1" si="20"/>
        <v>#NAME?</v>
      </c>
      <c r="K99" t="e">
        <f t="shared" ca="1" si="21"/>
        <v>#NAME?</v>
      </c>
      <c r="L99" t="e">
        <f t="shared" ca="1" si="22"/>
        <v>#NAME?</v>
      </c>
      <c r="M99" t="e">
        <f t="shared" ca="1" si="23"/>
        <v>#NAME?</v>
      </c>
      <c r="N99" t="e">
        <f t="shared" ca="1" si="24"/>
        <v>#NAME?</v>
      </c>
      <c r="O99" t="e">
        <f t="shared" ca="1" si="25"/>
        <v>#NAME?</v>
      </c>
      <c r="P99" t="e">
        <f t="shared" ca="1" si="26"/>
        <v>#NAME?</v>
      </c>
      <c r="R99" t="e">
        <f t="shared" ca="1" si="27"/>
        <v>#NAME?</v>
      </c>
      <c r="S99" t="e">
        <f t="shared" ca="1" si="28"/>
        <v>#NAME?</v>
      </c>
      <c r="T99" t="e">
        <f t="shared" ca="1" si="29"/>
        <v>#NAME?</v>
      </c>
      <c r="U99" t="e">
        <f t="shared" ca="1" si="30"/>
        <v>#NAME?</v>
      </c>
      <c r="V99" t="e">
        <f t="shared" ca="1" si="31"/>
        <v>#NAME?</v>
      </c>
      <c r="W99" t="e">
        <f t="shared" ca="1" si="32"/>
        <v>#NAME?</v>
      </c>
      <c r="X99" t="e">
        <f t="shared" ca="1" si="33"/>
        <v>#NAME?</v>
      </c>
      <c r="Z99" s="15">
        <v>1</v>
      </c>
    </row>
    <row r="100" spans="1:26">
      <c r="A100" s="106" t="s">
        <v>184</v>
      </c>
      <c r="B100" s="107" t="str">
        <f t="shared" ref="B100:H100" si="35">B57</f>
        <v>Mon 11 May</v>
      </c>
      <c r="C100" s="107" t="str">
        <f t="shared" si="35"/>
        <v>Tues 12 May</v>
      </c>
      <c r="D100" s="107" t="str">
        <f t="shared" si="35"/>
        <v>Wed 13 May</v>
      </c>
      <c r="E100" s="107" t="str">
        <f t="shared" si="35"/>
        <v>Thu 14 May</v>
      </c>
      <c r="F100" s="107" t="str">
        <f t="shared" si="35"/>
        <v>Fri 15 May</v>
      </c>
      <c r="G100" s="107" t="str">
        <f t="shared" si="35"/>
        <v>Sat 16 May</v>
      </c>
      <c r="H100" s="107" t="str">
        <f t="shared" si="35"/>
        <v>Sun 17 May</v>
      </c>
      <c r="J100" t="e">
        <f t="shared" ca="1" si="20"/>
        <v>#NAME?</v>
      </c>
      <c r="K100" t="e">
        <f t="shared" ca="1" si="21"/>
        <v>#NAME?</v>
      </c>
      <c r="L100" t="e">
        <f t="shared" ca="1" si="22"/>
        <v>#NAME?</v>
      </c>
      <c r="M100" t="e">
        <f t="shared" ca="1" si="23"/>
        <v>#NAME?</v>
      </c>
      <c r="N100" t="e">
        <f t="shared" ca="1" si="24"/>
        <v>#NAME?</v>
      </c>
      <c r="O100" t="e">
        <f t="shared" ca="1" si="25"/>
        <v>#NAME?</v>
      </c>
      <c r="P100" t="e">
        <f t="shared" ca="1" si="26"/>
        <v>#NAME?</v>
      </c>
      <c r="R100" t="e">
        <f t="shared" ca="1" si="27"/>
        <v>#NAME?</v>
      </c>
      <c r="S100" t="e">
        <f t="shared" ca="1" si="28"/>
        <v>#NAME?</v>
      </c>
      <c r="T100" t="e">
        <f t="shared" ca="1" si="29"/>
        <v>#NAME?</v>
      </c>
      <c r="U100" t="e">
        <f t="shared" ca="1" si="30"/>
        <v>#NAME?</v>
      </c>
      <c r="V100" t="e">
        <f t="shared" ca="1" si="31"/>
        <v>#NAME?</v>
      </c>
      <c r="W100" t="e">
        <f t="shared" ca="1" si="32"/>
        <v>#NAME?</v>
      </c>
      <c r="X100" t="e">
        <f t="shared" ca="1" si="33"/>
        <v>#NAME?</v>
      </c>
      <c r="Z100" s="53">
        <f>SUM(Z98:Z99)</f>
        <v>2</v>
      </c>
    </row>
    <row r="101" spans="1:26">
      <c r="A101" s="22" t="s">
        <v>185</v>
      </c>
      <c r="B101" s="25"/>
      <c r="C101" s="25"/>
      <c r="D101" s="90" t="s">
        <v>116</v>
      </c>
      <c r="E101" s="91" t="s">
        <v>116</v>
      </c>
      <c r="F101" s="25"/>
      <c r="G101" s="44" t="s">
        <v>186</v>
      </c>
      <c r="H101" s="101" t="s">
        <v>118</v>
      </c>
      <c r="J101" t="e">
        <f t="shared" ca="1" si="20"/>
        <v>#NAME?</v>
      </c>
      <c r="K101" t="e">
        <f t="shared" ca="1" si="21"/>
        <v>#NAME?</v>
      </c>
      <c r="L101" t="e">
        <f t="shared" ca="1" si="22"/>
        <v>#NAME?</v>
      </c>
      <c r="M101" t="e">
        <f t="shared" ca="1" si="23"/>
        <v>#NAME?</v>
      </c>
      <c r="N101" t="e">
        <f t="shared" ca="1" si="24"/>
        <v>#NAME?</v>
      </c>
      <c r="O101" t="e">
        <f t="shared" ca="1" si="25"/>
        <v>#NAME?</v>
      </c>
      <c r="P101" t="e">
        <f t="shared" ca="1" si="26"/>
        <v>#NAME?</v>
      </c>
      <c r="R101" t="e">
        <f t="shared" ca="1" si="27"/>
        <v>#NAME?</v>
      </c>
      <c r="S101" t="e">
        <f t="shared" ca="1" si="28"/>
        <v>#NAME?</v>
      </c>
      <c r="T101" t="e">
        <f t="shared" ca="1" si="29"/>
        <v>#NAME?</v>
      </c>
      <c r="U101" t="e">
        <f t="shared" ca="1" si="30"/>
        <v>#NAME?</v>
      </c>
      <c r="V101" t="e">
        <f t="shared" ca="1" si="31"/>
        <v>#NAME?</v>
      </c>
      <c r="W101" t="e">
        <f t="shared" ca="1" si="32"/>
        <v>#NAME?</v>
      </c>
      <c r="X101" t="e">
        <f t="shared" ca="1" si="33"/>
        <v>#NAME?</v>
      </c>
      <c r="Z101" s="15">
        <v>1</v>
      </c>
    </row>
    <row r="102" spans="1:26">
      <c r="A102" s="22" t="s">
        <v>187</v>
      </c>
      <c r="B102" s="127" t="s">
        <v>18</v>
      </c>
      <c r="C102" s="128"/>
      <c r="D102" s="128"/>
      <c r="E102" s="128"/>
      <c r="F102" s="128"/>
      <c r="G102" s="128"/>
      <c r="H102" s="129"/>
      <c r="J102" t="e">
        <f t="shared" ca="1" si="20"/>
        <v>#NAME?</v>
      </c>
      <c r="K102" t="e">
        <f t="shared" ca="1" si="21"/>
        <v>#NAME?</v>
      </c>
      <c r="L102" t="e">
        <f t="shared" ca="1" si="22"/>
        <v>#NAME?</v>
      </c>
      <c r="M102" t="e">
        <f t="shared" ca="1" si="23"/>
        <v>#NAME?</v>
      </c>
      <c r="N102" t="e">
        <f t="shared" ca="1" si="24"/>
        <v>#NAME?</v>
      </c>
      <c r="O102" t="e">
        <f t="shared" ca="1" si="25"/>
        <v>#NAME?</v>
      </c>
      <c r="P102" t="e">
        <f t="shared" ca="1" si="26"/>
        <v>#NAME?</v>
      </c>
      <c r="R102" t="e">
        <f t="shared" ca="1" si="27"/>
        <v>#NAME?</v>
      </c>
      <c r="S102" t="e">
        <f t="shared" ca="1" si="28"/>
        <v>#NAME?</v>
      </c>
      <c r="T102" t="e">
        <f t="shared" ca="1" si="29"/>
        <v>#NAME?</v>
      </c>
      <c r="U102" t="e">
        <f t="shared" ca="1" si="30"/>
        <v>#NAME?</v>
      </c>
      <c r="V102" t="e">
        <f t="shared" ca="1" si="31"/>
        <v>#NAME?</v>
      </c>
      <c r="W102" t="e">
        <f t="shared" ca="1" si="32"/>
        <v>#NAME?</v>
      </c>
      <c r="X102" t="e">
        <f t="shared" ca="1" si="33"/>
        <v>#NAME?</v>
      </c>
      <c r="Z102" s="15">
        <v>1</v>
      </c>
    </row>
    <row r="103" spans="1:26">
      <c r="A103" s="22" t="s">
        <v>188</v>
      </c>
      <c r="B103" s="101" t="s">
        <v>116</v>
      </c>
      <c r="C103" s="25"/>
      <c r="D103" s="44" t="s">
        <v>186</v>
      </c>
      <c r="E103" s="90" t="s">
        <v>118</v>
      </c>
      <c r="F103" s="91" t="s">
        <v>116</v>
      </c>
      <c r="G103" s="25"/>
      <c r="H103" s="25"/>
      <c r="J103" t="e">
        <f t="shared" ca="1" si="20"/>
        <v>#NAME?</v>
      </c>
      <c r="K103" t="e">
        <f t="shared" ca="1" si="21"/>
        <v>#NAME?</v>
      </c>
      <c r="L103" t="e">
        <f t="shared" ca="1" si="22"/>
        <v>#NAME?</v>
      </c>
      <c r="M103" t="e">
        <f t="shared" ca="1" si="23"/>
        <v>#NAME?</v>
      </c>
      <c r="N103" t="e">
        <f t="shared" ca="1" si="24"/>
        <v>#NAME?</v>
      </c>
      <c r="O103" t="e">
        <f t="shared" ca="1" si="25"/>
        <v>#NAME?</v>
      </c>
      <c r="P103" t="e">
        <f t="shared" ca="1" si="26"/>
        <v>#NAME?</v>
      </c>
      <c r="R103" t="e">
        <f t="shared" ca="1" si="27"/>
        <v>#NAME?</v>
      </c>
      <c r="S103" t="e">
        <f t="shared" ca="1" si="28"/>
        <v>#NAME?</v>
      </c>
      <c r="T103" t="e">
        <f t="shared" ca="1" si="29"/>
        <v>#NAME?</v>
      </c>
      <c r="U103" t="e">
        <f t="shared" ca="1" si="30"/>
        <v>#NAME?</v>
      </c>
      <c r="V103" t="e">
        <f t="shared" ca="1" si="31"/>
        <v>#NAME?</v>
      </c>
      <c r="W103" t="e">
        <f t="shared" ca="1" si="32"/>
        <v>#NAME?</v>
      </c>
      <c r="X103" t="e">
        <f t="shared" ca="1" si="33"/>
        <v>#NAME?</v>
      </c>
      <c r="Z103" s="15">
        <v>1</v>
      </c>
    </row>
    <row r="104" spans="1:26">
      <c r="A104" s="22" t="s">
        <v>190</v>
      </c>
      <c r="B104" s="91" t="s">
        <v>118</v>
      </c>
      <c r="C104" s="101" t="s">
        <v>118</v>
      </c>
      <c r="D104" s="110" t="s">
        <v>142</v>
      </c>
      <c r="E104" s="90" t="s">
        <v>116</v>
      </c>
      <c r="F104" s="25"/>
      <c r="G104" s="25"/>
      <c r="H104" s="25"/>
      <c r="J104" t="e">
        <f t="shared" ca="1" si="20"/>
        <v>#NAME?</v>
      </c>
      <c r="K104" t="e">
        <f t="shared" ca="1" si="21"/>
        <v>#NAME?</v>
      </c>
      <c r="L104" t="e">
        <f t="shared" ca="1" si="22"/>
        <v>#NAME?</v>
      </c>
      <c r="M104" t="e">
        <f t="shared" ca="1" si="23"/>
        <v>#NAME?</v>
      </c>
      <c r="N104" t="e">
        <f t="shared" ca="1" si="24"/>
        <v>#NAME?</v>
      </c>
      <c r="O104" t="e">
        <f t="shared" ca="1" si="25"/>
        <v>#NAME?</v>
      </c>
      <c r="P104" t="e">
        <f t="shared" ca="1" si="26"/>
        <v>#NAME?</v>
      </c>
      <c r="R104" t="e">
        <f t="shared" ca="1" si="27"/>
        <v>#NAME?</v>
      </c>
      <c r="S104" t="e">
        <f t="shared" ca="1" si="28"/>
        <v>#NAME?</v>
      </c>
      <c r="T104" t="e">
        <f t="shared" ca="1" si="29"/>
        <v>#NAME?</v>
      </c>
      <c r="U104" t="e">
        <f t="shared" ca="1" si="30"/>
        <v>#NAME?</v>
      </c>
      <c r="V104" t="e">
        <f t="shared" ca="1" si="31"/>
        <v>#NAME?</v>
      </c>
      <c r="W104" t="e">
        <f t="shared" ca="1" si="32"/>
        <v>#NAME?</v>
      </c>
      <c r="X104" t="e">
        <f t="shared" ca="1" si="33"/>
        <v>#NAME?</v>
      </c>
      <c r="Z104" s="15">
        <v>1</v>
      </c>
    </row>
    <row r="105" spans="1:26">
      <c r="A105" s="22" t="s">
        <v>191</v>
      </c>
      <c r="B105" s="127" t="s">
        <v>18</v>
      </c>
      <c r="C105" s="128"/>
      <c r="D105" s="128"/>
      <c r="E105" s="128"/>
      <c r="F105" s="128"/>
      <c r="G105" s="128"/>
      <c r="H105" s="129"/>
      <c r="J105" t="e">
        <f t="shared" ca="1" si="20"/>
        <v>#NAME?</v>
      </c>
      <c r="K105" t="e">
        <f t="shared" ca="1" si="21"/>
        <v>#NAME?</v>
      </c>
      <c r="L105" t="e">
        <f t="shared" ca="1" si="22"/>
        <v>#NAME?</v>
      </c>
      <c r="M105" t="e">
        <f t="shared" ca="1" si="23"/>
        <v>#NAME?</v>
      </c>
      <c r="N105" t="e">
        <f t="shared" ca="1" si="24"/>
        <v>#NAME?</v>
      </c>
      <c r="O105" t="e">
        <f t="shared" ca="1" si="25"/>
        <v>#NAME?</v>
      </c>
      <c r="P105" t="e">
        <f t="shared" ca="1" si="26"/>
        <v>#NAME?</v>
      </c>
      <c r="R105" t="e">
        <f t="shared" ca="1" si="27"/>
        <v>#NAME?</v>
      </c>
      <c r="S105" t="e">
        <f t="shared" ca="1" si="28"/>
        <v>#NAME?</v>
      </c>
      <c r="T105" t="e">
        <f t="shared" ca="1" si="29"/>
        <v>#NAME?</v>
      </c>
      <c r="U105" t="e">
        <f t="shared" ca="1" si="30"/>
        <v>#NAME?</v>
      </c>
      <c r="V105" t="e">
        <f t="shared" ca="1" si="31"/>
        <v>#NAME?</v>
      </c>
      <c r="W105" t="e">
        <f t="shared" ca="1" si="32"/>
        <v>#NAME?</v>
      </c>
      <c r="X105" t="e">
        <f t="shared" ca="1" si="33"/>
        <v>#NAME?</v>
      </c>
      <c r="Z105" s="15">
        <v>1</v>
      </c>
    </row>
    <row r="106" spans="1:26">
      <c r="A106" s="22" t="s">
        <v>192</v>
      </c>
      <c r="B106" s="44" t="s">
        <v>186</v>
      </c>
      <c r="C106" s="101" t="s">
        <v>116</v>
      </c>
      <c r="D106" s="25"/>
      <c r="E106" s="25"/>
      <c r="F106" s="25"/>
      <c r="G106" s="90" t="s">
        <v>116</v>
      </c>
      <c r="H106" s="91" t="s">
        <v>116</v>
      </c>
      <c r="J106" t="e">
        <f t="shared" ca="1" si="20"/>
        <v>#NAME?</v>
      </c>
      <c r="K106" t="e">
        <f t="shared" ca="1" si="21"/>
        <v>#NAME?</v>
      </c>
      <c r="L106" t="e">
        <f t="shared" ca="1" si="22"/>
        <v>#NAME?</v>
      </c>
      <c r="M106" t="e">
        <f t="shared" ca="1" si="23"/>
        <v>#NAME?</v>
      </c>
      <c r="N106" t="e">
        <f t="shared" ca="1" si="24"/>
        <v>#NAME?</v>
      </c>
      <c r="O106" t="e">
        <f t="shared" ca="1" si="25"/>
        <v>#NAME?</v>
      </c>
      <c r="P106" t="e">
        <f t="shared" ca="1" si="26"/>
        <v>#NAME?</v>
      </c>
      <c r="R106" t="e">
        <f t="shared" ca="1" si="27"/>
        <v>#NAME?</v>
      </c>
      <c r="S106" t="e">
        <f t="shared" ca="1" si="28"/>
        <v>#NAME?</v>
      </c>
      <c r="T106" t="e">
        <f t="shared" ca="1" si="29"/>
        <v>#NAME?</v>
      </c>
      <c r="U106" t="e">
        <f t="shared" ca="1" si="30"/>
        <v>#NAME?</v>
      </c>
      <c r="V106" t="e">
        <f t="shared" ca="1" si="31"/>
        <v>#NAME?</v>
      </c>
      <c r="W106" t="e">
        <f t="shared" ca="1" si="32"/>
        <v>#NAME?</v>
      </c>
      <c r="X106" t="e">
        <f t="shared" ca="1" si="33"/>
        <v>#NAME?</v>
      </c>
      <c r="Z106" s="15">
        <v>0.875</v>
      </c>
    </row>
    <row r="107" spans="1:26">
      <c r="A107" s="22" t="s">
        <v>193</v>
      </c>
      <c r="B107" s="25"/>
      <c r="C107" s="90" t="s">
        <v>118</v>
      </c>
      <c r="D107" s="44" t="s">
        <v>189</v>
      </c>
      <c r="E107" s="25"/>
      <c r="F107" s="25" t="s">
        <v>152</v>
      </c>
      <c r="G107" s="25" t="s">
        <v>152</v>
      </c>
      <c r="H107" s="25" t="s">
        <v>152</v>
      </c>
      <c r="J107" t="e">
        <f t="shared" ca="1" si="20"/>
        <v>#NAME?</v>
      </c>
      <c r="K107" t="e">
        <f t="shared" ca="1" si="21"/>
        <v>#NAME?</v>
      </c>
      <c r="L107" t="e">
        <f t="shared" ca="1" si="22"/>
        <v>#NAME?</v>
      </c>
      <c r="M107" t="e">
        <f t="shared" ca="1" si="23"/>
        <v>#NAME?</v>
      </c>
      <c r="N107" t="e">
        <f t="shared" ca="1" si="24"/>
        <v>#NAME?</v>
      </c>
      <c r="O107" t="e">
        <f t="shared" ca="1" si="25"/>
        <v>#NAME?</v>
      </c>
      <c r="P107" t="e">
        <f t="shared" ca="1" si="26"/>
        <v>#NAME?</v>
      </c>
      <c r="R107" t="e">
        <f t="shared" ca="1" si="27"/>
        <v>#NAME?</v>
      </c>
      <c r="S107" t="e">
        <f t="shared" ca="1" si="28"/>
        <v>#NAME?</v>
      </c>
      <c r="T107" t="e">
        <f t="shared" ca="1" si="29"/>
        <v>#NAME?</v>
      </c>
      <c r="U107" t="e">
        <f t="shared" ca="1" si="30"/>
        <v>#NAME?</v>
      </c>
      <c r="V107" t="e">
        <f t="shared" ca="1" si="31"/>
        <v>#NAME?</v>
      </c>
      <c r="W107" t="e">
        <f t="shared" ca="1" si="32"/>
        <v>#NAME?</v>
      </c>
      <c r="X107" t="e">
        <f t="shared" ca="1" si="33"/>
        <v>#NAME?</v>
      </c>
      <c r="Z107" s="15">
        <v>1</v>
      </c>
    </row>
    <row r="108" spans="1:26">
      <c r="A108" s="22" t="s">
        <v>283</v>
      </c>
      <c r="B108" s="25" t="s">
        <v>152</v>
      </c>
      <c r="C108" s="25" t="s">
        <v>152</v>
      </c>
      <c r="D108" s="25" t="s">
        <v>152</v>
      </c>
      <c r="E108" s="25" t="s">
        <v>152</v>
      </c>
      <c r="F108" s="25"/>
      <c r="G108" s="25"/>
      <c r="H108" s="25"/>
      <c r="J108" t="e">
        <f t="shared" ca="1" si="20"/>
        <v>#NAME?</v>
      </c>
      <c r="K108" t="e">
        <f t="shared" ca="1" si="21"/>
        <v>#NAME?</v>
      </c>
      <c r="L108" t="e">
        <f t="shared" ca="1" si="22"/>
        <v>#NAME?</v>
      </c>
      <c r="M108" t="e">
        <f t="shared" ca="1" si="23"/>
        <v>#NAME?</v>
      </c>
      <c r="N108" t="e">
        <f t="shared" ca="1" si="24"/>
        <v>#NAME?</v>
      </c>
      <c r="O108" t="e">
        <f t="shared" ca="1" si="25"/>
        <v>#NAME?</v>
      </c>
      <c r="P108" t="e">
        <f t="shared" ca="1" si="26"/>
        <v>#NAME?</v>
      </c>
      <c r="R108" t="e">
        <f t="shared" ca="1" si="27"/>
        <v>#NAME?</v>
      </c>
      <c r="S108" t="e">
        <f t="shared" ca="1" si="28"/>
        <v>#NAME?</v>
      </c>
      <c r="T108" t="e">
        <f t="shared" ca="1" si="29"/>
        <v>#NAME?</v>
      </c>
      <c r="U108" t="e">
        <f t="shared" ca="1" si="30"/>
        <v>#NAME?</v>
      </c>
      <c r="V108" t="e">
        <f t="shared" ca="1" si="31"/>
        <v>#NAME?</v>
      </c>
      <c r="W108" t="e">
        <f t="shared" ca="1" si="32"/>
        <v>#NAME?</v>
      </c>
      <c r="X108" t="e">
        <f t="shared" ca="1" si="33"/>
        <v>#NAME?</v>
      </c>
      <c r="Z108" s="15">
        <v>1</v>
      </c>
    </row>
    <row r="109" spans="1:26">
      <c r="A109" s="22" t="s">
        <v>195</v>
      </c>
      <c r="B109" s="127" t="s">
        <v>20</v>
      </c>
      <c r="C109" s="128"/>
      <c r="D109" s="128"/>
      <c r="E109" s="128"/>
      <c r="F109" s="128"/>
      <c r="G109" s="128"/>
      <c r="H109" s="129"/>
      <c r="J109" t="e">
        <f t="shared" ca="1" si="20"/>
        <v>#NAME?</v>
      </c>
      <c r="K109" t="e">
        <f t="shared" ca="1" si="21"/>
        <v>#NAME?</v>
      </c>
      <c r="L109" t="e">
        <f t="shared" ca="1" si="22"/>
        <v>#NAME?</v>
      </c>
      <c r="M109" t="e">
        <f t="shared" ca="1" si="23"/>
        <v>#NAME?</v>
      </c>
      <c r="N109" t="e">
        <f t="shared" ca="1" si="24"/>
        <v>#NAME?</v>
      </c>
      <c r="O109" t="e">
        <f t="shared" ca="1" si="25"/>
        <v>#NAME?</v>
      </c>
      <c r="P109" t="e">
        <f t="shared" ca="1" si="26"/>
        <v>#NAME?</v>
      </c>
      <c r="R109" t="e">
        <f t="shared" ca="1" si="27"/>
        <v>#NAME?</v>
      </c>
      <c r="S109" t="e">
        <f t="shared" ca="1" si="28"/>
        <v>#NAME?</v>
      </c>
      <c r="T109" t="e">
        <f t="shared" ca="1" si="29"/>
        <v>#NAME?</v>
      </c>
      <c r="U109" t="e">
        <f t="shared" ca="1" si="30"/>
        <v>#NAME?</v>
      </c>
      <c r="V109" t="e">
        <f t="shared" ca="1" si="31"/>
        <v>#NAME?</v>
      </c>
      <c r="W109" t="e">
        <f t="shared" ca="1" si="32"/>
        <v>#NAME?</v>
      </c>
      <c r="X109" t="e">
        <f t="shared" ca="1" si="33"/>
        <v>#NAME?</v>
      </c>
      <c r="Z109" s="15">
        <v>0.5</v>
      </c>
    </row>
    <row r="110" spans="1:26">
      <c r="A110" s="42" t="s">
        <v>196</v>
      </c>
      <c r="B110" s="25"/>
      <c r="C110" s="25"/>
      <c r="D110" s="25"/>
      <c r="E110" s="25"/>
      <c r="F110" s="25"/>
      <c r="G110" s="110" t="s">
        <v>142</v>
      </c>
      <c r="H110" s="90" t="s">
        <v>118</v>
      </c>
      <c r="J110" t="e">
        <f t="shared" ca="1" si="20"/>
        <v>#NAME?</v>
      </c>
      <c r="K110" t="e">
        <f t="shared" ca="1" si="21"/>
        <v>#NAME?</v>
      </c>
      <c r="L110" t="e">
        <f t="shared" ca="1" si="22"/>
        <v>#NAME?</v>
      </c>
      <c r="M110" t="e">
        <f t="shared" ca="1" si="23"/>
        <v>#NAME?</v>
      </c>
      <c r="N110" t="e">
        <f t="shared" ca="1" si="24"/>
        <v>#NAME?</v>
      </c>
      <c r="O110" t="e">
        <f t="shared" ca="1" si="25"/>
        <v>#NAME?</v>
      </c>
      <c r="P110" t="e">
        <f t="shared" ca="1" si="26"/>
        <v>#NAME?</v>
      </c>
      <c r="R110" t="e">
        <f t="shared" ca="1" si="27"/>
        <v>#NAME?</v>
      </c>
      <c r="S110" t="e">
        <f t="shared" ca="1" si="28"/>
        <v>#NAME?</v>
      </c>
      <c r="T110" t="e">
        <f t="shared" ca="1" si="29"/>
        <v>#NAME?</v>
      </c>
      <c r="U110" t="e">
        <f t="shared" ca="1" si="30"/>
        <v>#NAME?</v>
      </c>
      <c r="V110" t="e">
        <f t="shared" ca="1" si="31"/>
        <v>#NAME?</v>
      </c>
      <c r="W110" t="e">
        <f t="shared" ca="1" si="32"/>
        <v>#NAME?</v>
      </c>
      <c r="X110" t="e">
        <f t="shared" ca="1" si="33"/>
        <v>#NAME?</v>
      </c>
      <c r="Z110" s="25">
        <v>0.5</v>
      </c>
    </row>
    <row r="111" spans="1:26">
      <c r="A111" s="22" t="s">
        <v>197</v>
      </c>
      <c r="B111" s="25"/>
      <c r="C111" s="25"/>
      <c r="D111" s="90" t="s">
        <v>118</v>
      </c>
      <c r="E111" s="25"/>
      <c r="F111" s="25"/>
      <c r="G111" s="25"/>
      <c r="H111" s="25"/>
      <c r="J111" t="e">
        <f t="shared" ca="1" si="20"/>
        <v>#NAME?</v>
      </c>
      <c r="K111" t="e">
        <f t="shared" ca="1" si="21"/>
        <v>#NAME?</v>
      </c>
      <c r="L111" t="e">
        <f t="shared" ca="1" si="22"/>
        <v>#NAME?</v>
      </c>
      <c r="M111" t="e">
        <f t="shared" ca="1" si="23"/>
        <v>#NAME?</v>
      </c>
      <c r="N111" t="e">
        <f t="shared" ca="1" si="24"/>
        <v>#NAME?</v>
      </c>
      <c r="O111" t="e">
        <f t="shared" ca="1" si="25"/>
        <v>#NAME?</v>
      </c>
      <c r="P111" t="e">
        <f t="shared" ca="1" si="26"/>
        <v>#NAME?</v>
      </c>
      <c r="R111" t="e">
        <f t="shared" ca="1" si="27"/>
        <v>#NAME?</v>
      </c>
      <c r="S111" t="e">
        <f t="shared" ca="1" si="28"/>
        <v>#NAME?</v>
      </c>
      <c r="T111" t="e">
        <f t="shared" ca="1" si="29"/>
        <v>#NAME?</v>
      </c>
      <c r="U111" t="e">
        <f t="shared" ca="1" si="30"/>
        <v>#NAME?</v>
      </c>
      <c r="V111" t="e">
        <f t="shared" ca="1" si="31"/>
        <v>#NAME?</v>
      </c>
      <c r="W111" t="e">
        <f t="shared" ca="1" si="32"/>
        <v>#NAME?</v>
      </c>
      <c r="X111" t="e">
        <f t="shared" ca="1" si="33"/>
        <v>#NAME?</v>
      </c>
      <c r="Z111" s="15">
        <v>0.5</v>
      </c>
    </row>
    <row r="112" spans="1:26">
      <c r="A112" s="22" t="s">
        <v>199</v>
      </c>
      <c r="B112" s="112"/>
      <c r="C112" s="25"/>
      <c r="D112" s="112"/>
      <c r="E112" s="25"/>
      <c r="F112" s="112"/>
      <c r="G112" s="25" t="s">
        <v>152</v>
      </c>
      <c r="H112" s="25" t="s">
        <v>152</v>
      </c>
      <c r="J112" t="e">
        <f t="shared" ca="1" si="20"/>
        <v>#NAME?</v>
      </c>
      <c r="K112" t="e">
        <f t="shared" ca="1" si="21"/>
        <v>#NAME?</v>
      </c>
      <c r="L112" t="e">
        <f t="shared" ca="1" si="22"/>
        <v>#NAME?</v>
      </c>
      <c r="M112" t="e">
        <f t="shared" ca="1" si="23"/>
        <v>#NAME?</v>
      </c>
      <c r="N112" t="e">
        <f t="shared" ca="1" si="24"/>
        <v>#NAME?</v>
      </c>
      <c r="O112" t="e">
        <f t="shared" ca="1" si="25"/>
        <v>#NAME?</v>
      </c>
      <c r="P112" t="e">
        <f t="shared" ca="1" si="26"/>
        <v>#NAME?</v>
      </c>
      <c r="R112" t="e">
        <f t="shared" ca="1" si="27"/>
        <v>#NAME?</v>
      </c>
      <c r="S112" t="e">
        <f t="shared" ca="1" si="28"/>
        <v>#NAME?</v>
      </c>
      <c r="T112" t="e">
        <f t="shared" ca="1" si="29"/>
        <v>#NAME?</v>
      </c>
      <c r="U112" t="e">
        <f t="shared" ca="1" si="30"/>
        <v>#NAME?</v>
      </c>
      <c r="V112" t="e">
        <f t="shared" ca="1" si="31"/>
        <v>#NAME?</v>
      </c>
      <c r="W112" t="e">
        <f t="shared" ca="1" si="32"/>
        <v>#NAME?</v>
      </c>
      <c r="X112" t="e">
        <f t="shared" ca="1" si="33"/>
        <v>#NAME?</v>
      </c>
      <c r="Z112" s="15">
        <v>0.5</v>
      </c>
    </row>
    <row r="113" spans="1:26">
      <c r="A113" s="22" t="s">
        <v>200</v>
      </c>
      <c r="B113" s="25"/>
      <c r="C113" s="28" t="s">
        <v>115</v>
      </c>
      <c r="D113" s="110" t="s">
        <v>139</v>
      </c>
      <c r="E113" s="25" t="s">
        <v>152</v>
      </c>
      <c r="F113" s="25" t="s">
        <v>152</v>
      </c>
      <c r="G113" s="25"/>
      <c r="H113" s="25"/>
      <c r="J113" t="e">
        <f t="shared" ca="1" si="20"/>
        <v>#NAME?</v>
      </c>
      <c r="K113" t="e">
        <f t="shared" ca="1" si="21"/>
        <v>#NAME?</v>
      </c>
      <c r="L113" t="e">
        <f t="shared" ca="1" si="22"/>
        <v>#NAME?</v>
      </c>
      <c r="M113" t="e">
        <f t="shared" ca="1" si="23"/>
        <v>#NAME?</v>
      </c>
      <c r="N113" t="e">
        <f t="shared" ca="1" si="24"/>
        <v>#NAME?</v>
      </c>
      <c r="O113" t="e">
        <f t="shared" ca="1" si="25"/>
        <v>#NAME?</v>
      </c>
      <c r="P113" t="e">
        <f t="shared" ca="1" si="26"/>
        <v>#NAME?</v>
      </c>
      <c r="R113" t="e">
        <f t="shared" ca="1" si="27"/>
        <v>#NAME?</v>
      </c>
      <c r="S113" t="e">
        <f t="shared" ca="1" si="28"/>
        <v>#NAME?</v>
      </c>
      <c r="T113" t="e">
        <f t="shared" ca="1" si="29"/>
        <v>#NAME?</v>
      </c>
      <c r="U113" t="e">
        <f t="shared" ca="1" si="30"/>
        <v>#NAME?</v>
      </c>
      <c r="V113" t="e">
        <f t="shared" ca="1" si="31"/>
        <v>#NAME?</v>
      </c>
      <c r="W113" t="e">
        <f t="shared" ca="1" si="32"/>
        <v>#NAME?</v>
      </c>
      <c r="X113" t="e">
        <f t="shared" ca="1" si="33"/>
        <v>#NAME?</v>
      </c>
      <c r="Z113" s="15">
        <v>1</v>
      </c>
    </row>
    <row r="114" spans="1:26">
      <c r="A114" s="22" t="s">
        <v>201</v>
      </c>
      <c r="B114" s="25" t="s">
        <v>152</v>
      </c>
      <c r="C114" s="25" t="s">
        <v>152</v>
      </c>
      <c r="D114" s="25" t="s">
        <v>152</v>
      </c>
      <c r="E114" s="25" t="s">
        <v>152</v>
      </c>
      <c r="F114" s="25"/>
      <c r="G114" s="127" t="s">
        <v>20</v>
      </c>
      <c r="H114" s="129"/>
      <c r="J114" t="e">
        <f t="shared" ca="1" si="20"/>
        <v>#NAME?</v>
      </c>
      <c r="K114" t="e">
        <f t="shared" ca="1" si="21"/>
        <v>#NAME?</v>
      </c>
      <c r="L114" t="e">
        <f t="shared" ca="1" si="22"/>
        <v>#NAME?</v>
      </c>
      <c r="M114" t="e">
        <f t="shared" ca="1" si="23"/>
        <v>#NAME?</v>
      </c>
      <c r="N114" t="e">
        <f t="shared" ca="1" si="24"/>
        <v>#NAME?</v>
      </c>
      <c r="O114" t="e">
        <f t="shared" ca="1" si="25"/>
        <v>#NAME?</v>
      </c>
      <c r="P114" t="e">
        <f t="shared" ca="1" si="26"/>
        <v>#NAME?</v>
      </c>
      <c r="R114" t="e">
        <f t="shared" ca="1" si="27"/>
        <v>#NAME?</v>
      </c>
      <c r="S114" t="e">
        <f t="shared" ca="1" si="28"/>
        <v>#NAME?</v>
      </c>
      <c r="T114" t="e">
        <f t="shared" ca="1" si="29"/>
        <v>#NAME?</v>
      </c>
      <c r="U114" t="e">
        <f t="shared" ca="1" si="30"/>
        <v>#NAME?</v>
      </c>
      <c r="V114" t="e">
        <f t="shared" ca="1" si="31"/>
        <v>#NAME?</v>
      </c>
      <c r="W114" t="e">
        <f t="shared" ca="1" si="32"/>
        <v>#NAME?</v>
      </c>
      <c r="X114" t="e">
        <f t="shared" ca="1" si="33"/>
        <v>#NAME?</v>
      </c>
      <c r="Z114" s="15">
        <v>1</v>
      </c>
    </row>
    <row r="115" spans="1:26">
      <c r="A115" s="22" t="s">
        <v>202</v>
      </c>
      <c r="B115" s="25"/>
      <c r="C115" s="28" t="s">
        <v>119</v>
      </c>
      <c r="D115" s="91" t="s">
        <v>116</v>
      </c>
      <c r="E115" s="101" t="s">
        <v>116</v>
      </c>
      <c r="F115" s="44" t="s">
        <v>189</v>
      </c>
      <c r="G115" s="25"/>
      <c r="H115" s="25"/>
      <c r="J115" t="e">
        <f t="shared" ca="1" si="20"/>
        <v>#NAME?</v>
      </c>
      <c r="K115" t="e">
        <f t="shared" ca="1" si="21"/>
        <v>#NAME?</v>
      </c>
      <c r="L115" t="e">
        <f t="shared" ca="1" si="22"/>
        <v>#NAME?</v>
      </c>
      <c r="M115" t="e">
        <f t="shared" ca="1" si="23"/>
        <v>#NAME?</v>
      </c>
      <c r="N115" t="e">
        <f t="shared" ca="1" si="24"/>
        <v>#NAME?</v>
      </c>
      <c r="O115" t="e">
        <f t="shared" ca="1" si="25"/>
        <v>#NAME?</v>
      </c>
      <c r="P115" t="e">
        <f t="shared" ca="1" si="26"/>
        <v>#NAME?</v>
      </c>
      <c r="R115" t="e">
        <f t="shared" ca="1" si="27"/>
        <v>#NAME?</v>
      </c>
      <c r="S115" t="e">
        <f t="shared" ca="1" si="28"/>
        <v>#NAME?</v>
      </c>
      <c r="T115" t="e">
        <f t="shared" ca="1" si="29"/>
        <v>#NAME?</v>
      </c>
      <c r="U115" t="e">
        <f t="shared" ca="1" si="30"/>
        <v>#NAME?</v>
      </c>
      <c r="V115" t="e">
        <f t="shared" ca="1" si="31"/>
        <v>#NAME?</v>
      </c>
      <c r="W115" t="e">
        <f t="shared" ca="1" si="32"/>
        <v>#NAME?</v>
      </c>
      <c r="X115" t="e">
        <f t="shared" ca="1" si="33"/>
        <v>#NAME?</v>
      </c>
      <c r="Z115" s="15">
        <v>1</v>
      </c>
    </row>
    <row r="116" spans="1:26">
      <c r="A116" s="42" t="s">
        <v>203</v>
      </c>
      <c r="B116" s="109" t="s">
        <v>263</v>
      </c>
      <c r="C116" s="91" t="s">
        <v>116</v>
      </c>
      <c r="D116" s="25"/>
      <c r="E116" s="25"/>
      <c r="F116" s="25"/>
      <c r="G116" s="25" t="s">
        <v>152</v>
      </c>
      <c r="H116" s="25" t="s">
        <v>152</v>
      </c>
      <c r="J116" t="e">
        <f t="shared" ca="1" si="20"/>
        <v>#NAME?</v>
      </c>
      <c r="K116" t="e">
        <f t="shared" ca="1" si="21"/>
        <v>#NAME?</v>
      </c>
      <c r="L116" t="e">
        <f t="shared" ca="1" si="22"/>
        <v>#NAME?</v>
      </c>
      <c r="M116" t="e">
        <f t="shared" ca="1" si="23"/>
        <v>#NAME?</v>
      </c>
      <c r="N116" t="e">
        <f t="shared" ca="1" si="24"/>
        <v>#NAME?</v>
      </c>
      <c r="O116" t="e">
        <f t="shared" ca="1" si="25"/>
        <v>#NAME?</v>
      </c>
      <c r="P116" t="e">
        <f t="shared" ca="1" si="26"/>
        <v>#NAME?</v>
      </c>
      <c r="R116" t="e">
        <f t="shared" ca="1" si="27"/>
        <v>#NAME?</v>
      </c>
      <c r="S116" t="e">
        <f t="shared" ca="1" si="28"/>
        <v>#NAME?</v>
      </c>
      <c r="T116" t="e">
        <f t="shared" ca="1" si="29"/>
        <v>#NAME?</v>
      </c>
      <c r="U116" t="e">
        <f t="shared" ca="1" si="30"/>
        <v>#NAME?</v>
      </c>
      <c r="V116" t="e">
        <f t="shared" ca="1" si="31"/>
        <v>#NAME?</v>
      </c>
      <c r="W116" t="e">
        <f t="shared" ca="1" si="32"/>
        <v>#NAME?</v>
      </c>
      <c r="X116" t="e">
        <f t="shared" ca="1" si="33"/>
        <v>#NAME?</v>
      </c>
      <c r="Z116" s="15">
        <v>1</v>
      </c>
    </row>
    <row r="117" spans="1:26">
      <c r="A117" s="22" t="s">
        <v>204</v>
      </c>
      <c r="B117" s="25"/>
      <c r="C117" s="25"/>
      <c r="D117" s="25"/>
      <c r="E117" s="25"/>
      <c r="F117" s="101" t="s">
        <v>118</v>
      </c>
      <c r="G117" s="110" t="s">
        <v>139</v>
      </c>
      <c r="H117" s="44" t="s">
        <v>189</v>
      </c>
      <c r="J117" t="e">
        <f t="shared" ca="1" si="20"/>
        <v>#NAME?</v>
      </c>
      <c r="K117" t="e">
        <f t="shared" ca="1" si="21"/>
        <v>#NAME?</v>
      </c>
      <c r="L117" t="e">
        <f t="shared" ca="1" si="22"/>
        <v>#NAME?</v>
      </c>
      <c r="M117" t="e">
        <f t="shared" ca="1" si="23"/>
        <v>#NAME?</v>
      </c>
      <c r="N117" t="e">
        <f t="shared" ca="1" si="24"/>
        <v>#NAME?</v>
      </c>
      <c r="O117" t="e">
        <f t="shared" ca="1" si="25"/>
        <v>#NAME?</v>
      </c>
      <c r="P117" t="e">
        <f t="shared" ca="1" si="26"/>
        <v>#NAME?</v>
      </c>
      <c r="R117" t="e">
        <f t="shared" ca="1" si="27"/>
        <v>#NAME?</v>
      </c>
      <c r="S117" t="e">
        <f t="shared" ca="1" si="28"/>
        <v>#NAME?</v>
      </c>
      <c r="T117" t="e">
        <f t="shared" ca="1" si="29"/>
        <v>#NAME?</v>
      </c>
      <c r="U117" t="e">
        <f t="shared" ca="1" si="30"/>
        <v>#NAME?</v>
      </c>
      <c r="V117" t="e">
        <f t="shared" ca="1" si="31"/>
        <v>#NAME?</v>
      </c>
      <c r="W117" t="e">
        <f t="shared" ca="1" si="32"/>
        <v>#NAME?</v>
      </c>
      <c r="X117" t="e">
        <f t="shared" ca="1" si="33"/>
        <v>#NAME?</v>
      </c>
      <c r="Z117" s="15">
        <v>1</v>
      </c>
    </row>
    <row r="118" spans="1:26">
      <c r="A118" s="22" t="s">
        <v>205</v>
      </c>
      <c r="B118" s="44" t="s">
        <v>189</v>
      </c>
      <c r="C118" s="25"/>
      <c r="D118" s="91" t="s">
        <v>118</v>
      </c>
      <c r="E118" s="101" t="s">
        <v>118</v>
      </c>
      <c r="F118" s="110" t="s">
        <v>142</v>
      </c>
      <c r="G118" s="25"/>
      <c r="H118" s="25"/>
      <c r="J118" t="e">
        <f t="shared" ca="1" si="20"/>
        <v>#NAME?</v>
      </c>
      <c r="K118" t="e">
        <f t="shared" ca="1" si="21"/>
        <v>#NAME?</v>
      </c>
      <c r="L118" t="e">
        <f t="shared" ca="1" si="22"/>
        <v>#NAME?</v>
      </c>
      <c r="M118" t="e">
        <f t="shared" ca="1" si="23"/>
        <v>#NAME?</v>
      </c>
      <c r="N118" t="e">
        <f t="shared" ca="1" si="24"/>
        <v>#NAME?</v>
      </c>
      <c r="O118" t="e">
        <f t="shared" ca="1" si="25"/>
        <v>#NAME?</v>
      </c>
      <c r="P118" t="e">
        <f t="shared" ca="1" si="26"/>
        <v>#NAME?</v>
      </c>
      <c r="R118" t="e">
        <f t="shared" ca="1" si="27"/>
        <v>#NAME?</v>
      </c>
      <c r="S118" t="e">
        <f t="shared" ca="1" si="28"/>
        <v>#NAME?</v>
      </c>
      <c r="T118" t="e">
        <f t="shared" ca="1" si="29"/>
        <v>#NAME?</v>
      </c>
      <c r="U118" t="e">
        <f t="shared" ca="1" si="30"/>
        <v>#NAME?</v>
      </c>
      <c r="V118" t="e">
        <f t="shared" ca="1" si="31"/>
        <v>#NAME?</v>
      </c>
      <c r="W118" t="e">
        <f t="shared" ca="1" si="32"/>
        <v>#NAME?</v>
      </c>
      <c r="X118" t="e">
        <f t="shared" ca="1" si="33"/>
        <v>#NAME?</v>
      </c>
      <c r="Z118" s="15">
        <v>1</v>
      </c>
    </row>
    <row r="119" spans="1:26">
      <c r="A119" s="22" t="s">
        <v>206</v>
      </c>
      <c r="B119" s="25" t="s">
        <v>152</v>
      </c>
      <c r="C119" s="25"/>
      <c r="D119" s="25"/>
      <c r="E119" s="25"/>
      <c r="F119" s="25"/>
      <c r="G119" s="90" t="s">
        <v>118</v>
      </c>
      <c r="H119" s="91" t="s">
        <v>118</v>
      </c>
      <c r="J119" t="e">
        <f t="shared" ca="1" si="20"/>
        <v>#NAME?</v>
      </c>
      <c r="K119" t="e">
        <f t="shared" ca="1" si="21"/>
        <v>#NAME?</v>
      </c>
      <c r="L119" t="e">
        <f t="shared" ca="1" si="22"/>
        <v>#NAME?</v>
      </c>
      <c r="M119" t="e">
        <f t="shared" ca="1" si="23"/>
        <v>#NAME?</v>
      </c>
      <c r="N119" t="e">
        <f t="shared" ca="1" si="24"/>
        <v>#NAME?</v>
      </c>
      <c r="O119" t="e">
        <f t="shared" ca="1" si="25"/>
        <v>#NAME?</v>
      </c>
      <c r="P119" t="e">
        <f t="shared" ca="1" si="26"/>
        <v>#NAME?</v>
      </c>
      <c r="R119" t="e">
        <f t="shared" ca="1" si="27"/>
        <v>#NAME?</v>
      </c>
      <c r="S119" t="e">
        <f t="shared" ca="1" si="28"/>
        <v>#NAME?</v>
      </c>
      <c r="T119" t="e">
        <f t="shared" ca="1" si="29"/>
        <v>#NAME?</v>
      </c>
      <c r="U119" t="e">
        <f t="shared" ca="1" si="30"/>
        <v>#NAME?</v>
      </c>
      <c r="V119" t="e">
        <f t="shared" ca="1" si="31"/>
        <v>#NAME?</v>
      </c>
      <c r="W119" t="e">
        <f t="shared" ca="1" si="32"/>
        <v>#NAME?</v>
      </c>
      <c r="X119" t="e">
        <f t="shared" ca="1" si="33"/>
        <v>#NAME?</v>
      </c>
      <c r="Z119" s="15">
        <v>1</v>
      </c>
    </row>
    <row r="120" spans="1:26">
      <c r="A120" s="22" t="s">
        <v>207</v>
      </c>
      <c r="B120" s="90" t="s">
        <v>118</v>
      </c>
      <c r="C120" s="25"/>
      <c r="D120" s="25"/>
      <c r="E120" s="91" t="s">
        <v>116</v>
      </c>
      <c r="F120" s="25"/>
      <c r="G120" s="25"/>
      <c r="H120" s="25"/>
      <c r="J120" t="e">
        <f t="shared" ca="1" si="20"/>
        <v>#NAME?</v>
      </c>
      <c r="K120" t="e">
        <f t="shared" ca="1" si="21"/>
        <v>#NAME?</v>
      </c>
      <c r="L120" t="e">
        <f t="shared" ca="1" si="22"/>
        <v>#NAME?</v>
      </c>
      <c r="M120" t="e">
        <f t="shared" ca="1" si="23"/>
        <v>#NAME?</v>
      </c>
      <c r="N120" t="e">
        <f t="shared" ca="1" si="24"/>
        <v>#NAME?</v>
      </c>
      <c r="O120" t="e">
        <f t="shared" ca="1" si="25"/>
        <v>#NAME?</v>
      </c>
      <c r="P120" t="e">
        <f t="shared" ca="1" si="26"/>
        <v>#NAME?</v>
      </c>
      <c r="R120" t="e">
        <f t="shared" ca="1" si="27"/>
        <v>#NAME?</v>
      </c>
      <c r="S120" t="e">
        <f t="shared" ca="1" si="28"/>
        <v>#NAME?</v>
      </c>
      <c r="T120" t="e">
        <f t="shared" ca="1" si="29"/>
        <v>#NAME?</v>
      </c>
      <c r="U120" t="e">
        <f t="shared" ca="1" si="30"/>
        <v>#NAME?</v>
      </c>
      <c r="V120" t="e">
        <f t="shared" ca="1" si="31"/>
        <v>#NAME?</v>
      </c>
      <c r="W120" t="e">
        <f t="shared" ca="1" si="32"/>
        <v>#NAME?</v>
      </c>
      <c r="X120" t="e">
        <f t="shared" ca="1" si="33"/>
        <v>#NAME?</v>
      </c>
      <c r="Z120" s="15">
        <v>0.5</v>
      </c>
    </row>
    <row r="121" spans="1:26">
      <c r="A121" s="22" t="s">
        <v>208</v>
      </c>
      <c r="B121" s="28" t="s">
        <v>115</v>
      </c>
      <c r="C121" s="25"/>
      <c r="D121" s="90" t="s">
        <v>118</v>
      </c>
      <c r="E121" s="112"/>
      <c r="F121" s="112"/>
      <c r="G121" s="25"/>
      <c r="H121" s="25"/>
      <c r="J121" t="e">
        <f t="shared" ca="1" si="20"/>
        <v>#NAME?</v>
      </c>
      <c r="K121" t="e">
        <f t="shared" ca="1" si="21"/>
        <v>#NAME?</v>
      </c>
      <c r="L121" t="e">
        <f t="shared" ca="1" si="22"/>
        <v>#NAME?</v>
      </c>
      <c r="M121" t="e">
        <f t="shared" ca="1" si="23"/>
        <v>#NAME?</v>
      </c>
      <c r="N121" t="e">
        <f t="shared" ca="1" si="24"/>
        <v>#NAME?</v>
      </c>
      <c r="O121" t="e">
        <f t="shared" ca="1" si="25"/>
        <v>#NAME?</v>
      </c>
      <c r="P121" t="e">
        <f t="shared" ca="1" si="26"/>
        <v>#NAME?</v>
      </c>
      <c r="R121" t="e">
        <f t="shared" ca="1" si="27"/>
        <v>#NAME?</v>
      </c>
      <c r="S121" t="e">
        <f t="shared" ca="1" si="28"/>
        <v>#NAME?</v>
      </c>
      <c r="T121" t="e">
        <f t="shared" ca="1" si="29"/>
        <v>#NAME?</v>
      </c>
      <c r="U121" t="e">
        <f t="shared" ca="1" si="30"/>
        <v>#NAME?</v>
      </c>
      <c r="V121" t="e">
        <f t="shared" ca="1" si="31"/>
        <v>#NAME?</v>
      </c>
      <c r="W121" t="e">
        <f t="shared" ca="1" si="32"/>
        <v>#NAME?</v>
      </c>
      <c r="X121" t="e">
        <f t="shared" ca="1" si="33"/>
        <v>#NAME?</v>
      </c>
      <c r="Z121" s="15">
        <v>0.5</v>
      </c>
    </row>
    <row r="122" spans="1:26">
      <c r="A122" s="22" t="s">
        <v>209</v>
      </c>
      <c r="B122" s="25"/>
      <c r="C122" s="25"/>
      <c r="D122" s="25"/>
      <c r="E122" s="91" t="s">
        <v>116</v>
      </c>
      <c r="F122" s="25" t="s">
        <v>152</v>
      </c>
      <c r="G122" s="25"/>
      <c r="H122" s="25"/>
      <c r="J122" t="e">
        <f t="shared" ca="1" si="20"/>
        <v>#NAME?</v>
      </c>
      <c r="K122" t="e">
        <f t="shared" ca="1" si="21"/>
        <v>#NAME?</v>
      </c>
      <c r="L122" t="e">
        <f t="shared" ca="1" si="22"/>
        <v>#NAME?</v>
      </c>
      <c r="M122" t="e">
        <f t="shared" ca="1" si="23"/>
        <v>#NAME?</v>
      </c>
      <c r="N122" t="e">
        <f t="shared" ca="1" si="24"/>
        <v>#NAME?</v>
      </c>
      <c r="O122" t="e">
        <f t="shared" ca="1" si="25"/>
        <v>#NAME?</v>
      </c>
      <c r="P122" t="e">
        <f t="shared" ca="1" si="26"/>
        <v>#NAME?</v>
      </c>
      <c r="R122" t="e">
        <f t="shared" ca="1" si="27"/>
        <v>#NAME?</v>
      </c>
      <c r="S122" t="e">
        <f t="shared" ca="1" si="28"/>
        <v>#NAME?</v>
      </c>
      <c r="T122" t="e">
        <f t="shared" ca="1" si="29"/>
        <v>#NAME?</v>
      </c>
      <c r="U122" t="e">
        <f t="shared" ca="1" si="30"/>
        <v>#NAME?</v>
      </c>
      <c r="V122" t="e">
        <f t="shared" ca="1" si="31"/>
        <v>#NAME?</v>
      </c>
      <c r="W122" t="e">
        <f t="shared" ca="1" si="32"/>
        <v>#NAME?</v>
      </c>
      <c r="X122" t="e">
        <f t="shared" ca="1" si="33"/>
        <v>#NAME?</v>
      </c>
      <c r="Z122" s="15">
        <v>0.5</v>
      </c>
    </row>
    <row r="123" spans="1:26" ht="15" customHeight="1">
      <c r="A123" s="22" t="s">
        <v>210</v>
      </c>
      <c r="B123" s="100" t="s">
        <v>181</v>
      </c>
      <c r="C123" s="25"/>
      <c r="D123" s="25"/>
      <c r="E123" s="44" t="s">
        <v>186</v>
      </c>
      <c r="F123" s="25"/>
      <c r="G123" s="25"/>
      <c r="H123" s="25"/>
      <c r="J123" t="e">
        <f t="shared" ca="1" si="20"/>
        <v>#NAME?</v>
      </c>
      <c r="K123" t="e">
        <f t="shared" ca="1" si="21"/>
        <v>#NAME?</v>
      </c>
      <c r="L123" t="e">
        <f t="shared" ca="1" si="22"/>
        <v>#NAME?</v>
      </c>
      <c r="M123" t="e">
        <f t="shared" ca="1" si="23"/>
        <v>#NAME?</v>
      </c>
      <c r="N123" t="e">
        <f t="shared" ca="1" si="24"/>
        <v>#NAME?</v>
      </c>
      <c r="O123" t="e">
        <f t="shared" ca="1" si="25"/>
        <v>#NAME?</v>
      </c>
      <c r="P123" t="e">
        <f t="shared" ca="1" si="26"/>
        <v>#NAME?</v>
      </c>
      <c r="R123" t="e">
        <f t="shared" ca="1" si="27"/>
        <v>#NAME?</v>
      </c>
      <c r="S123" t="e">
        <f t="shared" ca="1" si="28"/>
        <v>#NAME?</v>
      </c>
      <c r="T123" t="e">
        <f t="shared" ca="1" si="29"/>
        <v>#NAME?</v>
      </c>
      <c r="U123" t="e">
        <f t="shared" ca="1" si="30"/>
        <v>#NAME?</v>
      </c>
      <c r="V123" t="e">
        <f t="shared" ca="1" si="31"/>
        <v>#NAME?</v>
      </c>
      <c r="W123" t="e">
        <f t="shared" ca="1" si="32"/>
        <v>#NAME?</v>
      </c>
      <c r="X123" t="e">
        <f t="shared" ca="1" si="33"/>
        <v>#NAME?</v>
      </c>
      <c r="Z123" s="15">
        <v>0.5</v>
      </c>
    </row>
    <row r="124" spans="1:26">
      <c r="A124" s="22" t="s">
        <v>212</v>
      </c>
      <c r="B124" s="25" t="s">
        <v>152</v>
      </c>
      <c r="C124" s="25" t="s">
        <v>152</v>
      </c>
      <c r="D124" s="25" t="s">
        <v>152</v>
      </c>
      <c r="E124" s="25"/>
      <c r="F124" s="25"/>
      <c r="G124" s="25"/>
      <c r="H124" s="91" t="s">
        <v>116</v>
      </c>
      <c r="J124" t="e">
        <f t="shared" ca="1" si="20"/>
        <v>#NAME?</v>
      </c>
      <c r="K124" t="e">
        <f t="shared" ca="1" si="21"/>
        <v>#NAME?</v>
      </c>
      <c r="L124" t="e">
        <f t="shared" ca="1" si="22"/>
        <v>#NAME?</v>
      </c>
      <c r="M124" t="e">
        <f t="shared" ca="1" si="23"/>
        <v>#NAME?</v>
      </c>
      <c r="N124" t="e">
        <f t="shared" ca="1" si="24"/>
        <v>#NAME?</v>
      </c>
      <c r="O124" t="e">
        <f t="shared" ca="1" si="25"/>
        <v>#NAME?</v>
      </c>
      <c r="P124" t="e">
        <f t="shared" ca="1" si="26"/>
        <v>#NAME?</v>
      </c>
      <c r="R124" t="e">
        <f t="shared" ca="1" si="27"/>
        <v>#NAME?</v>
      </c>
      <c r="S124" t="e">
        <f t="shared" ca="1" si="28"/>
        <v>#NAME?</v>
      </c>
      <c r="T124" t="e">
        <f t="shared" ca="1" si="29"/>
        <v>#NAME?</v>
      </c>
      <c r="U124" t="e">
        <f t="shared" ca="1" si="30"/>
        <v>#NAME?</v>
      </c>
      <c r="V124" t="e">
        <f t="shared" ca="1" si="31"/>
        <v>#NAME?</v>
      </c>
      <c r="W124" t="e">
        <f t="shared" ca="1" si="32"/>
        <v>#NAME?</v>
      </c>
      <c r="X124" t="e">
        <f t="shared" ca="1" si="33"/>
        <v>#NAME?</v>
      </c>
      <c r="Z124" s="15">
        <v>1</v>
      </c>
    </row>
    <row r="125" spans="1:26">
      <c r="A125" s="22" t="s">
        <v>213</v>
      </c>
      <c r="B125" s="110" t="s">
        <v>142</v>
      </c>
      <c r="C125" s="25"/>
      <c r="D125" s="101" t="s">
        <v>116</v>
      </c>
      <c r="E125" s="25"/>
      <c r="F125" s="25"/>
      <c r="G125" s="91" t="s">
        <v>116</v>
      </c>
      <c r="H125" s="110" t="s">
        <v>139</v>
      </c>
      <c r="J125" t="e">
        <f t="shared" ca="1" si="20"/>
        <v>#NAME?</v>
      </c>
      <c r="K125" t="e">
        <f t="shared" ca="1" si="21"/>
        <v>#NAME?</v>
      </c>
      <c r="L125" t="e">
        <f t="shared" ca="1" si="22"/>
        <v>#NAME?</v>
      </c>
      <c r="M125" t="e">
        <f t="shared" ca="1" si="23"/>
        <v>#NAME?</v>
      </c>
      <c r="N125" t="e">
        <f t="shared" ca="1" si="24"/>
        <v>#NAME?</v>
      </c>
      <c r="O125" t="e">
        <f t="shared" ca="1" si="25"/>
        <v>#NAME?</v>
      </c>
      <c r="P125" t="e">
        <f t="shared" ca="1" si="26"/>
        <v>#NAME?</v>
      </c>
      <c r="R125" t="e">
        <f t="shared" ca="1" si="27"/>
        <v>#NAME?</v>
      </c>
      <c r="S125" t="e">
        <f t="shared" ca="1" si="28"/>
        <v>#NAME?</v>
      </c>
      <c r="T125" t="e">
        <f t="shared" ca="1" si="29"/>
        <v>#NAME?</v>
      </c>
      <c r="U125" t="e">
        <f t="shared" ca="1" si="30"/>
        <v>#NAME?</v>
      </c>
      <c r="V125" t="e">
        <f t="shared" ca="1" si="31"/>
        <v>#NAME?</v>
      </c>
      <c r="W125" t="e">
        <f t="shared" ca="1" si="32"/>
        <v>#NAME?</v>
      </c>
      <c r="X125" t="e">
        <f t="shared" ca="1" si="33"/>
        <v>#NAME?</v>
      </c>
      <c r="Z125" s="15">
        <v>1</v>
      </c>
    </row>
    <row r="126" spans="1:26">
      <c r="A126" s="106" t="s">
        <v>214</v>
      </c>
      <c r="B126" s="107" t="str">
        <f t="shared" ref="B126:H126" si="36">B57</f>
        <v>Mon 11 May</v>
      </c>
      <c r="C126" s="107" t="str">
        <f t="shared" si="36"/>
        <v>Tues 12 May</v>
      </c>
      <c r="D126" s="107" t="str">
        <f t="shared" si="36"/>
        <v>Wed 13 May</v>
      </c>
      <c r="E126" s="107" t="str">
        <f t="shared" si="36"/>
        <v>Thu 14 May</v>
      </c>
      <c r="F126" s="107" t="str">
        <f t="shared" si="36"/>
        <v>Fri 15 May</v>
      </c>
      <c r="G126" s="107" t="str">
        <f t="shared" si="36"/>
        <v>Sat 16 May</v>
      </c>
      <c r="H126" s="107" t="str">
        <f t="shared" si="36"/>
        <v>Sun 17 May</v>
      </c>
      <c r="J126" t="e">
        <f t="shared" ca="1" si="20"/>
        <v>#NAME?</v>
      </c>
      <c r="K126" t="e">
        <f t="shared" ca="1" si="21"/>
        <v>#NAME?</v>
      </c>
      <c r="L126" t="e">
        <f t="shared" ca="1" si="22"/>
        <v>#NAME?</v>
      </c>
      <c r="M126" t="e">
        <f t="shared" ca="1" si="23"/>
        <v>#NAME?</v>
      </c>
      <c r="N126" t="e">
        <f t="shared" ca="1" si="24"/>
        <v>#NAME?</v>
      </c>
      <c r="O126" t="e">
        <f t="shared" ca="1" si="25"/>
        <v>#NAME?</v>
      </c>
      <c r="P126" t="e">
        <f t="shared" ca="1" si="26"/>
        <v>#NAME?</v>
      </c>
      <c r="R126" t="e">
        <f t="shared" ca="1" si="27"/>
        <v>#NAME?</v>
      </c>
      <c r="S126" t="e">
        <f t="shared" ca="1" si="28"/>
        <v>#NAME?</v>
      </c>
      <c r="T126" t="e">
        <f t="shared" ca="1" si="29"/>
        <v>#NAME?</v>
      </c>
      <c r="U126" t="e">
        <f t="shared" ca="1" si="30"/>
        <v>#NAME?</v>
      </c>
      <c r="V126" t="e">
        <f t="shared" ca="1" si="31"/>
        <v>#NAME?</v>
      </c>
      <c r="W126" t="e">
        <f t="shared" ca="1" si="32"/>
        <v>#NAME?</v>
      </c>
      <c r="X126" t="e">
        <f t="shared" ca="1" si="33"/>
        <v>#NAME?</v>
      </c>
      <c r="Z126" s="53"/>
    </row>
    <row r="127" spans="1:26">
      <c r="A127" s="22" t="s">
        <v>215</v>
      </c>
      <c r="B127" s="91" t="s">
        <v>116</v>
      </c>
      <c r="C127" s="90" t="s">
        <v>116</v>
      </c>
      <c r="D127" s="25"/>
      <c r="E127" s="25"/>
      <c r="F127" s="25"/>
      <c r="G127" s="101" t="s">
        <v>118</v>
      </c>
      <c r="H127" s="44" t="s">
        <v>186</v>
      </c>
      <c r="J127" t="e">
        <f t="shared" ca="1" si="20"/>
        <v>#NAME?</v>
      </c>
      <c r="K127" t="e">
        <f t="shared" ca="1" si="21"/>
        <v>#NAME?</v>
      </c>
      <c r="L127" t="e">
        <f t="shared" ca="1" si="22"/>
        <v>#NAME?</v>
      </c>
      <c r="M127" t="e">
        <f t="shared" ca="1" si="23"/>
        <v>#NAME?</v>
      </c>
      <c r="N127" t="e">
        <f t="shared" ca="1" si="24"/>
        <v>#NAME?</v>
      </c>
      <c r="O127" t="e">
        <f t="shared" ca="1" si="25"/>
        <v>#NAME?</v>
      </c>
      <c r="P127" t="e">
        <f t="shared" ca="1" si="26"/>
        <v>#NAME?</v>
      </c>
      <c r="R127" t="e">
        <f t="shared" ca="1" si="27"/>
        <v>#NAME?</v>
      </c>
      <c r="S127" t="e">
        <f t="shared" ca="1" si="28"/>
        <v>#NAME?</v>
      </c>
      <c r="T127" t="e">
        <f t="shared" ca="1" si="29"/>
        <v>#NAME?</v>
      </c>
      <c r="U127" t="e">
        <f t="shared" ca="1" si="30"/>
        <v>#NAME?</v>
      </c>
      <c r="V127" t="e">
        <f t="shared" ca="1" si="31"/>
        <v>#NAME?</v>
      </c>
      <c r="W127" t="e">
        <f t="shared" ca="1" si="32"/>
        <v>#NAME?</v>
      </c>
      <c r="X127" t="e">
        <f t="shared" ca="1" si="33"/>
        <v>#NAME?</v>
      </c>
      <c r="Z127" s="15">
        <v>1</v>
      </c>
    </row>
    <row r="128" spans="1:26">
      <c r="A128" s="22" t="s">
        <v>216</v>
      </c>
      <c r="B128" s="90" t="s">
        <v>118</v>
      </c>
      <c r="C128" s="110" t="s">
        <v>139</v>
      </c>
      <c r="D128" s="25" t="s">
        <v>152</v>
      </c>
      <c r="E128" s="25" t="s">
        <v>152</v>
      </c>
      <c r="F128" s="25"/>
      <c r="G128" s="25"/>
      <c r="H128" s="25"/>
      <c r="J128" t="e">
        <f t="shared" ca="1" si="20"/>
        <v>#NAME?</v>
      </c>
      <c r="K128" t="e">
        <f t="shared" ca="1" si="21"/>
        <v>#NAME?</v>
      </c>
      <c r="L128" t="e">
        <f t="shared" ca="1" si="22"/>
        <v>#NAME?</v>
      </c>
      <c r="M128" t="e">
        <f t="shared" ca="1" si="23"/>
        <v>#NAME?</v>
      </c>
      <c r="N128" t="e">
        <f t="shared" ca="1" si="24"/>
        <v>#NAME?</v>
      </c>
      <c r="O128" t="e">
        <f t="shared" ca="1" si="25"/>
        <v>#NAME?</v>
      </c>
      <c r="P128" t="e">
        <f t="shared" ca="1" si="26"/>
        <v>#NAME?</v>
      </c>
      <c r="R128" t="e">
        <f t="shared" ca="1" si="27"/>
        <v>#NAME?</v>
      </c>
      <c r="S128" t="e">
        <f t="shared" ca="1" si="28"/>
        <v>#NAME?</v>
      </c>
      <c r="T128" t="e">
        <f t="shared" ca="1" si="29"/>
        <v>#NAME?</v>
      </c>
      <c r="U128" t="e">
        <f t="shared" ca="1" si="30"/>
        <v>#NAME?</v>
      </c>
      <c r="V128" t="e">
        <f t="shared" ca="1" si="31"/>
        <v>#NAME?</v>
      </c>
      <c r="W128" t="e">
        <f t="shared" ca="1" si="32"/>
        <v>#NAME?</v>
      </c>
      <c r="X128" t="e">
        <f t="shared" ca="1" si="33"/>
        <v>#NAME?</v>
      </c>
      <c r="Z128" s="15">
        <v>1</v>
      </c>
    </row>
    <row r="129" spans="1:34">
      <c r="A129" s="22" t="s">
        <v>217</v>
      </c>
      <c r="B129" s="130" t="s">
        <v>18</v>
      </c>
      <c r="C129" s="131"/>
      <c r="D129" s="131"/>
      <c r="E129" s="131"/>
      <c r="F129" s="131"/>
      <c r="G129" s="131"/>
      <c r="H129" s="132"/>
      <c r="J129" t="e">
        <f t="shared" ca="1" si="20"/>
        <v>#NAME?</v>
      </c>
      <c r="K129" t="e">
        <f t="shared" ca="1" si="21"/>
        <v>#NAME?</v>
      </c>
      <c r="L129" t="e">
        <f t="shared" ca="1" si="22"/>
        <v>#NAME?</v>
      </c>
      <c r="M129" t="e">
        <f t="shared" ca="1" si="23"/>
        <v>#NAME?</v>
      </c>
      <c r="N129" t="e">
        <f t="shared" ca="1" si="24"/>
        <v>#NAME?</v>
      </c>
      <c r="O129" t="e">
        <f t="shared" ca="1" si="25"/>
        <v>#NAME?</v>
      </c>
      <c r="P129" t="e">
        <f t="shared" ca="1" si="26"/>
        <v>#NAME?</v>
      </c>
      <c r="R129" t="e">
        <f t="shared" ca="1" si="27"/>
        <v>#NAME?</v>
      </c>
      <c r="S129" t="e">
        <f t="shared" ca="1" si="28"/>
        <v>#NAME?</v>
      </c>
      <c r="T129" t="e">
        <f t="shared" ca="1" si="29"/>
        <v>#NAME?</v>
      </c>
      <c r="U129" t="e">
        <f t="shared" ca="1" si="30"/>
        <v>#NAME?</v>
      </c>
      <c r="V129" t="e">
        <f t="shared" ca="1" si="31"/>
        <v>#NAME?</v>
      </c>
      <c r="W129" t="e">
        <f t="shared" ca="1" si="32"/>
        <v>#NAME?</v>
      </c>
      <c r="X129" t="e">
        <f t="shared" ca="1" si="33"/>
        <v>#NAME?</v>
      </c>
      <c r="Z129" s="15">
        <v>1</v>
      </c>
    </row>
    <row r="130" spans="1:34">
      <c r="A130" s="22" t="s">
        <v>218</v>
      </c>
      <c r="B130" s="90" t="s">
        <v>116</v>
      </c>
      <c r="C130" s="25"/>
      <c r="D130" s="91" t="s">
        <v>118</v>
      </c>
      <c r="E130" s="25"/>
      <c r="F130" s="25"/>
      <c r="G130" s="44" t="s">
        <v>189</v>
      </c>
      <c r="H130" s="101" t="s">
        <v>116</v>
      </c>
      <c r="J130" t="e">
        <f t="shared" ca="1" si="20"/>
        <v>#NAME?</v>
      </c>
      <c r="K130" t="e">
        <f t="shared" ca="1" si="21"/>
        <v>#NAME?</v>
      </c>
      <c r="L130" t="e">
        <f t="shared" ca="1" si="22"/>
        <v>#NAME?</v>
      </c>
      <c r="M130" t="e">
        <f t="shared" ca="1" si="23"/>
        <v>#NAME?</v>
      </c>
      <c r="N130" t="e">
        <f t="shared" ca="1" si="24"/>
        <v>#NAME?</v>
      </c>
      <c r="O130" t="e">
        <f t="shared" ca="1" si="25"/>
        <v>#NAME?</v>
      </c>
      <c r="P130" t="e">
        <f t="shared" ca="1" si="26"/>
        <v>#NAME?</v>
      </c>
      <c r="R130" t="e">
        <f t="shared" ca="1" si="27"/>
        <v>#NAME?</v>
      </c>
      <c r="S130" t="e">
        <f t="shared" ca="1" si="28"/>
        <v>#NAME?</v>
      </c>
      <c r="T130" t="e">
        <f t="shared" ca="1" si="29"/>
        <v>#NAME?</v>
      </c>
      <c r="U130" t="e">
        <f t="shared" ca="1" si="30"/>
        <v>#NAME?</v>
      </c>
      <c r="V130" t="e">
        <f t="shared" ca="1" si="31"/>
        <v>#NAME?</v>
      </c>
      <c r="W130" t="e">
        <f t="shared" ca="1" si="32"/>
        <v>#NAME?</v>
      </c>
      <c r="X130" t="e">
        <f t="shared" ca="1" si="33"/>
        <v>#NAME?</v>
      </c>
      <c r="Z130" s="15">
        <v>1</v>
      </c>
    </row>
    <row r="131" spans="1:34">
      <c r="A131" s="22" t="s">
        <v>219</v>
      </c>
      <c r="B131" s="101" t="s">
        <v>118</v>
      </c>
      <c r="C131" s="91" t="s">
        <v>118</v>
      </c>
      <c r="D131" s="91" t="s">
        <v>116</v>
      </c>
      <c r="E131" s="44" t="s">
        <v>189</v>
      </c>
      <c r="F131" s="25"/>
      <c r="G131" s="25"/>
      <c r="H131" s="25"/>
      <c r="J131" t="e">
        <f t="shared" ca="1" si="20"/>
        <v>#NAME?</v>
      </c>
      <c r="K131" t="e">
        <f t="shared" ca="1" si="21"/>
        <v>#NAME?</v>
      </c>
      <c r="L131" t="e">
        <f t="shared" ca="1" si="22"/>
        <v>#NAME?</v>
      </c>
      <c r="M131" t="e">
        <f t="shared" ca="1" si="23"/>
        <v>#NAME?</v>
      </c>
      <c r="N131" t="e">
        <f t="shared" ca="1" si="24"/>
        <v>#NAME?</v>
      </c>
      <c r="O131" t="e">
        <f t="shared" ca="1" si="25"/>
        <v>#NAME?</v>
      </c>
      <c r="P131" t="e">
        <f t="shared" ca="1" si="26"/>
        <v>#NAME?</v>
      </c>
      <c r="R131" t="e">
        <f t="shared" ca="1" si="27"/>
        <v>#NAME?</v>
      </c>
      <c r="S131" t="e">
        <f t="shared" ca="1" si="28"/>
        <v>#NAME?</v>
      </c>
      <c r="T131" t="e">
        <f t="shared" ca="1" si="29"/>
        <v>#NAME?</v>
      </c>
      <c r="U131" t="e">
        <f t="shared" ca="1" si="30"/>
        <v>#NAME?</v>
      </c>
      <c r="V131" t="e">
        <f t="shared" ca="1" si="31"/>
        <v>#NAME?</v>
      </c>
      <c r="W131" t="e">
        <f t="shared" ca="1" si="32"/>
        <v>#NAME?</v>
      </c>
      <c r="X131" t="e">
        <f t="shared" ca="1" si="33"/>
        <v>#NAME?</v>
      </c>
      <c r="Z131" s="15">
        <v>1</v>
      </c>
    </row>
    <row r="132" spans="1:34">
      <c r="A132" s="22" t="s">
        <v>220</v>
      </c>
      <c r="B132" s="25"/>
      <c r="C132" s="25"/>
      <c r="D132" s="25"/>
      <c r="E132" s="25"/>
      <c r="F132" s="44" t="s">
        <v>186</v>
      </c>
      <c r="G132" s="101" t="s">
        <v>116</v>
      </c>
      <c r="H132" s="90" t="s">
        <v>116</v>
      </c>
      <c r="J132" t="e">
        <f t="shared" ref="J132:J139" ca="1" si="37">colorindex(B132)</f>
        <v>#NAME?</v>
      </c>
      <c r="K132" t="e">
        <f t="shared" ref="K132:K139" ca="1" si="38">colorindex(C132)</f>
        <v>#NAME?</v>
      </c>
      <c r="L132" t="e">
        <f t="shared" ref="L132:L139" ca="1" si="39">colorindex(D132)</f>
        <v>#NAME?</v>
      </c>
      <c r="M132" t="e">
        <f t="shared" ref="M132:M139" ca="1" si="40">colorindex(E132)</f>
        <v>#NAME?</v>
      </c>
      <c r="N132" t="e">
        <f t="shared" ref="N132:N139" ca="1" si="41">colorindex(F132)</f>
        <v>#NAME?</v>
      </c>
      <c r="O132" t="e">
        <f t="shared" ref="O132:O139" ca="1" si="42">colorindex(G132)</f>
        <v>#NAME?</v>
      </c>
      <c r="P132" t="e">
        <f t="shared" ref="P132:P139" ca="1" si="43">colorindex(H132)</f>
        <v>#NAME?</v>
      </c>
      <c r="R132" t="e">
        <f t="shared" ref="R132:R139" ca="1" si="44">ShiftIndex(B132)</f>
        <v>#NAME?</v>
      </c>
      <c r="S132" t="e">
        <f t="shared" ref="S132:S139" ca="1" si="45">ShiftIndex(C132)</f>
        <v>#NAME?</v>
      </c>
      <c r="T132" t="e">
        <f t="shared" ref="T132:T139" ca="1" si="46">ShiftIndex(D132)</f>
        <v>#NAME?</v>
      </c>
      <c r="U132" t="e">
        <f t="shared" ref="U132:U139" ca="1" si="47">ShiftIndex(E132)</f>
        <v>#NAME?</v>
      </c>
      <c r="V132" t="e">
        <f t="shared" ref="V132:V139" ca="1" si="48">ShiftIndex(F132)</f>
        <v>#NAME?</v>
      </c>
      <c r="W132" t="e">
        <f t="shared" ref="W132:W139" ca="1" si="49">ShiftIndex(G132)</f>
        <v>#NAME?</v>
      </c>
      <c r="X132" t="e">
        <f t="shared" ref="X132:X139" ca="1" si="50">ShiftIndex(H132)</f>
        <v>#NAME?</v>
      </c>
      <c r="Z132" s="15">
        <v>1</v>
      </c>
    </row>
    <row r="133" spans="1:34">
      <c r="A133" s="22" t="s">
        <v>221</v>
      </c>
      <c r="B133" s="91" t="s">
        <v>116</v>
      </c>
      <c r="C133" s="44" t="s">
        <v>189</v>
      </c>
      <c r="D133" s="25"/>
      <c r="E133" s="91" t="s">
        <v>118</v>
      </c>
      <c r="F133" s="101" t="s">
        <v>116</v>
      </c>
      <c r="G133" s="25"/>
      <c r="H133" s="25"/>
      <c r="J133" t="e">
        <f t="shared" ca="1" si="37"/>
        <v>#NAME?</v>
      </c>
      <c r="K133" t="e">
        <f t="shared" ca="1" si="38"/>
        <v>#NAME?</v>
      </c>
      <c r="L133" t="e">
        <f t="shared" ca="1" si="39"/>
        <v>#NAME?</v>
      </c>
      <c r="M133" t="e">
        <f t="shared" ca="1" si="40"/>
        <v>#NAME?</v>
      </c>
      <c r="N133" t="e">
        <f t="shared" ca="1" si="41"/>
        <v>#NAME?</v>
      </c>
      <c r="O133" t="e">
        <f t="shared" ca="1" si="42"/>
        <v>#NAME?</v>
      </c>
      <c r="P133" t="e">
        <f t="shared" ca="1" si="43"/>
        <v>#NAME?</v>
      </c>
      <c r="R133" t="e">
        <f t="shared" ca="1" si="44"/>
        <v>#NAME?</v>
      </c>
      <c r="S133" t="e">
        <f t="shared" ca="1" si="45"/>
        <v>#NAME?</v>
      </c>
      <c r="T133" t="e">
        <f t="shared" ca="1" si="46"/>
        <v>#NAME?</v>
      </c>
      <c r="U133" t="e">
        <f t="shared" ca="1" si="47"/>
        <v>#NAME?</v>
      </c>
      <c r="V133" t="e">
        <f t="shared" ca="1" si="48"/>
        <v>#NAME?</v>
      </c>
      <c r="W133" t="e">
        <f t="shared" ca="1" si="49"/>
        <v>#NAME?</v>
      </c>
      <c r="X133" t="e">
        <f t="shared" ca="1" si="50"/>
        <v>#NAME?</v>
      </c>
      <c r="Z133" s="15">
        <v>1</v>
      </c>
    </row>
    <row r="134" spans="1:34">
      <c r="A134" s="22" t="s">
        <v>222</v>
      </c>
      <c r="B134" s="25"/>
      <c r="C134" s="44" t="s">
        <v>186</v>
      </c>
      <c r="D134" s="101" t="s">
        <v>118</v>
      </c>
      <c r="E134" s="25"/>
      <c r="F134" s="25" t="s">
        <v>152</v>
      </c>
      <c r="G134" s="25" t="s">
        <v>152</v>
      </c>
      <c r="H134" s="25" t="s">
        <v>152</v>
      </c>
      <c r="J134" t="e">
        <f t="shared" ca="1" si="37"/>
        <v>#NAME?</v>
      </c>
      <c r="K134" t="e">
        <f t="shared" ca="1" si="38"/>
        <v>#NAME?</v>
      </c>
      <c r="L134" t="e">
        <f t="shared" ca="1" si="39"/>
        <v>#NAME?</v>
      </c>
      <c r="M134" t="e">
        <f t="shared" ca="1" si="40"/>
        <v>#NAME?</v>
      </c>
      <c r="N134" t="e">
        <f t="shared" ca="1" si="41"/>
        <v>#NAME?</v>
      </c>
      <c r="O134" t="e">
        <f t="shared" ca="1" si="42"/>
        <v>#NAME?</v>
      </c>
      <c r="P134" t="e">
        <f t="shared" ca="1" si="43"/>
        <v>#NAME?</v>
      </c>
      <c r="R134" t="e">
        <f t="shared" ca="1" si="44"/>
        <v>#NAME?</v>
      </c>
      <c r="S134" t="e">
        <f t="shared" ca="1" si="45"/>
        <v>#NAME?</v>
      </c>
      <c r="T134" t="e">
        <f t="shared" ca="1" si="46"/>
        <v>#NAME?</v>
      </c>
      <c r="U134" t="e">
        <f t="shared" ca="1" si="47"/>
        <v>#NAME?</v>
      </c>
      <c r="V134" t="e">
        <f t="shared" ca="1" si="48"/>
        <v>#NAME?</v>
      </c>
      <c r="W134" t="e">
        <f t="shared" ca="1" si="49"/>
        <v>#NAME?</v>
      </c>
      <c r="X134" t="e">
        <f t="shared" ca="1" si="50"/>
        <v>#NAME?</v>
      </c>
      <c r="Z134" s="15">
        <v>1</v>
      </c>
    </row>
    <row r="135" spans="1:34">
      <c r="A135" s="106" t="s">
        <v>223</v>
      </c>
      <c r="B135" s="107" t="str">
        <f t="shared" ref="B135:H135" si="51">B100</f>
        <v>Mon 11 May</v>
      </c>
      <c r="C135" s="107" t="str">
        <f t="shared" si="51"/>
        <v>Tues 12 May</v>
      </c>
      <c r="D135" s="107" t="str">
        <f t="shared" si="51"/>
        <v>Wed 13 May</v>
      </c>
      <c r="E135" s="107" t="str">
        <f t="shared" si="51"/>
        <v>Thu 14 May</v>
      </c>
      <c r="F135" s="107" t="str">
        <f t="shared" si="51"/>
        <v>Fri 15 May</v>
      </c>
      <c r="G135" s="107" t="str">
        <f t="shared" si="51"/>
        <v>Sat 16 May</v>
      </c>
      <c r="H135" s="107" t="str">
        <f t="shared" si="51"/>
        <v>Sun 17 May</v>
      </c>
      <c r="J135" t="e">
        <f t="shared" ca="1" si="37"/>
        <v>#NAME?</v>
      </c>
      <c r="K135" t="e">
        <f t="shared" ca="1" si="38"/>
        <v>#NAME?</v>
      </c>
      <c r="L135" t="e">
        <f t="shared" ca="1" si="39"/>
        <v>#NAME?</v>
      </c>
      <c r="M135" t="e">
        <f t="shared" ca="1" si="40"/>
        <v>#NAME?</v>
      </c>
      <c r="N135" t="e">
        <f t="shared" ca="1" si="41"/>
        <v>#NAME?</v>
      </c>
      <c r="O135" t="e">
        <f t="shared" ca="1" si="42"/>
        <v>#NAME?</v>
      </c>
      <c r="P135" t="e">
        <f t="shared" ca="1" si="43"/>
        <v>#NAME?</v>
      </c>
      <c r="R135" t="e">
        <f t="shared" ca="1" si="44"/>
        <v>#NAME?</v>
      </c>
      <c r="S135" t="e">
        <f t="shared" ca="1" si="45"/>
        <v>#NAME?</v>
      </c>
      <c r="T135" t="e">
        <f t="shared" ca="1" si="46"/>
        <v>#NAME?</v>
      </c>
      <c r="U135" t="e">
        <f t="shared" ca="1" si="47"/>
        <v>#NAME?</v>
      </c>
      <c r="V135" t="e">
        <f t="shared" ca="1" si="48"/>
        <v>#NAME?</v>
      </c>
      <c r="W135" t="e">
        <f t="shared" ca="1" si="49"/>
        <v>#NAME?</v>
      </c>
      <c r="X135" t="e">
        <f t="shared" ca="1" si="50"/>
        <v>#NAME?</v>
      </c>
      <c r="Z135" s="53">
        <f>SUM(Z127:Z134)</f>
        <v>8</v>
      </c>
      <c r="AA135" s="55"/>
      <c r="AB135" s="55"/>
      <c r="AC135" s="55"/>
    </row>
    <row r="136" spans="1:34">
      <c r="A136" s="21" t="s">
        <v>231</v>
      </c>
      <c r="B136" s="110" t="s">
        <v>139</v>
      </c>
      <c r="C136" s="25"/>
      <c r="D136" s="25"/>
      <c r="E136" s="25"/>
      <c r="F136" s="25"/>
      <c r="G136" s="25"/>
      <c r="H136" s="25"/>
      <c r="J136" t="e">
        <f t="shared" ca="1" si="37"/>
        <v>#NAME?</v>
      </c>
      <c r="K136" t="e">
        <f t="shared" ca="1" si="38"/>
        <v>#NAME?</v>
      </c>
      <c r="L136" t="e">
        <f t="shared" ca="1" si="39"/>
        <v>#NAME?</v>
      </c>
      <c r="M136" t="e">
        <f t="shared" ca="1" si="40"/>
        <v>#NAME?</v>
      </c>
      <c r="N136" t="e">
        <f t="shared" ca="1" si="41"/>
        <v>#NAME?</v>
      </c>
      <c r="O136" t="e">
        <f t="shared" ca="1" si="42"/>
        <v>#NAME?</v>
      </c>
      <c r="P136" t="e">
        <f t="shared" ca="1" si="43"/>
        <v>#NAME?</v>
      </c>
      <c r="R136" t="e">
        <f t="shared" ca="1" si="44"/>
        <v>#NAME?</v>
      </c>
      <c r="S136" t="e">
        <f t="shared" ca="1" si="45"/>
        <v>#NAME?</v>
      </c>
      <c r="T136" t="e">
        <f t="shared" ca="1" si="46"/>
        <v>#NAME?</v>
      </c>
      <c r="U136" t="e">
        <f t="shared" ca="1" si="47"/>
        <v>#NAME?</v>
      </c>
      <c r="V136" t="e">
        <f t="shared" ca="1" si="48"/>
        <v>#NAME?</v>
      </c>
      <c r="W136" t="e">
        <f t="shared" ca="1" si="49"/>
        <v>#NAME?</v>
      </c>
      <c r="X136" t="e">
        <f t="shared" ca="1" si="50"/>
        <v>#NAME?</v>
      </c>
      <c r="AA136" s="56"/>
      <c r="AB136" s="55"/>
      <c r="AC136" s="56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37"/>
        <v>#NAME?</v>
      </c>
      <c r="K137" t="e">
        <f t="shared" ca="1" si="38"/>
        <v>#NAME?</v>
      </c>
      <c r="L137" t="e">
        <f t="shared" ca="1" si="39"/>
        <v>#NAME?</v>
      </c>
      <c r="M137" t="e">
        <f t="shared" ca="1" si="40"/>
        <v>#NAME?</v>
      </c>
      <c r="N137" t="e">
        <f t="shared" ca="1" si="41"/>
        <v>#NAME?</v>
      </c>
      <c r="O137" t="e">
        <f t="shared" ca="1" si="42"/>
        <v>#NAME?</v>
      </c>
      <c r="P137" t="e">
        <f t="shared" ca="1" si="43"/>
        <v>#NAME?</v>
      </c>
      <c r="R137" t="e">
        <f t="shared" ca="1" si="44"/>
        <v>#NAME?</v>
      </c>
      <c r="S137" t="e">
        <f t="shared" ca="1" si="45"/>
        <v>#NAME?</v>
      </c>
      <c r="T137" t="e">
        <f t="shared" ca="1" si="46"/>
        <v>#NAME?</v>
      </c>
      <c r="U137" t="e">
        <f t="shared" ca="1" si="47"/>
        <v>#NAME?</v>
      </c>
      <c r="V137" t="e">
        <f t="shared" ca="1" si="48"/>
        <v>#NAME?</v>
      </c>
      <c r="W137" t="e">
        <f t="shared" ca="1" si="49"/>
        <v>#NAME?</v>
      </c>
      <c r="X137" t="e">
        <f t="shared" ca="1" si="50"/>
        <v>#NAME?</v>
      </c>
      <c r="AA137" s="56"/>
      <c r="AB137" s="55"/>
      <c r="AC137" s="56"/>
    </row>
    <row r="138" spans="1:34" s="6" customFormat="1" ht="15" customHeight="1">
      <c r="A138" s="106" t="s">
        <v>235</v>
      </c>
      <c r="B138" s="107" t="str">
        <f t="shared" ref="B138:H138" si="52">B135</f>
        <v>Mon 11 May</v>
      </c>
      <c r="C138" s="107" t="str">
        <f t="shared" si="52"/>
        <v>Tues 12 May</v>
      </c>
      <c r="D138" s="107" t="str">
        <f t="shared" si="52"/>
        <v>Wed 13 May</v>
      </c>
      <c r="E138" s="107" t="str">
        <f t="shared" si="52"/>
        <v>Thu 14 May</v>
      </c>
      <c r="F138" s="107" t="str">
        <f t="shared" si="52"/>
        <v>Fri 15 May</v>
      </c>
      <c r="G138" s="107" t="str">
        <f t="shared" si="52"/>
        <v>Sat 16 May</v>
      </c>
      <c r="H138" s="107" t="str">
        <f t="shared" si="52"/>
        <v>Sun 17 May</v>
      </c>
      <c r="J138" t="e">
        <f t="shared" ca="1" si="37"/>
        <v>#NAME?</v>
      </c>
      <c r="K138" t="e">
        <f t="shared" ca="1" si="38"/>
        <v>#NAME?</v>
      </c>
      <c r="L138" t="e">
        <f t="shared" ca="1" si="39"/>
        <v>#NAME?</v>
      </c>
      <c r="M138" t="e">
        <f t="shared" ca="1" si="40"/>
        <v>#NAME?</v>
      </c>
      <c r="N138" t="e">
        <f t="shared" ca="1" si="41"/>
        <v>#NAME?</v>
      </c>
      <c r="O138" t="e">
        <f t="shared" ca="1" si="42"/>
        <v>#NAME?</v>
      </c>
      <c r="P138" t="e">
        <f t="shared" ca="1" si="43"/>
        <v>#NAME?</v>
      </c>
      <c r="Q138"/>
      <c r="R138" t="e">
        <f t="shared" ca="1" si="44"/>
        <v>#NAME?</v>
      </c>
      <c r="S138" t="e">
        <f t="shared" ca="1" si="45"/>
        <v>#NAME?</v>
      </c>
      <c r="T138" t="e">
        <f t="shared" ca="1" si="46"/>
        <v>#NAME?</v>
      </c>
      <c r="U138" t="e">
        <f t="shared" ca="1" si="47"/>
        <v>#NAME?</v>
      </c>
      <c r="V138" t="e">
        <f t="shared" ca="1" si="48"/>
        <v>#NAME?</v>
      </c>
      <c r="W138" t="e">
        <f t="shared" ca="1" si="49"/>
        <v>#NAME?</v>
      </c>
      <c r="X138" t="e">
        <f t="shared" ca="1" si="50"/>
        <v>#NAME?</v>
      </c>
      <c r="Y138" s="11"/>
      <c r="Z138" s="14"/>
      <c r="AA138" s="11"/>
      <c r="AB138" s="11"/>
      <c r="AC138" s="11"/>
      <c r="AD138" s="11"/>
      <c r="AE138" s="11"/>
      <c r="AF138" s="11"/>
      <c r="AG138" s="11"/>
      <c r="AH138" s="11"/>
    </row>
    <row r="139" spans="1:34" s="11" customFormat="1" ht="15" customHeight="1">
      <c r="A139" s="13" t="s">
        <v>236</v>
      </c>
      <c r="B139" s="28" t="s">
        <v>237</v>
      </c>
      <c r="C139" s="28" t="s">
        <v>284</v>
      </c>
      <c r="D139" s="28" t="s">
        <v>239</v>
      </c>
      <c r="E139" s="28" t="s">
        <v>285</v>
      </c>
      <c r="F139" s="28" t="s">
        <v>238</v>
      </c>
      <c r="G139" s="28" t="s">
        <v>240</v>
      </c>
      <c r="H139" s="28" t="s">
        <v>286</v>
      </c>
      <c r="J139" t="e">
        <f t="shared" ca="1" si="37"/>
        <v>#NAME?</v>
      </c>
      <c r="K139" t="e">
        <f t="shared" ca="1" si="38"/>
        <v>#NAME?</v>
      </c>
      <c r="L139" t="e">
        <f t="shared" ca="1" si="39"/>
        <v>#NAME?</v>
      </c>
      <c r="M139" t="e">
        <f t="shared" ca="1" si="40"/>
        <v>#NAME?</v>
      </c>
      <c r="N139" t="e">
        <f t="shared" ca="1" si="41"/>
        <v>#NAME?</v>
      </c>
      <c r="O139" t="e">
        <f t="shared" ca="1" si="42"/>
        <v>#NAME?</v>
      </c>
      <c r="P139" t="e">
        <f t="shared" ca="1" si="43"/>
        <v>#NAME?</v>
      </c>
      <c r="Q139"/>
      <c r="R139" t="e">
        <f t="shared" ca="1" si="44"/>
        <v>#NAME?</v>
      </c>
      <c r="S139" t="e">
        <f t="shared" ca="1" si="45"/>
        <v>#NAME?</v>
      </c>
      <c r="T139" t="e">
        <f t="shared" ca="1" si="46"/>
        <v>#NAME?</v>
      </c>
      <c r="U139" t="e">
        <f t="shared" ca="1" si="47"/>
        <v>#NAME?</v>
      </c>
      <c r="V139" t="e">
        <f t="shared" ca="1" si="48"/>
        <v>#NAME?</v>
      </c>
      <c r="W139" t="e">
        <f t="shared" ca="1" si="49"/>
        <v>#NAME?</v>
      </c>
      <c r="X139" t="e">
        <f t="shared" ca="1" si="50"/>
        <v>#NAME?</v>
      </c>
      <c r="Z139" s="12"/>
      <c r="AA139"/>
    </row>
    <row r="140" spans="1:34">
      <c r="A140" s="106" t="s">
        <v>242</v>
      </c>
      <c r="B140" s="107" t="str">
        <f t="shared" ref="B140:H140" si="53">B57</f>
        <v>Mon 11 May</v>
      </c>
      <c r="C140" s="107" t="str">
        <f t="shared" si="53"/>
        <v>Tues 12 May</v>
      </c>
      <c r="D140" s="107" t="str">
        <f t="shared" si="53"/>
        <v>Wed 13 May</v>
      </c>
      <c r="E140" s="107" t="str">
        <f t="shared" si="53"/>
        <v>Thu 14 May</v>
      </c>
      <c r="F140" s="107" t="str">
        <f t="shared" si="53"/>
        <v>Fri 15 May</v>
      </c>
      <c r="G140" s="107" t="str">
        <f t="shared" si="53"/>
        <v>Sat 16 May</v>
      </c>
      <c r="H140" s="107" t="str">
        <f t="shared" si="53"/>
        <v>Sun 17 May</v>
      </c>
    </row>
    <row r="141" spans="1:34">
      <c r="A141" s="27" t="s">
        <v>243</v>
      </c>
      <c r="B141" s="17">
        <f t="shared" ref="B141:H141" ca="1" si="54">COUNTIFS(J:J,"Red",R:R,"AM")</f>
        <v>0</v>
      </c>
      <c r="C141" s="17">
        <f t="shared" ca="1" si="54"/>
        <v>0</v>
      </c>
      <c r="D141" s="17">
        <f t="shared" ca="1" si="54"/>
        <v>0</v>
      </c>
      <c r="E141" s="17">
        <f t="shared" ca="1" si="54"/>
        <v>0</v>
      </c>
      <c r="F141" s="17">
        <f t="shared" ca="1" si="54"/>
        <v>0</v>
      </c>
      <c r="G141" s="17">
        <f t="shared" ca="1" si="54"/>
        <v>0</v>
      </c>
      <c r="H141" s="17">
        <f t="shared" ca="1" si="54"/>
        <v>0</v>
      </c>
    </row>
    <row r="142" spans="1:34">
      <c r="A142" s="2" t="s">
        <v>244</v>
      </c>
      <c r="B142" s="17">
        <f t="shared" ref="B142:H142" ca="1" si="55">COUNTIFS(J:J,"Green",R:R,"AM")</f>
        <v>0</v>
      </c>
      <c r="C142" s="17">
        <f t="shared" ca="1" si="55"/>
        <v>0</v>
      </c>
      <c r="D142" s="17">
        <f t="shared" ca="1" si="55"/>
        <v>0</v>
      </c>
      <c r="E142" s="17">
        <f t="shared" ca="1" si="55"/>
        <v>0</v>
      </c>
      <c r="F142" s="17">
        <f t="shared" ca="1" si="55"/>
        <v>0</v>
      </c>
      <c r="G142" s="17">
        <f t="shared" ca="1" si="55"/>
        <v>0</v>
      </c>
      <c r="H142" s="17">
        <f t="shared" ca="1" si="55"/>
        <v>0</v>
      </c>
    </row>
    <row r="143" spans="1:34">
      <c r="A143" s="26" t="s">
        <v>245</v>
      </c>
      <c r="B143" s="17">
        <f t="shared" ref="B143:H143" ca="1" si="56">COUNTIFS(J:J,"Gold",R:R,"AM")</f>
        <v>0</v>
      </c>
      <c r="C143" s="17">
        <f t="shared" ca="1" si="56"/>
        <v>0</v>
      </c>
      <c r="D143" s="17">
        <f t="shared" ca="1" si="56"/>
        <v>0</v>
      </c>
      <c r="E143" s="17">
        <f t="shared" ca="1" si="56"/>
        <v>0</v>
      </c>
      <c r="F143" s="17">
        <f t="shared" ca="1" si="56"/>
        <v>0</v>
      </c>
      <c r="G143" s="17">
        <f t="shared" ca="1" si="56"/>
        <v>0</v>
      </c>
      <c r="H143" s="17">
        <f t="shared" ca="1" si="56"/>
        <v>0</v>
      </c>
    </row>
    <row r="144" spans="1:34">
      <c r="A144" s="29" t="s">
        <v>246</v>
      </c>
      <c r="B144" s="17">
        <f t="shared" ref="B144:H144" ca="1" si="57">COUNTIFS(J:J,"LGreen",R:R,"AM")</f>
        <v>0</v>
      </c>
      <c r="C144" s="17">
        <f t="shared" ca="1" si="57"/>
        <v>0</v>
      </c>
      <c r="D144" s="17">
        <f t="shared" ca="1" si="57"/>
        <v>0</v>
      </c>
      <c r="E144" s="17">
        <f t="shared" ca="1" si="57"/>
        <v>0</v>
      </c>
      <c r="F144" s="17">
        <f t="shared" ca="1" si="57"/>
        <v>0</v>
      </c>
      <c r="G144" s="17">
        <f t="shared" ca="1" si="57"/>
        <v>0</v>
      </c>
      <c r="H144" s="17">
        <f t="shared" ca="1" si="57"/>
        <v>0</v>
      </c>
    </row>
    <row r="145" spans="1:26">
      <c r="A145" s="43" t="s">
        <v>26</v>
      </c>
      <c r="B145" s="17">
        <f t="shared" ref="B145:H145" ca="1" si="58">COUNTIFS(J:J,"Blue",R:R,"AM")</f>
        <v>0</v>
      </c>
      <c r="C145" s="17">
        <f t="shared" ca="1" si="58"/>
        <v>0</v>
      </c>
      <c r="D145" s="17">
        <f t="shared" ca="1" si="58"/>
        <v>0</v>
      </c>
      <c r="E145" s="17">
        <f t="shared" ca="1" si="58"/>
        <v>0</v>
      </c>
      <c r="F145" s="17">
        <f t="shared" ca="1" si="58"/>
        <v>0</v>
      </c>
      <c r="G145" s="17">
        <f t="shared" ca="1" si="58"/>
        <v>0</v>
      </c>
      <c r="H145" s="17">
        <f t="shared" ca="1" si="58"/>
        <v>0</v>
      </c>
    </row>
    <row r="146" spans="1:26">
      <c r="A146" s="3" t="s">
        <v>16</v>
      </c>
      <c r="B146" s="17">
        <f t="shared" ref="B146:H146" ca="1" si="59">COUNTIFS(J:J,"Pink",R:R,"AM")</f>
        <v>0</v>
      </c>
      <c r="C146" s="17">
        <f t="shared" ca="1" si="59"/>
        <v>0</v>
      </c>
      <c r="D146" s="17">
        <f t="shared" ca="1" si="59"/>
        <v>0</v>
      </c>
      <c r="E146" s="17">
        <f t="shared" ca="1" si="59"/>
        <v>0</v>
      </c>
      <c r="F146" s="17">
        <f t="shared" ca="1" si="59"/>
        <v>0</v>
      </c>
      <c r="G146" s="17">
        <f t="shared" ca="1" si="59"/>
        <v>0</v>
      </c>
      <c r="H146" s="17">
        <f t="shared" ca="1" si="59"/>
        <v>0</v>
      </c>
    </row>
    <row r="147" spans="1:26">
      <c r="A147" s="5" t="s">
        <v>247</v>
      </c>
      <c r="B147" s="17">
        <f t="shared" ref="B147:H147" ca="1" si="60">COUNTIFS(R:R,"AM") - B141-B142-B143-B144-B145-B146</f>
        <v>0</v>
      </c>
      <c r="C147" s="17">
        <f t="shared" ca="1" si="60"/>
        <v>0</v>
      </c>
      <c r="D147" s="17">
        <f t="shared" ca="1" si="60"/>
        <v>0</v>
      </c>
      <c r="E147" s="17">
        <f t="shared" ca="1" si="60"/>
        <v>0</v>
      </c>
      <c r="F147" s="17">
        <f t="shared" ca="1" si="60"/>
        <v>0</v>
      </c>
      <c r="G147" s="17">
        <f t="shared" ca="1" si="60"/>
        <v>0</v>
      </c>
      <c r="H147" s="17">
        <f t="shared" ca="1" si="60"/>
        <v>0</v>
      </c>
    </row>
    <row r="148" spans="1:26" s="46" customFormat="1">
      <c r="A148" s="45" t="s">
        <v>248</v>
      </c>
      <c r="B148" s="47">
        <f ca="1">SUM(B141:B146)</f>
        <v>0</v>
      </c>
      <c r="C148" s="47">
        <f t="shared" ref="C148:H148" ca="1" si="61">SUM(C141:C146)</f>
        <v>0</v>
      </c>
      <c r="D148" s="47">
        <f t="shared" ca="1" si="61"/>
        <v>0</v>
      </c>
      <c r="E148" s="47">
        <f t="shared" ca="1" si="61"/>
        <v>0</v>
      </c>
      <c r="F148" s="47">
        <f t="shared" ca="1" si="61"/>
        <v>0</v>
      </c>
      <c r="G148" s="47">
        <f t="shared" ca="1" si="61"/>
        <v>0</v>
      </c>
      <c r="H148" s="47">
        <f t="shared" ca="1" si="61"/>
        <v>0</v>
      </c>
      <c r="Z148" s="48"/>
    </row>
    <row r="149" spans="1:26">
      <c r="A149" s="27" t="s">
        <v>249</v>
      </c>
      <c r="B149" s="17">
        <f t="shared" ref="B149:H149" ca="1" si="62">COUNTIFS(J:J,"Red",R:R,"PM")</f>
        <v>0</v>
      </c>
      <c r="C149" s="17">
        <f t="shared" ca="1" si="62"/>
        <v>0</v>
      </c>
      <c r="D149" s="17">
        <f t="shared" ca="1" si="62"/>
        <v>0</v>
      </c>
      <c r="E149" s="17">
        <f t="shared" ca="1" si="62"/>
        <v>0</v>
      </c>
      <c r="F149" s="17">
        <f t="shared" ca="1" si="62"/>
        <v>0</v>
      </c>
      <c r="G149" s="17">
        <f t="shared" ca="1" si="62"/>
        <v>0</v>
      </c>
      <c r="H149" s="17">
        <f t="shared" ca="1" si="62"/>
        <v>0</v>
      </c>
    </row>
    <row r="150" spans="1:26">
      <c r="A150" s="2" t="s">
        <v>250</v>
      </c>
      <c r="B150" s="17">
        <f t="shared" ref="B150:H150" ca="1" si="63">COUNTIFS(J:J,"Green",R:R,"PM")</f>
        <v>0</v>
      </c>
      <c r="C150" s="17">
        <f t="shared" ca="1" si="63"/>
        <v>0</v>
      </c>
      <c r="D150" s="17">
        <f t="shared" ca="1" si="63"/>
        <v>0</v>
      </c>
      <c r="E150" s="17">
        <f t="shared" ca="1" si="63"/>
        <v>0</v>
      </c>
      <c r="F150" s="17">
        <f t="shared" ca="1" si="63"/>
        <v>0</v>
      </c>
      <c r="G150" s="17">
        <f t="shared" ca="1" si="63"/>
        <v>0</v>
      </c>
      <c r="H150" s="17">
        <f t="shared" ca="1" si="63"/>
        <v>0</v>
      </c>
    </row>
    <row r="151" spans="1:26">
      <c r="A151" s="26" t="s">
        <v>251</v>
      </c>
      <c r="B151" s="17">
        <f t="shared" ref="B151:H151" ca="1" si="64">COUNTIFS(J:J,"Gold",R:R,"PM")</f>
        <v>0</v>
      </c>
      <c r="C151" s="17">
        <f t="shared" ca="1" si="64"/>
        <v>0</v>
      </c>
      <c r="D151" s="17">
        <f t="shared" ca="1" si="64"/>
        <v>0</v>
      </c>
      <c r="E151" s="17">
        <f t="shared" ca="1" si="64"/>
        <v>0</v>
      </c>
      <c r="F151" s="17">
        <f t="shared" ca="1" si="64"/>
        <v>0</v>
      </c>
      <c r="G151" s="17">
        <f t="shared" ca="1" si="64"/>
        <v>0</v>
      </c>
      <c r="H151" s="17">
        <f t="shared" ca="1" si="64"/>
        <v>0</v>
      </c>
    </row>
    <row r="152" spans="1:26">
      <c r="A152" s="29" t="s">
        <v>252</v>
      </c>
      <c r="B152" s="17">
        <f t="shared" ref="B152:H152" ca="1" si="65">COUNTIFS(J:J,"LGreen",R:R,"PM")</f>
        <v>0</v>
      </c>
      <c r="C152" s="17">
        <f t="shared" ca="1" si="65"/>
        <v>0</v>
      </c>
      <c r="D152" s="17">
        <f t="shared" ca="1" si="65"/>
        <v>0</v>
      </c>
      <c r="E152" s="17">
        <f t="shared" ca="1" si="65"/>
        <v>0</v>
      </c>
      <c r="F152" s="17">
        <f t="shared" ca="1" si="65"/>
        <v>0</v>
      </c>
      <c r="G152" s="17">
        <f t="shared" ca="1" si="65"/>
        <v>0</v>
      </c>
      <c r="H152" s="17">
        <f t="shared" ca="1" si="65"/>
        <v>0</v>
      </c>
    </row>
    <row r="153" spans="1:26">
      <c r="A153" s="10" t="s">
        <v>253</v>
      </c>
      <c r="B153" s="17">
        <f t="shared" ref="B153:H153" ca="1" si="66">COUNTIFS(J:J,"Blue",R:R,"PM")</f>
        <v>0</v>
      </c>
      <c r="C153" s="17">
        <f t="shared" ca="1" si="66"/>
        <v>0</v>
      </c>
      <c r="D153" s="17">
        <f t="shared" ca="1" si="66"/>
        <v>0</v>
      </c>
      <c r="E153" s="17">
        <f t="shared" ca="1" si="66"/>
        <v>0</v>
      </c>
      <c r="F153" s="17">
        <f t="shared" ca="1" si="66"/>
        <v>0</v>
      </c>
      <c r="G153" s="17">
        <f t="shared" ca="1" si="66"/>
        <v>0</v>
      </c>
      <c r="H153" s="17">
        <f t="shared" ca="1" si="66"/>
        <v>0</v>
      </c>
    </row>
    <row r="154" spans="1:26">
      <c r="A154" s="3" t="s">
        <v>59</v>
      </c>
      <c r="B154" s="17">
        <f t="shared" ref="B154:H154" ca="1" si="67">COUNTIFS(J:J,"Pink",R:R,"PM")</f>
        <v>0</v>
      </c>
      <c r="C154" s="17">
        <f t="shared" ca="1" si="67"/>
        <v>0</v>
      </c>
      <c r="D154" s="17">
        <f t="shared" ca="1" si="67"/>
        <v>0</v>
      </c>
      <c r="E154" s="17">
        <f t="shared" ca="1" si="67"/>
        <v>0</v>
      </c>
      <c r="F154" s="17">
        <f t="shared" ca="1" si="67"/>
        <v>0</v>
      </c>
      <c r="G154" s="17">
        <f t="shared" ca="1" si="67"/>
        <v>0</v>
      </c>
      <c r="H154" s="17">
        <f t="shared" ca="1" si="67"/>
        <v>0</v>
      </c>
    </row>
    <row r="155" spans="1:26">
      <c r="A155" s="5" t="s">
        <v>254</v>
      </c>
      <c r="B155" s="17">
        <f t="shared" ref="B155:H155" ca="1" si="68">COUNTIFS(R:R,"PM") -B150-B151-B154-B153-B149-B152</f>
        <v>0</v>
      </c>
      <c r="C155" s="17">
        <f t="shared" ca="1" si="68"/>
        <v>0</v>
      </c>
      <c r="D155" s="17">
        <f t="shared" ca="1" si="68"/>
        <v>0</v>
      </c>
      <c r="E155" s="17">
        <f t="shared" ca="1" si="68"/>
        <v>0</v>
      </c>
      <c r="F155" s="17">
        <f t="shared" ca="1" si="68"/>
        <v>0</v>
      </c>
      <c r="G155" s="17">
        <f t="shared" ca="1" si="68"/>
        <v>0</v>
      </c>
      <c r="H155" s="17">
        <f t="shared" ca="1" si="68"/>
        <v>0</v>
      </c>
    </row>
    <row r="156" spans="1:26" s="46" customFormat="1">
      <c r="A156" s="45" t="s">
        <v>255</v>
      </c>
      <c r="B156" s="47">
        <f ca="1">SUM(B149:B154)</f>
        <v>0</v>
      </c>
      <c r="C156" s="47">
        <f t="shared" ref="C156:H156" ca="1" si="69">SUM(C149:C154)</f>
        <v>0</v>
      </c>
      <c r="D156" s="47">
        <f t="shared" ca="1" si="69"/>
        <v>0</v>
      </c>
      <c r="E156" s="47">
        <f t="shared" ca="1" si="69"/>
        <v>0</v>
      </c>
      <c r="F156" s="47">
        <f t="shared" ca="1" si="69"/>
        <v>0</v>
      </c>
      <c r="G156" s="47">
        <f t="shared" ca="1" si="69"/>
        <v>0</v>
      </c>
      <c r="H156" s="47">
        <f t="shared" ca="1" si="69"/>
        <v>0</v>
      </c>
      <c r="Z156" s="48"/>
    </row>
    <row r="157" spans="1:26">
      <c r="A157" s="4" t="s">
        <v>256</v>
      </c>
      <c r="B157" s="17">
        <f t="shared" ref="B157:H157" ca="1" si="70">COUNTIFS(R:R,"ND")</f>
        <v>0</v>
      </c>
      <c r="C157" s="17">
        <f t="shared" ca="1" si="70"/>
        <v>0</v>
      </c>
      <c r="D157" s="17">
        <f t="shared" ca="1" si="70"/>
        <v>0</v>
      </c>
      <c r="E157" s="17">
        <f t="shared" ca="1" si="70"/>
        <v>0</v>
      </c>
      <c r="F157" s="17">
        <f t="shared" ca="1" si="70"/>
        <v>0</v>
      </c>
      <c r="G157" s="17">
        <f t="shared" ca="1" si="70"/>
        <v>0</v>
      </c>
      <c r="H157" s="17">
        <f t="shared" ca="1" si="70"/>
        <v>0</v>
      </c>
    </row>
    <row r="158" spans="1:26">
      <c r="I158" s="9"/>
    </row>
    <row r="159" spans="1:26">
      <c r="A159" s="8"/>
      <c r="B159" s="18"/>
      <c r="C159" s="18"/>
      <c r="D159" s="19"/>
      <c r="E159" s="18"/>
      <c r="F159" s="18"/>
      <c r="G159" s="18"/>
      <c r="H159" s="20"/>
      <c r="Z159" s="23"/>
    </row>
    <row r="160" spans="1:26">
      <c r="D160" s="19"/>
    </row>
  </sheetData>
  <sortState xmlns:xlrd2="http://schemas.microsoft.com/office/spreadsheetml/2017/richdata2" ref="A75:H102">
    <sortCondition ref="A49"/>
  </sortState>
  <mergeCells count="26">
    <mergeCell ref="B129:H129"/>
    <mergeCell ref="B102:H102"/>
    <mergeCell ref="B105:H105"/>
    <mergeCell ref="B109:H109"/>
    <mergeCell ref="B24:H24"/>
    <mergeCell ref="B28:H28"/>
    <mergeCell ref="B34:H34"/>
    <mergeCell ref="G114:H114"/>
    <mergeCell ref="B38:H38"/>
    <mergeCell ref="B40:H40"/>
    <mergeCell ref="B47:H47"/>
    <mergeCell ref="B49:H49"/>
    <mergeCell ref="B67:H67"/>
    <mergeCell ref="B68:H68"/>
    <mergeCell ref="B75:H75"/>
    <mergeCell ref="B87:H87"/>
    <mergeCell ref="B93:H93"/>
    <mergeCell ref="B4:H4"/>
    <mergeCell ref="B8:H8"/>
    <mergeCell ref="B13:H13"/>
    <mergeCell ref="B22:H22"/>
    <mergeCell ref="B12:H12"/>
    <mergeCell ref="B14:H14"/>
    <mergeCell ref="B15:H15"/>
    <mergeCell ref="B20:H20"/>
    <mergeCell ref="B23:H23"/>
  </mergeCells>
  <conditionalFormatting sqref="B144:H144 B146:H146 B152:H152 B154:H154">
    <cfRule type="cellIs" dxfId="71" priority="4" operator="lessThan">
      <formula>2</formula>
    </cfRule>
  </conditionalFormatting>
  <conditionalFormatting sqref="B145:H145">
    <cfRule type="cellIs" dxfId="70" priority="2" operator="lessThan">
      <formula>2</formula>
    </cfRule>
  </conditionalFormatting>
  <conditionalFormatting sqref="B142:H143 B150:H151">
    <cfRule type="cellIs" dxfId="69" priority="5" operator="lessThan">
      <formula>4</formula>
    </cfRule>
  </conditionalFormatting>
  <conditionalFormatting sqref="B141:H141 B149:H149">
    <cfRule type="cellIs" dxfId="68" priority="6" operator="lessThan">
      <formula>2</formula>
    </cfRule>
  </conditionalFormatting>
  <conditionalFormatting sqref="B157:H157">
    <cfRule type="cellIs" dxfId="67" priority="3" operator="lessThan">
      <formula>7</formula>
    </cfRule>
  </conditionalFormatting>
  <conditionalFormatting sqref="B153:H153">
    <cfRule type="cellIs" dxfId="6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4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9">
    <tabColor theme="0"/>
    <outlinePr showOutlineSymbols="0"/>
    <pageSetUpPr fitToPage="1"/>
  </sheetPr>
  <dimension ref="A1:AH161"/>
  <sheetViews>
    <sheetView showOutlineSymbols="0" topLeftCell="A124" zoomScaleNormal="100" workbookViewId="0">
      <selection activeCell="AE108" sqref="AE108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46160</v>
      </c>
      <c r="C2" s="105">
        <f>B2+1</f>
        <v>46161</v>
      </c>
      <c r="D2" s="105">
        <f t="shared" ref="D2:H2" si="0">C2+1</f>
        <v>46162</v>
      </c>
      <c r="E2" s="105">
        <f t="shared" si="0"/>
        <v>46163</v>
      </c>
      <c r="F2" s="105">
        <f t="shared" si="0"/>
        <v>46164</v>
      </c>
      <c r="G2" s="105">
        <f t="shared" si="0"/>
        <v>46165</v>
      </c>
      <c r="H2" s="105">
        <f t="shared" si="0"/>
        <v>46166</v>
      </c>
    </row>
    <row r="3" spans="1:26" ht="14.45" customHeight="1">
      <c r="A3" s="21" t="s">
        <v>15</v>
      </c>
      <c r="B3" s="25"/>
      <c r="C3" s="110" t="s">
        <v>59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7" t="s">
        <v>31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5"/>
      <c r="D7" s="25"/>
      <c r="E7" s="25"/>
      <c r="F7" s="25"/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127" t="s">
        <v>18</v>
      </c>
      <c r="C8" s="128"/>
      <c r="D8" s="128"/>
      <c r="E8" s="128"/>
      <c r="F8" s="128"/>
      <c r="G8" s="128"/>
      <c r="H8" s="129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6" t="s">
        <v>32</v>
      </c>
      <c r="C9" s="25"/>
      <c r="D9" s="25"/>
      <c r="E9" s="25" t="s">
        <v>24</v>
      </c>
      <c r="F9" s="118" t="s">
        <v>31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118" t="s">
        <v>31</v>
      </c>
      <c r="E10" s="25" t="s">
        <v>24</v>
      </c>
      <c r="F10" s="25"/>
      <c r="G10" s="117" t="s">
        <v>31</v>
      </c>
      <c r="H10" s="118" t="s">
        <v>36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28" t="s">
        <v>25</v>
      </c>
      <c r="C11" s="117" t="s">
        <v>36</v>
      </c>
      <c r="D11" s="25"/>
      <c r="E11" s="109" t="s">
        <v>18</v>
      </c>
      <c r="F11" s="44" t="s">
        <v>26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25"/>
      <c r="C12" s="116" t="s">
        <v>45</v>
      </c>
      <c r="D12" s="115" t="s">
        <v>287</v>
      </c>
      <c r="E12" s="25"/>
      <c r="F12" s="117" t="s">
        <v>36</v>
      </c>
      <c r="G12" s="110" t="s">
        <v>59</v>
      </c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27" t="s">
        <v>38</v>
      </c>
      <c r="C13" s="128"/>
      <c r="D13" s="128"/>
      <c r="E13" s="128"/>
      <c r="F13" s="128"/>
      <c r="G13" s="128"/>
      <c r="H13" s="129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 t="s">
        <v>24</v>
      </c>
      <c r="C15" s="25"/>
      <c r="D15" s="117" t="s">
        <v>288</v>
      </c>
      <c r="E15" s="25"/>
      <c r="F15" s="25"/>
      <c r="G15" s="28" t="s">
        <v>25</v>
      </c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25" t="s">
        <v>24</v>
      </c>
      <c r="E16" s="44" t="s">
        <v>26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10" t="s">
        <v>59</v>
      </c>
      <c r="C17" s="25" t="s">
        <v>24</v>
      </c>
      <c r="D17" s="116" t="s">
        <v>32</v>
      </c>
      <c r="E17" s="25"/>
      <c r="F17" s="25"/>
      <c r="G17" s="25"/>
      <c r="H17" s="110" t="s">
        <v>16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25"/>
      <c r="F18" s="116" t="s">
        <v>45</v>
      </c>
      <c r="G18" s="25"/>
      <c r="H18" s="28" t="s">
        <v>25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 t="s">
        <v>24</v>
      </c>
      <c r="D19" s="110" t="s">
        <v>16</v>
      </c>
      <c r="E19" s="25"/>
      <c r="F19" s="25"/>
      <c r="G19" s="25"/>
      <c r="H19" s="25"/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25"/>
      <c r="C20" s="25"/>
      <c r="D20" s="25"/>
      <c r="E20" s="115" t="s">
        <v>287</v>
      </c>
      <c r="F20" s="25"/>
      <c r="G20" s="110" t="s">
        <v>16</v>
      </c>
      <c r="H20" s="116" t="s">
        <v>45</v>
      </c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25"/>
      <c r="C22" s="25"/>
      <c r="D22" s="25" t="s">
        <v>24</v>
      </c>
      <c r="E22" s="25"/>
      <c r="F22" s="25"/>
      <c r="G22" s="118" t="s">
        <v>31</v>
      </c>
      <c r="H22" s="116" t="s">
        <v>32</v>
      </c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28" t="s">
        <v>34</v>
      </c>
      <c r="C23" s="115" t="s">
        <v>287</v>
      </c>
      <c r="D23" s="116" t="s">
        <v>45</v>
      </c>
      <c r="E23" s="117" t="s">
        <v>36</v>
      </c>
      <c r="F23" s="25"/>
      <c r="G23" s="25"/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25" t="s">
        <v>24</v>
      </c>
      <c r="E24" s="25"/>
      <c r="F24" s="116" t="s">
        <v>32</v>
      </c>
      <c r="G24" s="25"/>
      <c r="H24" s="117" t="s">
        <v>36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25" t="s">
        <v>24</v>
      </c>
      <c r="E25" s="25" t="s">
        <v>24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25" t="s">
        <v>24</v>
      </c>
      <c r="E26" s="25"/>
      <c r="F26" s="110" t="s">
        <v>16</v>
      </c>
      <c r="G26" s="118" t="s">
        <v>36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25"/>
      <c r="C27" s="118" t="s">
        <v>31</v>
      </c>
      <c r="D27" s="28" t="s">
        <v>34</v>
      </c>
      <c r="E27" s="25"/>
      <c r="F27" s="25"/>
      <c r="G27" s="117" t="s">
        <v>36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117" t="s">
        <v>31</v>
      </c>
      <c r="C29" s="110" t="s">
        <v>16</v>
      </c>
      <c r="D29" s="118" t="s">
        <v>36</v>
      </c>
      <c r="E29" s="25"/>
      <c r="F29" s="25"/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25"/>
      <c r="C30" s="25" t="s">
        <v>24</v>
      </c>
      <c r="D30" s="25"/>
      <c r="E30" s="116" t="s">
        <v>32</v>
      </c>
      <c r="F30" s="28" t="s">
        <v>34</v>
      </c>
      <c r="G30" s="25"/>
      <c r="H30" s="44" t="s">
        <v>26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116" t="s">
        <v>45</v>
      </c>
      <c r="C32" s="28" t="s">
        <v>25</v>
      </c>
      <c r="D32" s="25" t="s">
        <v>24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44" t="s">
        <v>26</v>
      </c>
      <c r="C33" s="25" t="s">
        <v>24</v>
      </c>
      <c r="D33" s="117" t="s">
        <v>36</v>
      </c>
      <c r="E33" s="25"/>
      <c r="F33" s="25"/>
      <c r="G33" s="25"/>
      <c r="H33" s="117" t="s">
        <v>31</v>
      </c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59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118" t="s">
        <v>36</v>
      </c>
      <c r="D35" s="25" t="s">
        <v>24</v>
      </c>
      <c r="E35" s="28" t="s">
        <v>34</v>
      </c>
      <c r="F35" s="25"/>
      <c r="G35" s="25"/>
      <c r="H35" s="25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25" t="s">
        <v>24</v>
      </c>
      <c r="C36" s="44" t="s">
        <v>26</v>
      </c>
      <c r="D36" s="117" t="s">
        <v>31</v>
      </c>
      <c r="E36" s="110" t="s">
        <v>59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 t="s">
        <v>24</v>
      </c>
      <c r="C37" s="25" t="s">
        <v>24</v>
      </c>
      <c r="D37" s="25" t="s">
        <v>24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289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117" t="s">
        <v>36</v>
      </c>
      <c r="C39" s="116" t="s">
        <v>32</v>
      </c>
      <c r="D39" s="115" t="s">
        <v>287</v>
      </c>
      <c r="E39" s="118" t="s">
        <v>31</v>
      </c>
      <c r="F39" s="25"/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25"/>
      <c r="C40" s="25"/>
      <c r="D40" s="25"/>
      <c r="E40" s="110" t="s">
        <v>16</v>
      </c>
      <c r="F40" s="115" t="s">
        <v>287</v>
      </c>
      <c r="G40" s="116" t="s">
        <v>45</v>
      </c>
      <c r="H40" s="118" t="s">
        <v>31</v>
      </c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0" t="s">
        <v>59</v>
      </c>
      <c r="E41" s="25"/>
      <c r="F41" s="25"/>
      <c r="G41" s="44" t="s">
        <v>26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20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118" t="s">
        <v>36</v>
      </c>
      <c r="C43" s="25" t="s">
        <v>24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25"/>
      <c r="C44" s="28" t="s">
        <v>34</v>
      </c>
      <c r="D44" s="25" t="s">
        <v>24</v>
      </c>
      <c r="E44" s="116" t="s">
        <v>45</v>
      </c>
      <c r="F44" s="25"/>
      <c r="G44" s="25"/>
      <c r="H44" s="25"/>
      <c r="J44" t="e">
        <f t="shared" ref="J44:P49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49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127" t="s">
        <v>29</v>
      </c>
      <c r="C45" s="128"/>
      <c r="D45" s="128"/>
      <c r="E45" s="128"/>
      <c r="F45" s="128"/>
      <c r="G45" s="128"/>
      <c r="H45" s="129"/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117" t="s">
        <v>31</v>
      </c>
      <c r="D46" s="25" t="s">
        <v>24</v>
      </c>
      <c r="E46" s="118" t="s">
        <v>36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82</v>
      </c>
      <c r="B47" s="25"/>
      <c r="C47" s="25"/>
      <c r="D47" s="25"/>
      <c r="E47" s="25" t="s">
        <v>24</v>
      </c>
      <c r="F47" s="118" t="s">
        <v>36</v>
      </c>
      <c r="G47" s="116" t="s">
        <v>32</v>
      </c>
      <c r="H47" s="110" t="s">
        <v>59</v>
      </c>
      <c r="J47" t="e">
        <f t="shared" ca="1" si="7"/>
        <v>#NAME?</v>
      </c>
      <c r="K47" t="e">
        <f t="shared" ca="1" si="7"/>
        <v>#NAME?</v>
      </c>
      <c r="L47" t="e">
        <f t="shared" ca="1" si="7"/>
        <v>#NAME?</v>
      </c>
      <c r="M47" t="e">
        <f t="shared" ca="1" si="7"/>
        <v>#NAME?</v>
      </c>
      <c r="N47" t="e">
        <f t="shared" ca="1" si="7"/>
        <v>#NAME?</v>
      </c>
      <c r="O47" t="e">
        <f t="shared" ca="1" si="7"/>
        <v>#NAME?</v>
      </c>
      <c r="P47" t="e">
        <f t="shared" ca="1" si="7"/>
        <v>#NAME?</v>
      </c>
      <c r="R47" t="e">
        <f t="shared" ca="1" si="8"/>
        <v>#NAME?</v>
      </c>
      <c r="S47" t="e">
        <f t="shared" ca="1" si="8"/>
        <v>#NAME?</v>
      </c>
      <c r="T47" t="e">
        <f t="shared" ca="1" si="8"/>
        <v>#NAME?</v>
      </c>
      <c r="U47" t="e">
        <f t="shared" ca="1" si="8"/>
        <v>#NAME?</v>
      </c>
      <c r="V47" t="e">
        <f t="shared" ca="1" si="8"/>
        <v>#NAME?</v>
      </c>
      <c r="W47" t="e">
        <f t="shared" ca="1" si="8"/>
        <v>#NAME?</v>
      </c>
      <c r="X47" t="e">
        <f t="shared" ca="1" si="8"/>
        <v>#NAME?</v>
      </c>
      <c r="Z47" s="15">
        <v>0.5</v>
      </c>
    </row>
    <row r="48" spans="1:26">
      <c r="A48" s="21" t="s">
        <v>83</v>
      </c>
      <c r="B48" s="115" t="s">
        <v>287</v>
      </c>
      <c r="C48" s="25"/>
      <c r="D48" s="44" t="s">
        <v>26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0.625</v>
      </c>
    </row>
    <row r="49" spans="1:26" ht="15" customHeight="1">
      <c r="A49" s="21" t="s">
        <v>85</v>
      </c>
      <c r="B49" s="118" t="s">
        <v>31</v>
      </c>
      <c r="C49" s="25" t="s">
        <v>24</v>
      </c>
      <c r="D49" s="28" t="s">
        <v>25</v>
      </c>
      <c r="E49" s="117" t="s">
        <v>31</v>
      </c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0.5</v>
      </c>
    </row>
    <row r="50" spans="1:26" ht="15" customHeight="1">
      <c r="A50" s="21" t="s">
        <v>86</v>
      </c>
      <c r="B50" s="25"/>
      <c r="C50" s="25"/>
      <c r="D50" s="118" t="s">
        <v>288</v>
      </c>
      <c r="E50" s="25"/>
      <c r="F50" s="25"/>
      <c r="G50" s="25"/>
      <c r="H50" s="25"/>
      <c r="J50" t="e">
        <f t="shared" ca="1" si="3"/>
        <v>#NAME?</v>
      </c>
      <c r="K50" t="e">
        <f t="shared" ca="1" si="3"/>
        <v>#NAME?</v>
      </c>
      <c r="L50" t="e">
        <f t="shared" ca="1" si="3"/>
        <v>#NAME?</v>
      </c>
      <c r="M50" t="e">
        <f t="shared" ca="1" si="3"/>
        <v>#NAME?</v>
      </c>
      <c r="N50" t="e">
        <f t="shared" ca="1" si="3"/>
        <v>#NAME?</v>
      </c>
      <c r="O50" t="e">
        <f t="shared" ca="1" si="3"/>
        <v>#NAME?</v>
      </c>
      <c r="P50" t="e">
        <f t="shared" ca="1" si="3"/>
        <v>#NAME?</v>
      </c>
      <c r="R50" t="e">
        <f t="shared" ca="1" si="4"/>
        <v>#NAME?</v>
      </c>
      <c r="S50" t="e">
        <f t="shared" ca="1" si="4"/>
        <v>#NAME?</v>
      </c>
      <c r="T50" t="e">
        <f t="shared" ca="1" si="4"/>
        <v>#NAME?</v>
      </c>
      <c r="U50" t="e">
        <f t="shared" ca="1" si="4"/>
        <v>#NAME?</v>
      </c>
      <c r="V50" t="e">
        <f t="shared" ca="1" si="4"/>
        <v>#NAME?</v>
      </c>
      <c r="W50" t="e">
        <f t="shared" ca="1" si="4"/>
        <v>#NAME?</v>
      </c>
      <c r="X50" t="e">
        <f t="shared" ca="1" si="4"/>
        <v>#NAME?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s="52" customFormat="1">
      <c r="A52" s="50" t="s">
        <v>89</v>
      </c>
      <c r="B52" s="51" t="s">
        <v>291</v>
      </c>
      <c r="C52" s="51" t="s">
        <v>292</v>
      </c>
      <c r="D52" s="51" t="s">
        <v>90</v>
      </c>
      <c r="E52" s="51" t="s">
        <v>94</v>
      </c>
      <c r="F52" s="51" t="s">
        <v>293</v>
      </c>
      <c r="G52" s="51" t="s">
        <v>294</v>
      </c>
      <c r="H52" s="51" t="s">
        <v>295</v>
      </c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Q52"/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  <c r="Z52" s="57">
        <f>SUM(Z3:Z50)</f>
        <v>28.75</v>
      </c>
    </row>
    <row r="53" spans="1:26" ht="15" customHeight="1">
      <c r="A53" s="106" t="s">
        <v>99</v>
      </c>
      <c r="B53" s="107" t="str">
        <f>B58</f>
        <v>Mon 18 May</v>
      </c>
      <c r="C53" s="107" t="str">
        <f>C58</f>
        <v>Tues 19 May</v>
      </c>
      <c r="D53" s="107" t="str">
        <f t="shared" ref="D53:H53" si="9">D58</f>
        <v>Wed 20 May</v>
      </c>
      <c r="E53" s="107" t="str">
        <f t="shared" si="9"/>
        <v>Thu 21 May</v>
      </c>
      <c r="F53" s="107" t="str">
        <f t="shared" si="9"/>
        <v>Fri 22 May</v>
      </c>
      <c r="G53" s="107" t="str">
        <f t="shared" si="9"/>
        <v>Sat 23 May</v>
      </c>
      <c r="H53" s="107" t="str">
        <f t="shared" si="9"/>
        <v>Sun 24 May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ht="15" customHeight="1">
      <c r="A54" s="22" t="s">
        <v>107</v>
      </c>
      <c r="B54" s="25"/>
      <c r="C54" s="25"/>
      <c r="D54" s="25" t="s">
        <v>108</v>
      </c>
      <c r="E54" s="25" t="s">
        <v>108</v>
      </c>
      <c r="F54" s="25"/>
      <c r="G54" s="25"/>
      <c r="H54" s="25"/>
      <c r="J54" t="e">
        <f t="shared" ref="J54:P55" ca="1" si="10">colorindex(B54)</f>
        <v>#NAME?</v>
      </c>
      <c r="K54" t="e">
        <f t="shared" ca="1" si="10"/>
        <v>#NAME?</v>
      </c>
      <c r="L54" t="e">
        <f t="shared" ca="1" si="10"/>
        <v>#NAME?</v>
      </c>
      <c r="M54" t="e">
        <f t="shared" ca="1" si="10"/>
        <v>#NAME?</v>
      </c>
      <c r="N54" t="e">
        <f t="shared" ca="1" si="10"/>
        <v>#NAME?</v>
      </c>
      <c r="O54" t="e">
        <f t="shared" ca="1" si="10"/>
        <v>#NAME?</v>
      </c>
      <c r="P54" t="e">
        <f t="shared" ca="1" si="10"/>
        <v>#NAME?</v>
      </c>
      <c r="R54" t="e">
        <f t="shared" ref="R54:X55" ca="1" si="11">ShiftIndex(B54)</f>
        <v>#NAME?</v>
      </c>
      <c r="S54" t="e">
        <f t="shared" ca="1" si="11"/>
        <v>#NAME?</v>
      </c>
      <c r="T54" t="e">
        <f t="shared" ca="1" si="11"/>
        <v>#NAME?</v>
      </c>
      <c r="U54" t="e">
        <f t="shared" ca="1" si="11"/>
        <v>#NAME?</v>
      </c>
      <c r="V54" t="e">
        <f t="shared" ca="1" si="11"/>
        <v>#NAME?</v>
      </c>
      <c r="W54" t="e">
        <f t="shared" ca="1" si="11"/>
        <v>#NAME?</v>
      </c>
      <c r="X54" t="e">
        <f t="shared" ca="1" si="11"/>
        <v>#NAME?</v>
      </c>
    </row>
    <row r="55" spans="1:26" ht="15" customHeight="1">
      <c r="A55" s="22" t="s">
        <v>109</v>
      </c>
      <c r="B55" s="25" t="s">
        <v>108</v>
      </c>
      <c r="C55" s="25"/>
      <c r="D55" s="25" t="s">
        <v>24</v>
      </c>
      <c r="E55" s="25"/>
      <c r="F55" s="25" t="s">
        <v>108</v>
      </c>
      <c r="G55" s="25"/>
      <c r="H55" s="25"/>
      <c r="J55" t="e">
        <f t="shared" ca="1" si="10"/>
        <v>#NAME?</v>
      </c>
      <c r="K55" t="e">
        <f t="shared" ca="1" si="10"/>
        <v>#NAME?</v>
      </c>
      <c r="L55" t="e">
        <f t="shared" ca="1" si="10"/>
        <v>#NAME?</v>
      </c>
      <c r="M55" t="e">
        <f t="shared" ca="1" si="10"/>
        <v>#NAME?</v>
      </c>
      <c r="N55" t="e">
        <f t="shared" ca="1" si="10"/>
        <v>#NAME?</v>
      </c>
      <c r="O55" t="e">
        <f t="shared" ca="1" si="10"/>
        <v>#NAME?</v>
      </c>
      <c r="P55" t="e">
        <f t="shared" ca="1" si="10"/>
        <v>#NAME?</v>
      </c>
      <c r="R55" t="e">
        <f t="shared" ca="1" si="11"/>
        <v>#NAME?</v>
      </c>
      <c r="S55" t="e">
        <f t="shared" ca="1" si="11"/>
        <v>#NAME?</v>
      </c>
      <c r="T55" t="e">
        <f t="shared" ca="1" si="11"/>
        <v>#NAME?</v>
      </c>
      <c r="U55" t="e">
        <f t="shared" ca="1" si="11"/>
        <v>#NAME?</v>
      </c>
      <c r="V55" t="e">
        <f t="shared" ca="1" si="11"/>
        <v>#NAME?</v>
      </c>
      <c r="W55" t="e">
        <f t="shared" ca="1" si="11"/>
        <v>#NAME?</v>
      </c>
      <c r="X55" t="e">
        <f t="shared" ca="1" si="11"/>
        <v>#NAME?</v>
      </c>
    </row>
    <row r="56" spans="1:26" ht="15" customHeight="1">
      <c r="A56" s="22" t="s">
        <v>110</v>
      </c>
      <c r="B56" s="25"/>
      <c r="C56" s="25" t="s">
        <v>108</v>
      </c>
      <c r="D56" s="25"/>
      <c r="E56" s="25"/>
      <c r="F56" s="25"/>
      <c r="G56" s="25" t="s">
        <v>111</v>
      </c>
      <c r="H56" s="25"/>
      <c r="J56" t="s">
        <v>296</v>
      </c>
      <c r="K56" t="s">
        <v>296</v>
      </c>
      <c r="L56" t="s">
        <v>296</v>
      </c>
      <c r="M56" t="s">
        <v>296</v>
      </c>
      <c r="N56" t="s">
        <v>296</v>
      </c>
      <c r="O56" t="s">
        <v>296</v>
      </c>
      <c r="P56" t="s">
        <v>296</v>
      </c>
      <c r="R56" t="s">
        <v>296</v>
      </c>
      <c r="S56" t="s">
        <v>288</v>
      </c>
      <c r="T56" t="s">
        <v>296</v>
      </c>
      <c r="U56" t="s">
        <v>296</v>
      </c>
      <c r="V56" t="s">
        <v>296</v>
      </c>
      <c r="W56" t="s">
        <v>288</v>
      </c>
      <c r="X56" t="s">
        <v>296</v>
      </c>
    </row>
    <row r="57" spans="1:26" ht="15" customHeight="1">
      <c r="A57" s="22" t="s">
        <v>297</v>
      </c>
      <c r="B57" s="25"/>
      <c r="C57" s="25"/>
      <c r="D57" s="25"/>
      <c r="E57" s="25"/>
      <c r="F57" s="25"/>
      <c r="G57" s="25"/>
      <c r="H57" s="25" t="s">
        <v>111</v>
      </c>
      <c r="J57" t="s">
        <v>296</v>
      </c>
      <c r="K57" t="s">
        <v>296</v>
      </c>
      <c r="L57" t="s">
        <v>296</v>
      </c>
      <c r="M57" t="s">
        <v>296</v>
      </c>
      <c r="N57" t="s">
        <v>296</v>
      </c>
      <c r="O57" t="s">
        <v>296</v>
      </c>
      <c r="P57" t="s">
        <v>296</v>
      </c>
      <c r="R57" t="s">
        <v>296</v>
      </c>
      <c r="S57" t="s">
        <v>288</v>
      </c>
      <c r="T57" t="s">
        <v>296</v>
      </c>
      <c r="U57" t="s">
        <v>296</v>
      </c>
      <c r="V57" t="s">
        <v>296</v>
      </c>
      <c r="W57" t="s">
        <v>288</v>
      </c>
      <c r="X57" t="s">
        <v>296</v>
      </c>
    </row>
    <row r="58" spans="1:26" ht="15" customHeight="1">
      <c r="A58" s="106" t="s">
        <v>113</v>
      </c>
      <c r="B58" s="107" t="s">
        <v>298</v>
      </c>
      <c r="C58" s="107" t="s">
        <v>299</v>
      </c>
      <c r="D58" s="107" t="s">
        <v>300</v>
      </c>
      <c r="E58" s="107" t="s">
        <v>301</v>
      </c>
      <c r="F58" s="107" t="s">
        <v>302</v>
      </c>
      <c r="G58" s="107" t="s">
        <v>303</v>
      </c>
      <c r="H58" s="107" t="s">
        <v>304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28" t="s">
        <v>115</v>
      </c>
      <c r="C59" s="121" t="s">
        <v>116</v>
      </c>
      <c r="D59" s="25"/>
      <c r="E59" s="25"/>
      <c r="F59" s="25"/>
      <c r="G59" s="25" t="s">
        <v>123</v>
      </c>
      <c r="H59" s="25" t="s">
        <v>123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121" t="s">
        <v>118</v>
      </c>
      <c r="D60" s="120" t="s">
        <v>118</v>
      </c>
      <c r="E60" s="121" t="s">
        <v>116</v>
      </c>
      <c r="F60" s="28" t="s">
        <v>115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1" t="s">
        <v>122</v>
      </c>
      <c r="C62" s="120" t="s">
        <v>122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2">colorindex(E62)</f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3">ShiftIndex(E62)</f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18 May</v>
      </c>
      <c r="C63" s="107" t="str">
        <f t="shared" ref="C63:H63" si="14">C58</f>
        <v>Tues 19 May</v>
      </c>
      <c r="D63" s="107" t="str">
        <f t="shared" si="14"/>
        <v>Wed 20 May</v>
      </c>
      <c r="E63" s="107" t="str">
        <f t="shared" si="14"/>
        <v>Thu 21 May</v>
      </c>
      <c r="F63" s="107" t="str">
        <f t="shared" si="14"/>
        <v>Fri 22 May</v>
      </c>
      <c r="G63" s="107" t="str">
        <f t="shared" si="14"/>
        <v>Sat 23 May</v>
      </c>
      <c r="H63" s="107" t="str">
        <f t="shared" si="14"/>
        <v>Sun 24 May</v>
      </c>
      <c r="J63" t="e">
        <f t="shared" ref="J63:P101" ca="1" si="15">colorindex(B63)</f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ref="R63:X101" ca="1" si="16">ShiftIndex(B63)</f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5"/>
      <c r="E64" s="113" t="s">
        <v>150</v>
      </c>
      <c r="F64" s="25" t="s">
        <v>118</v>
      </c>
      <c r="G64" s="120" t="s">
        <v>118</v>
      </c>
      <c r="H64" s="121" t="s">
        <v>118</v>
      </c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1</v>
      </c>
    </row>
    <row r="65" spans="1:26" ht="15" customHeight="1">
      <c r="A65" s="22" t="s">
        <v>128</v>
      </c>
      <c r="B65" s="121" t="s">
        <v>118</v>
      </c>
      <c r="C65" s="25"/>
      <c r="D65" s="25"/>
      <c r="E65" s="25"/>
      <c r="F65" s="25" t="s">
        <v>305</v>
      </c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0.25</v>
      </c>
    </row>
    <row r="66" spans="1:26" ht="15" customHeight="1">
      <c r="A66" s="22" t="s">
        <v>129</v>
      </c>
      <c r="B66" s="120" t="s">
        <v>118</v>
      </c>
      <c r="C66" s="25"/>
      <c r="D66" s="121" t="s">
        <v>118</v>
      </c>
      <c r="E66" s="25"/>
      <c r="F66" s="25"/>
      <c r="G66" s="25"/>
      <c r="H66" s="25"/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15">
        <v>0.5</v>
      </c>
    </row>
    <row r="67" spans="1:26" ht="26.25">
      <c r="A67" s="106" t="s">
        <v>130</v>
      </c>
      <c r="B67" s="108" t="str">
        <f>B58</f>
        <v>Mon 18 May</v>
      </c>
      <c r="C67" s="107" t="str">
        <f t="shared" ref="C67:H67" si="17">C58</f>
        <v>Tues 19 May</v>
      </c>
      <c r="D67" s="108" t="s">
        <v>306</v>
      </c>
      <c r="E67" s="107" t="str">
        <f t="shared" si="17"/>
        <v>Thu 21 May</v>
      </c>
      <c r="F67" s="107" t="str">
        <f t="shared" si="17"/>
        <v>Fri 22 May</v>
      </c>
      <c r="G67" s="107" t="str">
        <f t="shared" si="17"/>
        <v>Sat 23 May</v>
      </c>
      <c r="H67" s="107" t="str">
        <f t="shared" si="17"/>
        <v>Sun 24 May</v>
      </c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53">
        <f>SUM(Z64:Z66)</f>
        <v>1.75</v>
      </c>
    </row>
    <row r="68" spans="1:26" ht="15" customHeight="1">
      <c r="A68" s="22" t="s">
        <v>133</v>
      </c>
      <c r="B68" s="127" t="s">
        <v>165</v>
      </c>
      <c r="C68" s="128"/>
      <c r="D68" s="128"/>
      <c r="E68" s="128"/>
      <c r="F68" s="128"/>
      <c r="G68" s="128"/>
      <c r="H68" s="129" t="s">
        <v>166</v>
      </c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135</v>
      </c>
      <c r="B69" s="127" t="s">
        <v>165</v>
      </c>
      <c r="C69" s="128"/>
      <c r="D69" s="128"/>
      <c r="E69" s="128"/>
      <c r="F69" s="128"/>
      <c r="G69" s="128"/>
      <c r="H69" s="129" t="s">
        <v>166</v>
      </c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136</v>
      </c>
      <c r="B70" s="25"/>
      <c r="C70" s="25"/>
      <c r="D70" s="120" t="s">
        <v>116</v>
      </c>
      <c r="E70" s="121" t="s">
        <v>116</v>
      </c>
      <c r="F70" s="121" t="s">
        <v>116</v>
      </c>
      <c r="G70" s="28" t="s">
        <v>115</v>
      </c>
      <c r="H70" s="25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137</v>
      </c>
      <c r="B71" s="25"/>
      <c r="C71" s="25"/>
      <c r="D71" s="25" t="s">
        <v>141</v>
      </c>
      <c r="E71" s="28" t="s">
        <v>119</v>
      </c>
      <c r="F71" s="25"/>
      <c r="G71" s="120" t="s">
        <v>116</v>
      </c>
      <c r="H71" s="28" t="s">
        <v>115</v>
      </c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140</v>
      </c>
      <c r="B72" s="25"/>
      <c r="C72" s="25" t="s">
        <v>123</v>
      </c>
      <c r="D72" s="25" t="s">
        <v>123</v>
      </c>
      <c r="E72" s="25" t="s">
        <v>123</v>
      </c>
      <c r="F72" s="25" t="s">
        <v>123</v>
      </c>
      <c r="G72" s="25"/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2"/>
        <v>#NAME?</v>
      </c>
      <c r="N72" t="e">
        <f t="shared" ca="1" si="12"/>
        <v>#NAME?</v>
      </c>
      <c r="O72" t="e">
        <f t="shared" ca="1" si="12"/>
        <v>#NAME?</v>
      </c>
      <c r="P72" t="e">
        <f t="shared" ca="1" si="12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143</v>
      </c>
      <c r="B73" s="25" t="s">
        <v>123</v>
      </c>
      <c r="C73" s="25" t="s">
        <v>123</v>
      </c>
      <c r="D73" s="25"/>
      <c r="E73" s="25"/>
      <c r="F73" s="25"/>
      <c r="G73" s="120" t="s">
        <v>118</v>
      </c>
      <c r="H73" s="110" t="s">
        <v>142</v>
      </c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8" t="s">
        <v>119</v>
      </c>
      <c r="G74" s="110" t="s">
        <v>142</v>
      </c>
      <c r="H74" s="113" t="s">
        <v>150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24">
        <v>1</v>
      </c>
    </row>
    <row r="75" spans="1:26" ht="26.25">
      <c r="A75" s="106" t="s">
        <v>146</v>
      </c>
      <c r="B75" s="108" t="str">
        <f>B58</f>
        <v>Mon 18 May</v>
      </c>
      <c r="C75" s="107" t="str">
        <f>C67</f>
        <v>Tues 19 May</v>
      </c>
      <c r="D75" s="108" t="s">
        <v>306</v>
      </c>
      <c r="E75" s="107" t="str">
        <f>E67</f>
        <v>Thu 21 May</v>
      </c>
      <c r="F75" s="107" t="str">
        <f>F67</f>
        <v>Fri 22 May</v>
      </c>
      <c r="G75" s="107" t="str">
        <f>G67</f>
        <v>Sat 23 May</v>
      </c>
      <c r="H75" s="107" t="str">
        <f>H67</f>
        <v>Sun 24 May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53">
        <f>SUM(Z68:Z74)</f>
        <v>6</v>
      </c>
    </row>
    <row r="76" spans="1:26" ht="15" customHeight="1">
      <c r="A76" s="22" t="s">
        <v>147</v>
      </c>
      <c r="B76" s="127" t="s">
        <v>18</v>
      </c>
      <c r="C76" s="128"/>
      <c r="D76" s="128"/>
      <c r="E76" s="128"/>
      <c r="F76" s="128"/>
      <c r="G76" s="128"/>
      <c r="H76" s="129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24">
        <v>1</v>
      </c>
    </row>
    <row r="77" spans="1:26" ht="15" customHeight="1">
      <c r="A77" s="22" t="s">
        <v>151</v>
      </c>
      <c r="B77" s="25"/>
      <c r="C77" s="25" t="s">
        <v>152</v>
      </c>
      <c r="D77" s="25" t="s">
        <v>152</v>
      </c>
      <c r="E77" s="25" t="s">
        <v>152</v>
      </c>
      <c r="F77" s="25"/>
      <c r="G77" s="25"/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1</v>
      </c>
    </row>
    <row r="78" spans="1:26" ht="15" customHeight="1">
      <c r="A78" s="22" t="s">
        <v>153</v>
      </c>
      <c r="B78" s="25"/>
      <c r="C78" s="25"/>
      <c r="D78" s="25" t="s">
        <v>141</v>
      </c>
      <c r="E78" s="25"/>
      <c r="F78" s="110" t="s">
        <v>139</v>
      </c>
      <c r="G78" s="25"/>
      <c r="H78" s="25" t="s">
        <v>152</v>
      </c>
      <c r="J78" t="e">
        <f t="shared" ca="1" si="15"/>
        <v>#NAME?</v>
      </c>
      <c r="K78" t="e">
        <f t="shared" ca="1" si="15"/>
        <v>#NAME?</v>
      </c>
      <c r="L78" t="e">
        <f t="shared" ca="1" si="15"/>
        <v>#NAME?</v>
      </c>
      <c r="M78" t="e">
        <f t="shared" ca="1" si="15"/>
        <v>#NAME?</v>
      </c>
      <c r="N78" t="e">
        <f t="shared" ca="1" si="15"/>
        <v>#NAME?</v>
      </c>
      <c r="O78" t="e">
        <f t="shared" ca="1" si="15"/>
        <v>#NAME?</v>
      </c>
      <c r="P78" t="e">
        <f t="shared" ca="1" si="15"/>
        <v>#NAME?</v>
      </c>
      <c r="R78" t="e">
        <f t="shared" ca="1" si="16"/>
        <v>#NAME?</v>
      </c>
      <c r="S78" t="e">
        <f t="shared" ca="1" si="16"/>
        <v>#NAME?</v>
      </c>
      <c r="T78" t="e">
        <f t="shared" ca="1" si="16"/>
        <v>#NAME?</v>
      </c>
      <c r="U78" t="e">
        <f t="shared" ca="1" si="16"/>
        <v>#NAME?</v>
      </c>
      <c r="V78" t="e">
        <f t="shared" ca="1" si="16"/>
        <v>#NAME?</v>
      </c>
      <c r="W78" t="e">
        <f t="shared" ca="1" si="16"/>
        <v>#NAME?</v>
      </c>
      <c r="X78" t="e">
        <f t="shared" ca="1" si="16"/>
        <v>#NAME?</v>
      </c>
      <c r="Z78" s="15">
        <v>0.5</v>
      </c>
    </row>
    <row r="79" spans="1:26">
      <c r="A79" s="22" t="s">
        <v>154</v>
      </c>
      <c r="B79" s="25" t="s">
        <v>152</v>
      </c>
      <c r="C79" s="25" t="s">
        <v>152</v>
      </c>
      <c r="D79" s="25" t="s">
        <v>152</v>
      </c>
      <c r="E79" s="25"/>
      <c r="F79" s="25"/>
      <c r="G79" s="121" t="s">
        <v>116</v>
      </c>
      <c r="H79" s="28" t="s">
        <v>115</v>
      </c>
      <c r="J79" t="e">
        <f t="shared" ca="1" si="15"/>
        <v>#NAME?</v>
      </c>
      <c r="K79" t="e">
        <f t="shared" ca="1" si="15"/>
        <v>#NAME?</v>
      </c>
      <c r="L79" t="e">
        <f t="shared" ca="1" si="15"/>
        <v>#NAME?</v>
      </c>
      <c r="M79" t="e">
        <f t="shared" ca="1" si="15"/>
        <v>#NAME?</v>
      </c>
      <c r="N79" t="e">
        <f t="shared" ca="1" si="15"/>
        <v>#NAME?</v>
      </c>
      <c r="O79" t="e">
        <f t="shared" ca="1" si="15"/>
        <v>#NAME?</v>
      </c>
      <c r="P79" t="e">
        <f t="shared" ca="1" si="15"/>
        <v>#NAME?</v>
      </c>
      <c r="R79" t="e">
        <f t="shared" ca="1" si="16"/>
        <v>#NAME?</v>
      </c>
      <c r="S79" t="e">
        <f t="shared" ca="1" si="16"/>
        <v>#NAME?</v>
      </c>
      <c r="T79" t="e">
        <f t="shared" ca="1" si="16"/>
        <v>#NAME?</v>
      </c>
      <c r="U79" t="e">
        <f t="shared" ca="1" si="16"/>
        <v>#NAME?</v>
      </c>
      <c r="V79" t="e">
        <f t="shared" ca="1" si="16"/>
        <v>#NAME?</v>
      </c>
      <c r="W79" t="e">
        <f t="shared" ca="1" si="16"/>
        <v>#NAME?</v>
      </c>
      <c r="X79" t="e">
        <f t="shared" ca="1" si="16"/>
        <v>#NAME?</v>
      </c>
      <c r="Z79" s="15">
        <v>1</v>
      </c>
    </row>
    <row r="80" spans="1:26">
      <c r="A80" s="22" t="s">
        <v>155</v>
      </c>
      <c r="B80" s="25"/>
      <c r="C80" s="25"/>
      <c r="D80" s="25"/>
      <c r="E80" s="25"/>
      <c r="F80" s="25"/>
      <c r="G80" s="25"/>
      <c r="H80" s="28" t="s">
        <v>119</v>
      </c>
      <c r="J80" t="e">
        <f t="shared" ca="1" si="15"/>
        <v>#NAME?</v>
      </c>
      <c r="K80" t="e">
        <f t="shared" ca="1" si="15"/>
        <v>#NAME?</v>
      </c>
      <c r="L80" t="e">
        <f t="shared" ca="1" si="15"/>
        <v>#NAME?</v>
      </c>
      <c r="M80" t="e">
        <f t="shared" ca="1" si="15"/>
        <v>#NAME?</v>
      </c>
      <c r="N80" t="e">
        <f t="shared" ca="1" si="15"/>
        <v>#NAME?</v>
      </c>
      <c r="O80" t="e">
        <f t="shared" ca="1" si="15"/>
        <v>#NAME?</v>
      </c>
      <c r="P80" t="e">
        <f t="shared" ca="1" si="15"/>
        <v>#NAME?</v>
      </c>
      <c r="R80" t="e">
        <f t="shared" ca="1" si="16"/>
        <v>#NAME?</v>
      </c>
      <c r="S80" t="e">
        <f t="shared" ca="1" si="16"/>
        <v>#NAME?</v>
      </c>
      <c r="T80" t="e">
        <f t="shared" ca="1" si="16"/>
        <v>#NAME?</v>
      </c>
      <c r="U80" t="e">
        <f t="shared" ca="1" si="16"/>
        <v>#NAME?</v>
      </c>
      <c r="V80" t="e">
        <f t="shared" ca="1" si="16"/>
        <v>#NAME?</v>
      </c>
      <c r="W80" t="e">
        <f t="shared" ca="1" si="16"/>
        <v>#NAME?</v>
      </c>
      <c r="X80" t="e">
        <f t="shared" ca="1" si="16"/>
        <v>#NAME?</v>
      </c>
      <c r="Z80" s="15">
        <v>0.5</v>
      </c>
    </row>
    <row r="81" spans="1:26" ht="15" customHeight="1">
      <c r="A81" s="22" t="s">
        <v>156</v>
      </c>
      <c r="B81" s="25"/>
      <c r="C81" s="28" t="s">
        <v>115</v>
      </c>
      <c r="D81" s="25" t="s">
        <v>152</v>
      </c>
      <c r="E81" s="25" t="s">
        <v>152</v>
      </c>
      <c r="F81" s="25" t="s">
        <v>152</v>
      </c>
      <c r="G81" s="25" t="s">
        <v>152</v>
      </c>
      <c r="H81" s="25"/>
      <c r="J81" t="e">
        <f t="shared" ca="1" si="15"/>
        <v>#NAME?</v>
      </c>
      <c r="K81" t="e">
        <f t="shared" ca="1" si="15"/>
        <v>#NAME?</v>
      </c>
      <c r="L81" t="e">
        <f t="shared" ca="1" si="15"/>
        <v>#NAME?</v>
      </c>
      <c r="M81" t="e">
        <f t="shared" ca="1" si="15"/>
        <v>#NAME?</v>
      </c>
      <c r="N81" t="e">
        <f t="shared" ca="1" si="15"/>
        <v>#NAME?</v>
      </c>
      <c r="O81" t="e">
        <f t="shared" ca="1" si="15"/>
        <v>#NAME?</v>
      </c>
      <c r="P81" t="e">
        <f t="shared" ca="1" si="15"/>
        <v>#NAME?</v>
      </c>
      <c r="R81" t="e">
        <f t="shared" ca="1" si="16"/>
        <v>#NAME?</v>
      </c>
      <c r="S81" t="e">
        <f t="shared" ca="1" si="16"/>
        <v>#NAME?</v>
      </c>
      <c r="T81" t="e">
        <f t="shared" ca="1" si="16"/>
        <v>#NAME?</v>
      </c>
      <c r="U81" t="e">
        <f t="shared" ca="1" si="16"/>
        <v>#NAME?</v>
      </c>
      <c r="V81" t="e">
        <f t="shared" ca="1" si="16"/>
        <v>#NAME?</v>
      </c>
      <c r="W81" t="e">
        <f t="shared" ca="1" si="16"/>
        <v>#NAME?</v>
      </c>
      <c r="X81" t="e">
        <f t="shared" ca="1" si="16"/>
        <v>#NAME?</v>
      </c>
      <c r="Z81" s="15">
        <v>1</v>
      </c>
    </row>
    <row r="82" spans="1:26" ht="15" customHeight="1">
      <c r="A82" s="22" t="s">
        <v>158</v>
      </c>
      <c r="B82" s="120" t="s">
        <v>116</v>
      </c>
      <c r="C82" s="25"/>
      <c r="D82" s="25" t="s">
        <v>141</v>
      </c>
      <c r="E82" s="25"/>
      <c r="F82" s="121" t="s">
        <v>116</v>
      </c>
      <c r="G82" s="28" t="s">
        <v>115</v>
      </c>
      <c r="H82" s="25" t="s">
        <v>152</v>
      </c>
      <c r="J82" t="e">
        <f t="shared" ca="1" si="15"/>
        <v>#NAME?</v>
      </c>
      <c r="K82" t="e">
        <f t="shared" ca="1" si="15"/>
        <v>#NAME?</v>
      </c>
      <c r="L82" t="e">
        <f t="shared" ca="1" si="15"/>
        <v>#NAME?</v>
      </c>
      <c r="M82" t="e">
        <f t="shared" ca="1" si="15"/>
        <v>#NAME?</v>
      </c>
      <c r="N82" t="e">
        <f t="shared" ca="1" si="15"/>
        <v>#NAME?</v>
      </c>
      <c r="O82" t="e">
        <f t="shared" ca="1" si="15"/>
        <v>#NAME?</v>
      </c>
      <c r="P82" t="e">
        <f t="shared" ca="1" si="15"/>
        <v>#NAME?</v>
      </c>
      <c r="R82" t="e">
        <f t="shared" ca="1" si="16"/>
        <v>#NAME?</v>
      </c>
      <c r="S82" t="e">
        <f t="shared" ca="1" si="16"/>
        <v>#NAME?</v>
      </c>
      <c r="T82" t="e">
        <f t="shared" ca="1" si="16"/>
        <v>#NAME?</v>
      </c>
      <c r="U82" t="e">
        <f t="shared" ca="1" si="16"/>
        <v>#NAME?</v>
      </c>
      <c r="V82" t="e">
        <f t="shared" ca="1" si="16"/>
        <v>#NAME?</v>
      </c>
      <c r="W82" t="e">
        <f t="shared" ca="1" si="16"/>
        <v>#NAME?</v>
      </c>
      <c r="X82" t="e">
        <f t="shared" ca="1" si="16"/>
        <v>#NAME?</v>
      </c>
      <c r="Z82" s="15">
        <v>1</v>
      </c>
    </row>
    <row r="83" spans="1:26" ht="15" customHeight="1">
      <c r="A83" s="22" t="s">
        <v>159</v>
      </c>
      <c r="B83" s="121" t="s">
        <v>116</v>
      </c>
      <c r="C83" s="25"/>
      <c r="D83" s="25" t="s">
        <v>141</v>
      </c>
      <c r="E83" s="25"/>
      <c r="F83" s="25" t="s">
        <v>152</v>
      </c>
      <c r="G83" s="25" t="s">
        <v>152</v>
      </c>
      <c r="H83" s="25" t="s">
        <v>152</v>
      </c>
      <c r="J83" t="e">
        <f t="shared" ca="1" si="15"/>
        <v>#NAME?</v>
      </c>
      <c r="K83" t="e">
        <f t="shared" ca="1" si="15"/>
        <v>#NAME?</v>
      </c>
      <c r="L83" t="e">
        <f t="shared" ca="1" si="15"/>
        <v>#NAME?</v>
      </c>
      <c r="M83" t="e">
        <f t="shared" ca="1" si="15"/>
        <v>#NAME?</v>
      </c>
      <c r="N83" t="e">
        <f t="shared" ca="1" si="15"/>
        <v>#NAME?</v>
      </c>
      <c r="O83" t="e">
        <f t="shared" ca="1" si="15"/>
        <v>#NAME?</v>
      </c>
      <c r="P83" t="e">
        <f t="shared" ca="1" si="15"/>
        <v>#NAME?</v>
      </c>
      <c r="R83" t="e">
        <f t="shared" ca="1" si="16"/>
        <v>#NAME?</v>
      </c>
      <c r="S83" t="e">
        <f t="shared" ca="1" si="16"/>
        <v>#NAME?</v>
      </c>
      <c r="T83" t="e">
        <f t="shared" ca="1" si="16"/>
        <v>#NAME?</v>
      </c>
      <c r="U83" t="e">
        <f t="shared" ca="1" si="16"/>
        <v>#NAME?</v>
      </c>
      <c r="V83" t="e">
        <f t="shared" ca="1" si="16"/>
        <v>#NAME?</v>
      </c>
      <c r="W83" t="e">
        <f t="shared" ca="1" si="16"/>
        <v>#NAME?</v>
      </c>
      <c r="X83" t="e">
        <f t="shared" ca="1" si="16"/>
        <v>#NAME?</v>
      </c>
      <c r="Z83" s="15">
        <v>1</v>
      </c>
    </row>
    <row r="84" spans="1:26" ht="15" customHeight="1">
      <c r="A84" s="22" t="s">
        <v>160</v>
      </c>
      <c r="B84" s="25"/>
      <c r="C84" s="110" t="s">
        <v>139</v>
      </c>
      <c r="D84" s="25" t="s">
        <v>141</v>
      </c>
      <c r="E84" s="110" t="s">
        <v>142</v>
      </c>
      <c r="F84" s="25"/>
      <c r="G84" s="28" t="s">
        <v>119</v>
      </c>
      <c r="H84" s="121" t="s">
        <v>116</v>
      </c>
      <c r="J84" t="e">
        <f t="shared" ca="1" si="15"/>
        <v>#NAME?</v>
      </c>
      <c r="K84" t="e">
        <f t="shared" ca="1" si="15"/>
        <v>#NAME?</v>
      </c>
      <c r="L84" t="e">
        <f t="shared" ca="1" si="15"/>
        <v>#NAME?</v>
      </c>
      <c r="M84" t="e">
        <f t="shared" ca="1" si="15"/>
        <v>#NAME?</v>
      </c>
      <c r="N84" t="e">
        <f t="shared" ca="1" si="15"/>
        <v>#NAME?</v>
      </c>
      <c r="O84" t="e">
        <f t="shared" ca="1" si="15"/>
        <v>#NAME?</v>
      </c>
      <c r="P84" t="e">
        <f t="shared" ca="1" si="15"/>
        <v>#NAME?</v>
      </c>
      <c r="R84" t="e">
        <f t="shared" ca="1" si="16"/>
        <v>#NAME?</v>
      </c>
      <c r="S84" t="e">
        <f t="shared" ca="1" si="16"/>
        <v>#NAME?</v>
      </c>
      <c r="T84" t="e">
        <f t="shared" ca="1" si="16"/>
        <v>#NAME?</v>
      </c>
      <c r="U84" t="e">
        <f t="shared" ca="1" si="16"/>
        <v>#NAME?</v>
      </c>
      <c r="V84" t="e">
        <f t="shared" ca="1" si="16"/>
        <v>#NAME?</v>
      </c>
      <c r="W84" t="e">
        <f t="shared" ca="1" si="16"/>
        <v>#NAME?</v>
      </c>
      <c r="X84" t="e">
        <f t="shared" ca="1" si="16"/>
        <v>#NAME?</v>
      </c>
      <c r="Z84" s="15">
        <v>1</v>
      </c>
    </row>
    <row r="85" spans="1:26">
      <c r="A85" s="22" t="s">
        <v>161</v>
      </c>
      <c r="B85" s="25" t="s">
        <v>152</v>
      </c>
      <c r="C85" s="25"/>
      <c r="D85" s="25" t="s">
        <v>141</v>
      </c>
      <c r="E85" s="25"/>
      <c r="F85" s="25"/>
      <c r="G85" s="25"/>
      <c r="H85" s="25"/>
      <c r="J85" t="e">
        <f t="shared" ca="1" si="15"/>
        <v>#NAME?</v>
      </c>
      <c r="K85" t="e">
        <f t="shared" ca="1" si="15"/>
        <v>#NAME?</v>
      </c>
      <c r="L85" t="e">
        <f t="shared" ca="1" si="15"/>
        <v>#NAME?</v>
      </c>
      <c r="M85" t="e">
        <f t="shared" ca="1" si="15"/>
        <v>#NAME?</v>
      </c>
      <c r="N85" t="e">
        <f t="shared" ca="1" si="15"/>
        <v>#NAME?</v>
      </c>
      <c r="O85" t="e">
        <f t="shared" ca="1" si="15"/>
        <v>#NAME?</v>
      </c>
      <c r="P85" t="e">
        <f t="shared" ca="1" si="15"/>
        <v>#NAME?</v>
      </c>
      <c r="R85" t="e">
        <f t="shared" ca="1" si="16"/>
        <v>#NAME?</v>
      </c>
      <c r="S85" t="e">
        <f t="shared" ca="1" si="16"/>
        <v>#NAME?</v>
      </c>
      <c r="T85" t="e">
        <f t="shared" ca="1" si="16"/>
        <v>#NAME?</v>
      </c>
      <c r="U85" t="e">
        <f t="shared" ca="1" si="16"/>
        <v>#NAME?</v>
      </c>
      <c r="V85" t="e">
        <f t="shared" ca="1" si="16"/>
        <v>#NAME?</v>
      </c>
      <c r="W85" t="e">
        <f t="shared" ca="1" si="16"/>
        <v>#NAME?</v>
      </c>
      <c r="X85" t="e">
        <f t="shared" ca="1" si="16"/>
        <v>#NAME?</v>
      </c>
      <c r="Z85" s="15">
        <v>0.25</v>
      </c>
    </row>
    <row r="86" spans="1:26">
      <c r="A86" s="22" t="s">
        <v>162</v>
      </c>
      <c r="B86" s="25"/>
      <c r="C86" s="25"/>
      <c r="D86" s="110" t="s">
        <v>139</v>
      </c>
      <c r="E86" s="120" t="s">
        <v>116</v>
      </c>
      <c r="F86" s="120" t="s">
        <v>116</v>
      </c>
      <c r="G86" s="25"/>
      <c r="H86" s="25"/>
      <c r="J86" t="e">
        <f t="shared" ca="1" si="15"/>
        <v>#NAME?</v>
      </c>
      <c r="K86" t="e">
        <f t="shared" ca="1" si="15"/>
        <v>#NAME?</v>
      </c>
      <c r="L86" t="e">
        <f t="shared" ca="1" si="15"/>
        <v>#NAME?</v>
      </c>
      <c r="M86" t="e">
        <f t="shared" ca="1" si="15"/>
        <v>#NAME?</v>
      </c>
      <c r="N86" t="e">
        <f t="shared" ca="1" si="15"/>
        <v>#NAME?</v>
      </c>
      <c r="O86" t="e">
        <f t="shared" ca="1" si="15"/>
        <v>#NAME?</v>
      </c>
      <c r="P86" t="e">
        <f t="shared" ca="1" si="15"/>
        <v>#NAME?</v>
      </c>
      <c r="R86" t="e">
        <f t="shared" ca="1" si="16"/>
        <v>#NAME?</v>
      </c>
      <c r="S86" t="e">
        <f t="shared" ca="1" si="16"/>
        <v>#NAME?</v>
      </c>
      <c r="T86" t="e">
        <f t="shared" ca="1" si="16"/>
        <v>#NAME?</v>
      </c>
      <c r="U86" t="e">
        <f t="shared" ca="1" si="16"/>
        <v>#NAME?</v>
      </c>
      <c r="V86" t="e">
        <f t="shared" ca="1" si="16"/>
        <v>#NAME?</v>
      </c>
      <c r="W86" t="e">
        <f t="shared" ca="1" si="16"/>
        <v>#NAME?</v>
      </c>
      <c r="X86" t="e">
        <f t="shared" ca="1" si="16"/>
        <v>#NAME?</v>
      </c>
      <c r="Z86" s="15">
        <v>1</v>
      </c>
    </row>
    <row r="87" spans="1:26" ht="15" customHeight="1">
      <c r="A87" s="22" t="s">
        <v>163</v>
      </c>
      <c r="B87" s="121" t="s">
        <v>118</v>
      </c>
      <c r="C87" s="121" t="s">
        <v>118</v>
      </c>
      <c r="D87" s="25" t="s">
        <v>141</v>
      </c>
      <c r="E87" s="121" t="s">
        <v>118</v>
      </c>
      <c r="F87" s="120" t="s">
        <v>118</v>
      </c>
      <c r="G87" s="25"/>
      <c r="H87" s="25"/>
      <c r="J87" t="e">
        <f t="shared" ca="1" si="15"/>
        <v>#NAME?</v>
      </c>
      <c r="K87" t="e">
        <f t="shared" ca="1" si="15"/>
        <v>#NAME?</v>
      </c>
      <c r="L87" t="e">
        <f t="shared" ca="1" si="15"/>
        <v>#NAME?</v>
      </c>
      <c r="M87" t="e">
        <f t="shared" ca="1" si="15"/>
        <v>#NAME?</v>
      </c>
      <c r="N87" t="e">
        <f t="shared" ca="1" si="15"/>
        <v>#NAME?</v>
      </c>
      <c r="O87" t="e">
        <f t="shared" ca="1" si="15"/>
        <v>#NAME?</v>
      </c>
      <c r="P87" t="e">
        <f t="shared" ca="1" si="15"/>
        <v>#NAME?</v>
      </c>
      <c r="R87" t="e">
        <f t="shared" ca="1" si="16"/>
        <v>#NAME?</v>
      </c>
      <c r="S87" t="e">
        <f t="shared" ca="1" si="16"/>
        <v>#NAME?</v>
      </c>
      <c r="T87" t="e">
        <f t="shared" ca="1" si="16"/>
        <v>#NAME?</v>
      </c>
      <c r="U87" t="e">
        <f t="shared" ca="1" si="16"/>
        <v>#NAME?</v>
      </c>
      <c r="V87" t="e">
        <f t="shared" ca="1" si="16"/>
        <v>#NAME?</v>
      </c>
      <c r="W87" t="e">
        <f t="shared" ca="1" si="16"/>
        <v>#NAME?</v>
      </c>
      <c r="X87" t="e">
        <f t="shared" ca="1" si="16"/>
        <v>#NAME?</v>
      </c>
      <c r="Z87" s="15">
        <v>1</v>
      </c>
    </row>
    <row r="88" spans="1:26" ht="15" customHeight="1">
      <c r="A88" s="22" t="s">
        <v>164</v>
      </c>
      <c r="B88" s="127" t="s">
        <v>18</v>
      </c>
      <c r="C88" s="128"/>
      <c r="D88" s="128"/>
      <c r="E88" s="128"/>
      <c r="F88" s="128"/>
      <c r="G88" s="128"/>
      <c r="H88" s="129"/>
      <c r="J88" t="e">
        <f t="shared" ca="1" si="15"/>
        <v>#NAME?</v>
      </c>
      <c r="K88" t="e">
        <f t="shared" ca="1" si="15"/>
        <v>#NAME?</v>
      </c>
      <c r="L88" t="e">
        <f t="shared" ca="1" si="15"/>
        <v>#NAME?</v>
      </c>
      <c r="M88" t="e">
        <f t="shared" ca="1" si="15"/>
        <v>#NAME?</v>
      </c>
      <c r="N88" t="e">
        <f t="shared" ca="1" si="15"/>
        <v>#NAME?</v>
      </c>
      <c r="O88" t="e">
        <f t="shared" ca="1" si="15"/>
        <v>#NAME?</v>
      </c>
      <c r="P88" t="e">
        <f t="shared" ca="1" si="15"/>
        <v>#NAME?</v>
      </c>
      <c r="R88" t="e">
        <f t="shared" ca="1" si="16"/>
        <v>#NAME?</v>
      </c>
      <c r="S88" t="e">
        <f t="shared" ca="1" si="16"/>
        <v>#NAME?</v>
      </c>
      <c r="T88" t="e">
        <f t="shared" ca="1" si="16"/>
        <v>#NAME?</v>
      </c>
      <c r="U88" t="e">
        <f t="shared" ca="1" si="16"/>
        <v>#NAME?</v>
      </c>
      <c r="V88" t="e">
        <f t="shared" ca="1" si="16"/>
        <v>#NAME?</v>
      </c>
      <c r="W88" t="e">
        <f t="shared" ca="1" si="16"/>
        <v>#NAME?</v>
      </c>
      <c r="X88" t="e">
        <f t="shared" ca="1" si="16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120" t="s">
        <v>116</v>
      </c>
      <c r="E89" s="25" t="s">
        <v>152</v>
      </c>
      <c r="F89" s="25" t="s">
        <v>152</v>
      </c>
      <c r="G89" s="25" t="s">
        <v>152</v>
      </c>
      <c r="H89" s="25"/>
      <c r="J89" t="e">
        <f t="shared" ca="1" si="15"/>
        <v>#NAME?</v>
      </c>
      <c r="K89" t="e">
        <f t="shared" ca="1" si="15"/>
        <v>#NAME?</v>
      </c>
      <c r="L89" t="e">
        <f t="shared" ca="1" si="15"/>
        <v>#NAME?</v>
      </c>
      <c r="M89" t="e">
        <f t="shared" ca="1" si="15"/>
        <v>#NAME?</v>
      </c>
      <c r="N89" t="e">
        <f t="shared" ca="1" si="15"/>
        <v>#NAME?</v>
      </c>
      <c r="O89" t="e">
        <f t="shared" ca="1" si="15"/>
        <v>#NAME?</v>
      </c>
      <c r="P89" t="e">
        <f t="shared" ca="1" si="15"/>
        <v>#NAME?</v>
      </c>
      <c r="R89" t="e">
        <f t="shared" ca="1" si="16"/>
        <v>#NAME?</v>
      </c>
      <c r="S89" t="e">
        <f t="shared" ca="1" si="16"/>
        <v>#NAME?</v>
      </c>
      <c r="T89" t="e">
        <f t="shared" ca="1" si="16"/>
        <v>#NAME?</v>
      </c>
      <c r="U89" t="e">
        <f t="shared" ca="1" si="16"/>
        <v>#NAME?</v>
      </c>
      <c r="V89" t="e">
        <f t="shared" ca="1" si="16"/>
        <v>#NAME?</v>
      </c>
      <c r="W89" t="e">
        <f t="shared" ca="1" si="16"/>
        <v>#NAME?</v>
      </c>
      <c r="X89" t="e">
        <f t="shared" ca="1" si="16"/>
        <v>#NAME?</v>
      </c>
      <c r="Z89" s="15">
        <v>0.75</v>
      </c>
    </row>
    <row r="90" spans="1:26" ht="15" customHeight="1">
      <c r="A90" s="22" t="s">
        <v>168</v>
      </c>
      <c r="B90" s="28" t="s">
        <v>119</v>
      </c>
      <c r="C90" s="110" t="s">
        <v>142</v>
      </c>
      <c r="D90" s="25" t="s">
        <v>141</v>
      </c>
      <c r="E90" s="25"/>
      <c r="F90" s="121" t="s">
        <v>116</v>
      </c>
      <c r="G90" s="121" t="s">
        <v>116</v>
      </c>
      <c r="H90" s="110" t="s">
        <v>139</v>
      </c>
      <c r="J90" t="e">
        <f t="shared" ca="1" si="15"/>
        <v>#NAME?</v>
      </c>
      <c r="K90" t="e">
        <f t="shared" ca="1" si="15"/>
        <v>#NAME?</v>
      </c>
      <c r="L90" t="e">
        <f t="shared" ca="1" si="15"/>
        <v>#NAME?</v>
      </c>
      <c r="M90" t="e">
        <f t="shared" ca="1" si="15"/>
        <v>#NAME?</v>
      </c>
      <c r="N90" t="e">
        <f t="shared" ca="1" si="15"/>
        <v>#NAME?</v>
      </c>
      <c r="O90" t="e">
        <f t="shared" ca="1" si="15"/>
        <v>#NAME?</v>
      </c>
      <c r="P90" t="e">
        <f t="shared" ca="1" si="15"/>
        <v>#NAME?</v>
      </c>
      <c r="R90" t="e">
        <f t="shared" ca="1" si="16"/>
        <v>#NAME?</v>
      </c>
      <c r="S90" t="e">
        <f t="shared" ca="1" si="16"/>
        <v>#NAME?</v>
      </c>
      <c r="T90" t="e">
        <f t="shared" ca="1" si="16"/>
        <v>#NAME?</v>
      </c>
      <c r="U90" t="e">
        <f t="shared" ca="1" si="16"/>
        <v>#NAME?</v>
      </c>
      <c r="V90" t="e">
        <f t="shared" ca="1" si="16"/>
        <v>#NAME?</v>
      </c>
      <c r="W90" t="e">
        <f t="shared" ca="1" si="16"/>
        <v>#NAME?</v>
      </c>
      <c r="X90" t="e">
        <f t="shared" ca="1" si="16"/>
        <v>#NAME?</v>
      </c>
      <c r="Z90" s="15">
        <v>1</v>
      </c>
    </row>
    <row r="91" spans="1:26" ht="15" customHeight="1">
      <c r="A91" s="22" t="s">
        <v>169</v>
      </c>
      <c r="B91" s="110" t="s">
        <v>142</v>
      </c>
      <c r="C91" s="28" t="s">
        <v>119</v>
      </c>
      <c r="D91" s="121" t="s">
        <v>116</v>
      </c>
      <c r="E91" s="110" t="s">
        <v>139</v>
      </c>
      <c r="F91" s="25"/>
      <c r="G91" s="25"/>
      <c r="H91" s="120" t="s">
        <v>118</v>
      </c>
      <c r="J91" t="e">
        <f t="shared" ca="1" si="15"/>
        <v>#NAME?</v>
      </c>
      <c r="K91" t="e">
        <f t="shared" ca="1" si="15"/>
        <v>#NAME?</v>
      </c>
      <c r="L91" t="e">
        <f t="shared" ca="1" si="15"/>
        <v>#NAME?</v>
      </c>
      <c r="M91" t="e">
        <f t="shared" ca="1" si="15"/>
        <v>#NAME?</v>
      </c>
      <c r="N91" t="e">
        <f t="shared" ca="1" si="15"/>
        <v>#NAME?</v>
      </c>
      <c r="O91" t="e">
        <f t="shared" ca="1" si="15"/>
        <v>#NAME?</v>
      </c>
      <c r="P91" t="e">
        <f t="shared" ca="1" si="15"/>
        <v>#NAME?</v>
      </c>
      <c r="R91" t="e">
        <f t="shared" ca="1" si="16"/>
        <v>#NAME?</v>
      </c>
      <c r="S91" t="e">
        <f t="shared" ca="1" si="16"/>
        <v>#NAME?</v>
      </c>
      <c r="T91" t="e">
        <f t="shared" ca="1" si="16"/>
        <v>#NAME?</v>
      </c>
      <c r="U91" t="e">
        <f t="shared" ca="1" si="16"/>
        <v>#NAME?</v>
      </c>
      <c r="V91" t="e">
        <f t="shared" ca="1" si="16"/>
        <v>#NAME?</v>
      </c>
      <c r="W91" t="e">
        <f t="shared" ca="1" si="16"/>
        <v>#NAME?</v>
      </c>
      <c r="X91" t="e">
        <f t="shared" ca="1" si="16"/>
        <v>#NAME?</v>
      </c>
      <c r="Z91" s="15">
        <v>1</v>
      </c>
    </row>
    <row r="92" spans="1:26" ht="15" customHeight="1">
      <c r="A92" s="22" t="s">
        <v>171</v>
      </c>
      <c r="B92" s="25"/>
      <c r="C92" s="25"/>
      <c r="D92" s="25" t="s">
        <v>141</v>
      </c>
      <c r="E92" s="28" t="s">
        <v>115</v>
      </c>
      <c r="F92" s="120" t="s">
        <v>116</v>
      </c>
      <c r="G92" s="110" t="s">
        <v>139</v>
      </c>
      <c r="H92" s="25"/>
      <c r="J92" t="e">
        <f t="shared" ca="1" si="15"/>
        <v>#NAME?</v>
      </c>
      <c r="K92" t="e">
        <f t="shared" ca="1" si="15"/>
        <v>#NAME?</v>
      </c>
      <c r="L92" t="e">
        <f t="shared" ca="1" si="15"/>
        <v>#NAME?</v>
      </c>
      <c r="M92" t="e">
        <f t="shared" ca="1" si="15"/>
        <v>#NAME?</v>
      </c>
      <c r="N92" t="e">
        <f t="shared" ca="1" si="15"/>
        <v>#NAME?</v>
      </c>
      <c r="O92" t="e">
        <f t="shared" ca="1" si="15"/>
        <v>#NAME?</v>
      </c>
      <c r="P92" t="e">
        <f t="shared" ca="1" si="15"/>
        <v>#NAME?</v>
      </c>
      <c r="R92" t="e">
        <f t="shared" ca="1" si="16"/>
        <v>#NAME?</v>
      </c>
      <c r="S92" t="e">
        <f t="shared" ca="1" si="16"/>
        <v>#NAME?</v>
      </c>
      <c r="T92" t="e">
        <f t="shared" ca="1" si="16"/>
        <v>#NAME?</v>
      </c>
      <c r="U92" t="e">
        <f t="shared" ca="1" si="16"/>
        <v>#NAME?</v>
      </c>
      <c r="V92" t="e">
        <f t="shared" ca="1" si="16"/>
        <v>#NAME?</v>
      </c>
      <c r="W92" t="e">
        <f t="shared" ca="1" si="16"/>
        <v>#NAME?</v>
      </c>
      <c r="X92" t="e">
        <f t="shared" ca="1" si="16"/>
        <v>#NAME?</v>
      </c>
      <c r="Z92" s="15">
        <v>0.75</v>
      </c>
    </row>
    <row r="93" spans="1:26">
      <c r="A93" s="22" t="s">
        <v>174</v>
      </c>
      <c r="B93" s="25" t="s">
        <v>152</v>
      </c>
      <c r="C93" s="25"/>
      <c r="D93" s="25" t="s">
        <v>141</v>
      </c>
      <c r="E93" s="25"/>
      <c r="F93" s="25"/>
      <c r="G93" s="25"/>
      <c r="H93" s="25"/>
      <c r="J93" t="e">
        <f t="shared" ca="1" si="15"/>
        <v>#NAME?</v>
      </c>
      <c r="K93" t="e">
        <f t="shared" ca="1" si="15"/>
        <v>#NAME?</v>
      </c>
      <c r="L93" t="e">
        <f t="shared" ca="1" si="15"/>
        <v>#NAME?</v>
      </c>
      <c r="M93" t="e">
        <f t="shared" ca="1" si="15"/>
        <v>#NAME?</v>
      </c>
      <c r="N93" t="e">
        <f t="shared" ca="1" si="15"/>
        <v>#NAME?</v>
      </c>
      <c r="O93" t="e">
        <f t="shared" ca="1" si="15"/>
        <v>#NAME?</v>
      </c>
      <c r="P93" t="e">
        <f t="shared" ca="1" si="15"/>
        <v>#NAME?</v>
      </c>
      <c r="R93" t="e">
        <f t="shared" ca="1" si="16"/>
        <v>#NAME?</v>
      </c>
      <c r="S93" t="e">
        <f t="shared" ca="1" si="16"/>
        <v>#NAME?</v>
      </c>
      <c r="T93" t="e">
        <f t="shared" ca="1" si="16"/>
        <v>#NAME?</v>
      </c>
      <c r="U93" t="e">
        <f t="shared" ca="1" si="16"/>
        <v>#NAME?</v>
      </c>
      <c r="V93" t="e">
        <f t="shared" ca="1" si="16"/>
        <v>#NAME?</v>
      </c>
      <c r="W93" t="e">
        <f t="shared" ca="1" si="16"/>
        <v>#NAME?</v>
      </c>
      <c r="X93" t="e">
        <f t="shared" ca="1" si="16"/>
        <v>#NAME?</v>
      </c>
      <c r="Z93" s="15">
        <v>0.75</v>
      </c>
    </row>
    <row r="94" spans="1:26">
      <c r="A94" s="22" t="s">
        <v>175</v>
      </c>
      <c r="B94" s="120" t="s">
        <v>116</v>
      </c>
      <c r="C94" s="121" t="s">
        <v>116</v>
      </c>
      <c r="D94" s="25" t="s">
        <v>141</v>
      </c>
      <c r="E94" s="120" t="s">
        <v>116</v>
      </c>
      <c r="F94" s="25"/>
      <c r="G94" s="121" t="s">
        <v>118</v>
      </c>
      <c r="H94" s="120" t="s">
        <v>116</v>
      </c>
      <c r="J94" t="e">
        <f t="shared" ca="1" si="15"/>
        <v>#NAME?</v>
      </c>
      <c r="K94" t="e">
        <f t="shared" ca="1" si="15"/>
        <v>#NAME?</v>
      </c>
      <c r="L94" t="e">
        <f t="shared" ca="1" si="15"/>
        <v>#NAME?</v>
      </c>
      <c r="M94" t="e">
        <f t="shared" ca="1" si="15"/>
        <v>#NAME?</v>
      </c>
      <c r="N94" t="e">
        <f t="shared" ca="1" si="15"/>
        <v>#NAME?</v>
      </c>
      <c r="O94" t="e">
        <f t="shared" ca="1" si="15"/>
        <v>#NAME?</v>
      </c>
      <c r="P94" t="e">
        <f t="shared" ca="1" si="15"/>
        <v>#NAME?</v>
      </c>
      <c r="R94" t="e">
        <f t="shared" ca="1" si="16"/>
        <v>#NAME?</v>
      </c>
      <c r="S94" t="e">
        <f t="shared" ca="1" si="16"/>
        <v>#NAME?</v>
      </c>
      <c r="T94" t="e">
        <f t="shared" ca="1" si="16"/>
        <v>#NAME?</v>
      </c>
      <c r="U94" t="e">
        <f t="shared" ca="1" si="16"/>
        <v>#NAME?</v>
      </c>
      <c r="V94" t="e">
        <f t="shared" ca="1" si="16"/>
        <v>#NAME?</v>
      </c>
      <c r="W94" t="e">
        <f t="shared" ca="1" si="16"/>
        <v>#NAME?</v>
      </c>
      <c r="X94" t="e">
        <f t="shared" ca="1" si="16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120" t="s">
        <v>116</v>
      </c>
      <c r="H95" s="25"/>
      <c r="J95" t="e">
        <f t="shared" ca="1" si="15"/>
        <v>#NAME?</v>
      </c>
      <c r="K95" t="e">
        <f t="shared" ca="1" si="15"/>
        <v>#NAME?</v>
      </c>
      <c r="L95" t="e">
        <f t="shared" ca="1" si="15"/>
        <v>#NAME?</v>
      </c>
      <c r="M95" t="e">
        <f t="shared" ca="1" si="15"/>
        <v>#NAME?</v>
      </c>
      <c r="N95" t="e">
        <f t="shared" ca="1" si="15"/>
        <v>#NAME?</v>
      </c>
      <c r="O95" t="e">
        <f t="shared" ca="1" si="15"/>
        <v>#NAME?</v>
      </c>
      <c r="P95" t="e">
        <f t="shared" ca="1" si="15"/>
        <v>#NAME?</v>
      </c>
      <c r="R95" t="e">
        <f t="shared" ca="1" si="16"/>
        <v>#NAME?</v>
      </c>
      <c r="S95" t="e">
        <f t="shared" ca="1" si="16"/>
        <v>#NAME?</v>
      </c>
      <c r="T95" t="e">
        <f t="shared" ca="1" si="16"/>
        <v>#NAME?</v>
      </c>
      <c r="U95" t="e">
        <f t="shared" ca="1" si="16"/>
        <v>#NAME?</v>
      </c>
      <c r="V95" t="e">
        <f t="shared" ca="1" si="16"/>
        <v>#NAME?</v>
      </c>
      <c r="W95" t="e">
        <f t="shared" ca="1" si="16"/>
        <v>#NAME?</v>
      </c>
      <c r="X95" t="e">
        <f t="shared" ca="1" si="16"/>
        <v>#NAME?</v>
      </c>
      <c r="Z95" s="15">
        <v>0.25</v>
      </c>
    </row>
    <row r="96" spans="1:26" ht="15" customHeight="1">
      <c r="A96" s="22" t="s">
        <v>177</v>
      </c>
      <c r="B96" s="120" t="s">
        <v>118</v>
      </c>
      <c r="C96" s="25"/>
      <c r="D96" s="25" t="s">
        <v>141</v>
      </c>
      <c r="E96" s="28" t="s">
        <v>119</v>
      </c>
      <c r="F96" s="121" t="s">
        <v>118</v>
      </c>
      <c r="G96" s="25"/>
      <c r="H96" s="25"/>
      <c r="J96" t="e">
        <f t="shared" ca="1" si="15"/>
        <v>#NAME?</v>
      </c>
      <c r="K96" t="e">
        <f t="shared" ca="1" si="15"/>
        <v>#NAME?</v>
      </c>
      <c r="L96" t="e">
        <f t="shared" ca="1" si="15"/>
        <v>#NAME?</v>
      </c>
      <c r="M96" t="e">
        <f t="shared" ca="1" si="15"/>
        <v>#NAME?</v>
      </c>
      <c r="N96" t="e">
        <f t="shared" ca="1" si="15"/>
        <v>#NAME?</v>
      </c>
      <c r="O96" t="e">
        <f t="shared" ca="1" si="15"/>
        <v>#NAME?</v>
      </c>
      <c r="P96" t="e">
        <f t="shared" ca="1" si="15"/>
        <v>#NAME?</v>
      </c>
      <c r="R96" t="e">
        <f t="shared" ca="1" si="16"/>
        <v>#NAME?</v>
      </c>
      <c r="S96" t="e">
        <f t="shared" ca="1" si="16"/>
        <v>#NAME?</v>
      </c>
      <c r="T96" t="e">
        <f t="shared" ca="1" si="16"/>
        <v>#NAME?</v>
      </c>
      <c r="U96" t="e">
        <f t="shared" ca="1" si="16"/>
        <v>#NAME?</v>
      </c>
      <c r="V96" t="e">
        <f t="shared" ca="1" si="16"/>
        <v>#NAME?</v>
      </c>
      <c r="W96" t="e">
        <f t="shared" ca="1" si="16"/>
        <v>#NAME?</v>
      </c>
      <c r="X96" t="e">
        <f t="shared" ca="1" si="16"/>
        <v>#NAME?</v>
      </c>
      <c r="Z96" s="15">
        <v>0.75</v>
      </c>
    </row>
    <row r="97" spans="1:26" ht="15" customHeight="1">
      <c r="A97" s="22" t="s">
        <v>178</v>
      </c>
      <c r="B97" s="110" t="s">
        <v>139</v>
      </c>
      <c r="C97" s="120" t="s">
        <v>116</v>
      </c>
      <c r="D97" s="28" t="s">
        <v>115</v>
      </c>
      <c r="E97" s="25"/>
      <c r="F97" s="110" t="s">
        <v>142</v>
      </c>
      <c r="G97" s="25"/>
      <c r="H97" s="25"/>
      <c r="J97" t="e">
        <f t="shared" ca="1" si="15"/>
        <v>#NAME?</v>
      </c>
      <c r="K97" t="e">
        <f t="shared" ca="1" si="15"/>
        <v>#NAME?</v>
      </c>
      <c r="L97" t="e">
        <f t="shared" ca="1" si="15"/>
        <v>#NAME?</v>
      </c>
      <c r="M97" t="e">
        <f t="shared" ca="1" si="15"/>
        <v>#NAME?</v>
      </c>
      <c r="N97" t="e">
        <f t="shared" ca="1" si="15"/>
        <v>#NAME?</v>
      </c>
      <c r="O97" t="e">
        <f t="shared" ca="1" si="15"/>
        <v>#NAME?</v>
      </c>
      <c r="P97" t="e">
        <f t="shared" ca="1" si="15"/>
        <v>#NAME?</v>
      </c>
      <c r="R97" t="e">
        <f t="shared" ca="1" si="16"/>
        <v>#NAME?</v>
      </c>
      <c r="S97" t="e">
        <f t="shared" ca="1" si="16"/>
        <v>#NAME?</v>
      </c>
      <c r="T97" t="e">
        <f t="shared" ca="1" si="16"/>
        <v>#NAME?</v>
      </c>
      <c r="U97" t="e">
        <f t="shared" ca="1" si="16"/>
        <v>#NAME?</v>
      </c>
      <c r="V97" t="e">
        <f t="shared" ca="1" si="16"/>
        <v>#NAME?</v>
      </c>
      <c r="W97" t="e">
        <f t="shared" ca="1" si="16"/>
        <v>#NAME?</v>
      </c>
      <c r="X97" t="e">
        <f t="shared" ca="1" si="16"/>
        <v>#NAME?</v>
      </c>
      <c r="Z97" s="15">
        <v>1</v>
      </c>
    </row>
    <row r="98" spans="1:26">
      <c r="A98" s="106" t="s">
        <v>179</v>
      </c>
      <c r="B98" s="107" t="str">
        <f t="shared" ref="B98:H98" si="18">B58</f>
        <v>Mon 18 May</v>
      </c>
      <c r="C98" s="107" t="str">
        <f t="shared" si="18"/>
        <v>Tues 19 May</v>
      </c>
      <c r="D98" s="107" t="str">
        <f t="shared" si="18"/>
        <v>Wed 20 May</v>
      </c>
      <c r="E98" s="107" t="str">
        <f t="shared" si="18"/>
        <v>Thu 21 May</v>
      </c>
      <c r="F98" s="107" t="str">
        <f t="shared" si="18"/>
        <v>Fri 22 May</v>
      </c>
      <c r="G98" s="107" t="str">
        <f t="shared" si="18"/>
        <v>Sat 23 May</v>
      </c>
      <c r="H98" s="107" t="str">
        <f t="shared" si="18"/>
        <v>Sun 24 May</v>
      </c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54">
        <f>SUM(Z76:Z97)</f>
        <v>18.25</v>
      </c>
    </row>
    <row r="99" spans="1:26">
      <c r="A99" s="22" t="s">
        <v>180</v>
      </c>
      <c r="B99" s="110" t="s">
        <v>182</v>
      </c>
      <c r="C99" s="110" t="s">
        <v>182</v>
      </c>
      <c r="D99" s="110" t="s">
        <v>116</v>
      </c>
      <c r="E99" s="110" t="s">
        <v>116</v>
      </c>
      <c r="F99" s="25"/>
      <c r="G99" s="25" t="s">
        <v>152</v>
      </c>
      <c r="H99" s="25" t="s">
        <v>152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22" t="s">
        <v>183</v>
      </c>
      <c r="B100" s="25" t="s">
        <v>152</v>
      </c>
      <c r="C100" s="25" t="s">
        <v>152</v>
      </c>
      <c r="D100" s="25" t="s">
        <v>152</v>
      </c>
      <c r="E100" s="25" t="s">
        <v>152</v>
      </c>
      <c r="F100" s="25"/>
      <c r="G100" s="25"/>
      <c r="H100" s="25"/>
      <c r="J100" t="e">
        <f t="shared" ca="1" si="15"/>
        <v>#NAME?</v>
      </c>
      <c r="K100" t="e">
        <f t="shared" ca="1" si="15"/>
        <v>#NAME?</v>
      </c>
      <c r="L100" t="e">
        <f t="shared" ca="1" si="15"/>
        <v>#NAME?</v>
      </c>
      <c r="M100" t="e">
        <f t="shared" ca="1" si="15"/>
        <v>#NAME?</v>
      </c>
      <c r="N100" t="e">
        <f t="shared" ca="1" si="15"/>
        <v>#NAME?</v>
      </c>
      <c r="O100" t="e">
        <f t="shared" ca="1" si="15"/>
        <v>#NAME?</v>
      </c>
      <c r="P100" t="e">
        <f t="shared" ca="1" si="15"/>
        <v>#NAME?</v>
      </c>
      <c r="R100" t="e">
        <f t="shared" ca="1" si="16"/>
        <v>#NAME?</v>
      </c>
      <c r="S100" t="e">
        <f t="shared" ca="1" si="16"/>
        <v>#NAME?</v>
      </c>
      <c r="T100" t="e">
        <f t="shared" ca="1" si="16"/>
        <v>#NAME?</v>
      </c>
      <c r="U100" t="e">
        <f t="shared" ca="1" si="16"/>
        <v>#NAME?</v>
      </c>
      <c r="V100" t="e">
        <f t="shared" ca="1" si="16"/>
        <v>#NAME?</v>
      </c>
      <c r="W100" t="e">
        <f t="shared" ca="1" si="16"/>
        <v>#NAME?</v>
      </c>
      <c r="X100" t="e">
        <f t="shared" ca="1" si="16"/>
        <v>#NAME?</v>
      </c>
      <c r="Z100" s="15">
        <v>1</v>
      </c>
    </row>
    <row r="101" spans="1:26">
      <c r="A101" s="106" t="s">
        <v>184</v>
      </c>
      <c r="B101" s="107" t="str">
        <f t="shared" ref="B101:H101" si="19">B58</f>
        <v>Mon 18 May</v>
      </c>
      <c r="C101" s="107" t="str">
        <f t="shared" si="19"/>
        <v>Tues 19 May</v>
      </c>
      <c r="D101" s="107" t="str">
        <f t="shared" si="19"/>
        <v>Wed 20 May</v>
      </c>
      <c r="E101" s="107" t="str">
        <f t="shared" si="19"/>
        <v>Thu 21 May</v>
      </c>
      <c r="F101" s="107" t="str">
        <f t="shared" si="19"/>
        <v>Fri 22 May</v>
      </c>
      <c r="G101" s="107" t="str">
        <f t="shared" si="19"/>
        <v>Sat 23 May</v>
      </c>
      <c r="H101" s="107" t="str">
        <f t="shared" si="19"/>
        <v>Sun 24 May</v>
      </c>
      <c r="J101" t="e">
        <f t="shared" ca="1" si="15"/>
        <v>#NAME?</v>
      </c>
      <c r="K101" t="e">
        <f t="shared" ref="K101:P137" ca="1" si="20">colorindex(C101)</f>
        <v>#NAME?</v>
      </c>
      <c r="L101" t="e">
        <f t="shared" ca="1" si="20"/>
        <v>#NAME?</v>
      </c>
      <c r="M101" t="e">
        <f t="shared" ca="1" si="20"/>
        <v>#NAME?</v>
      </c>
      <c r="N101" t="e">
        <f t="shared" ca="1" si="20"/>
        <v>#NAME?</v>
      </c>
      <c r="O101" t="e">
        <f t="shared" ca="1" si="20"/>
        <v>#NAME?</v>
      </c>
      <c r="P101" t="e">
        <f t="shared" ca="1" si="20"/>
        <v>#NAME?</v>
      </c>
      <c r="R101" t="e">
        <f t="shared" ca="1" si="16"/>
        <v>#NAME?</v>
      </c>
      <c r="S101" t="e">
        <f t="shared" ref="S101:X137" ca="1" si="21">ShiftIndex(C101)</f>
        <v>#NAME?</v>
      </c>
      <c r="T101" t="e">
        <f t="shared" ca="1" si="21"/>
        <v>#NAME?</v>
      </c>
      <c r="U101" t="e">
        <f t="shared" ca="1" si="21"/>
        <v>#NAME?</v>
      </c>
      <c r="V101" t="e">
        <f t="shared" ca="1" si="21"/>
        <v>#NAME?</v>
      </c>
      <c r="W101" t="e">
        <f t="shared" ca="1" si="21"/>
        <v>#NAME?</v>
      </c>
      <c r="X101" t="e">
        <f t="shared" ca="1" si="21"/>
        <v>#NAME?</v>
      </c>
      <c r="Z101" s="53">
        <f>SUM(Z99:Z100)</f>
        <v>2</v>
      </c>
    </row>
    <row r="102" spans="1:26">
      <c r="A102" s="22" t="s">
        <v>185</v>
      </c>
      <c r="B102" s="91" t="s">
        <v>116</v>
      </c>
      <c r="C102" s="28" t="s">
        <v>115</v>
      </c>
      <c r="D102" s="25"/>
      <c r="E102" s="90" t="s">
        <v>118</v>
      </c>
      <c r="F102" s="101" t="s">
        <v>118</v>
      </c>
      <c r="G102" s="25"/>
      <c r="H102" s="25"/>
      <c r="J102" t="e">
        <f t="shared" ref="J102:M140" ca="1" si="22">colorindex(B102)</f>
        <v>#NAME?</v>
      </c>
      <c r="K102" t="e">
        <f t="shared" ca="1" si="20"/>
        <v>#NAME?</v>
      </c>
      <c r="L102" t="e">
        <f t="shared" ca="1" si="20"/>
        <v>#NAME?</v>
      </c>
      <c r="M102" t="e">
        <f t="shared" ca="1" si="20"/>
        <v>#NAME?</v>
      </c>
      <c r="N102" t="e">
        <f t="shared" ca="1" si="20"/>
        <v>#NAME?</v>
      </c>
      <c r="O102" t="e">
        <f t="shared" ca="1" si="20"/>
        <v>#NAME?</v>
      </c>
      <c r="P102" t="e">
        <f t="shared" ca="1" si="20"/>
        <v>#NAME?</v>
      </c>
      <c r="R102" t="e">
        <f t="shared" ref="R102:U140" ca="1" si="23">ShiftIndex(B102)</f>
        <v>#NAME?</v>
      </c>
      <c r="S102" t="e">
        <f t="shared" ca="1" si="21"/>
        <v>#NAME?</v>
      </c>
      <c r="T102" t="e">
        <f t="shared" ca="1" si="21"/>
        <v>#NAME?</v>
      </c>
      <c r="U102" t="e">
        <f t="shared" ca="1" si="21"/>
        <v>#NAME?</v>
      </c>
      <c r="V102" t="e">
        <f t="shared" ca="1" si="21"/>
        <v>#NAME?</v>
      </c>
      <c r="W102" t="e">
        <f t="shared" ca="1" si="21"/>
        <v>#NAME?</v>
      </c>
      <c r="X102" t="e">
        <f t="shared" ca="1" si="21"/>
        <v>#NAME?</v>
      </c>
      <c r="Z102" s="15">
        <v>1</v>
      </c>
    </row>
    <row r="103" spans="1:26">
      <c r="A103" s="22" t="s">
        <v>187</v>
      </c>
      <c r="B103" s="109" t="s">
        <v>20</v>
      </c>
      <c r="C103" s="90" t="s">
        <v>307</v>
      </c>
      <c r="D103" s="25"/>
      <c r="E103" s="91" t="s">
        <v>118</v>
      </c>
      <c r="F103" s="91" t="s">
        <v>118</v>
      </c>
      <c r="G103" s="90" t="s">
        <v>116</v>
      </c>
      <c r="H103" s="25"/>
      <c r="J103" t="e">
        <f t="shared" ca="1" si="22"/>
        <v>#NAME?</v>
      </c>
      <c r="K103" t="e">
        <f t="shared" ca="1" si="20"/>
        <v>#NAME?</v>
      </c>
      <c r="L103" t="e">
        <f t="shared" ca="1" si="20"/>
        <v>#NAME?</v>
      </c>
      <c r="M103" t="e">
        <f t="shared" ca="1" si="20"/>
        <v>#NAME?</v>
      </c>
      <c r="N103" t="e">
        <f t="shared" ca="1" si="20"/>
        <v>#NAME?</v>
      </c>
      <c r="O103" t="e">
        <f t="shared" ca="1" si="20"/>
        <v>#NAME?</v>
      </c>
      <c r="P103" t="e">
        <f t="shared" ca="1" si="20"/>
        <v>#NAME?</v>
      </c>
      <c r="R103" t="e">
        <f t="shared" ca="1" si="23"/>
        <v>#NAME?</v>
      </c>
      <c r="S103" t="e">
        <f t="shared" ca="1" si="21"/>
        <v>#NAME?</v>
      </c>
      <c r="T103" t="e">
        <f t="shared" ca="1" si="21"/>
        <v>#NAME?</v>
      </c>
      <c r="U103" t="e">
        <f t="shared" ca="1" si="21"/>
        <v>#NAME?</v>
      </c>
      <c r="V103" t="e">
        <f t="shared" ca="1" si="21"/>
        <v>#NAME?</v>
      </c>
      <c r="W103" t="e">
        <f t="shared" ca="1" si="21"/>
        <v>#NAME?</v>
      </c>
      <c r="X103" t="e">
        <f t="shared" ca="1" si="21"/>
        <v>#NAME?</v>
      </c>
      <c r="Z103" s="15">
        <v>1</v>
      </c>
    </row>
    <row r="104" spans="1:26">
      <c r="A104" s="22" t="s">
        <v>188</v>
      </c>
      <c r="B104" s="101" t="s">
        <v>118</v>
      </c>
      <c r="C104" s="90" t="s">
        <v>118</v>
      </c>
      <c r="D104" s="91" t="s">
        <v>118</v>
      </c>
      <c r="E104" s="28" t="s">
        <v>115</v>
      </c>
      <c r="F104" s="25"/>
      <c r="G104" s="25"/>
      <c r="H104" s="25"/>
      <c r="J104" t="e">
        <f t="shared" ca="1" si="22"/>
        <v>#NAME?</v>
      </c>
      <c r="K104" t="e">
        <f t="shared" ca="1" si="20"/>
        <v>#NAME?</v>
      </c>
      <c r="L104" t="e">
        <f t="shared" ca="1" si="20"/>
        <v>#NAME?</v>
      </c>
      <c r="M104" t="e">
        <f t="shared" ca="1" si="20"/>
        <v>#NAME?</v>
      </c>
      <c r="N104" t="e">
        <f t="shared" ca="1" si="20"/>
        <v>#NAME?</v>
      </c>
      <c r="O104" t="e">
        <f t="shared" ca="1" si="20"/>
        <v>#NAME?</v>
      </c>
      <c r="P104" t="e">
        <f t="shared" ca="1" si="20"/>
        <v>#NAME?</v>
      </c>
      <c r="R104" t="e">
        <f t="shared" ca="1" si="23"/>
        <v>#NAME?</v>
      </c>
      <c r="S104" t="e">
        <f t="shared" ca="1" si="21"/>
        <v>#NAME?</v>
      </c>
      <c r="T104" t="e">
        <f t="shared" ca="1" si="21"/>
        <v>#NAME?</v>
      </c>
      <c r="U104" t="e">
        <f t="shared" ca="1" si="21"/>
        <v>#NAME?</v>
      </c>
      <c r="V104" t="e">
        <f t="shared" ca="1" si="21"/>
        <v>#NAME?</v>
      </c>
      <c r="W104" t="e">
        <f t="shared" ca="1" si="21"/>
        <v>#NAME?</v>
      </c>
      <c r="X104" t="e">
        <f t="shared" ca="1" si="21"/>
        <v>#NAME?</v>
      </c>
      <c r="Z104" s="15">
        <v>1</v>
      </c>
    </row>
    <row r="105" spans="1:26">
      <c r="A105" s="22" t="s">
        <v>190</v>
      </c>
      <c r="B105" s="101" t="s">
        <v>116</v>
      </c>
      <c r="C105" s="91" t="s">
        <v>307</v>
      </c>
      <c r="D105" s="25"/>
      <c r="E105" s="25"/>
      <c r="F105" s="25"/>
      <c r="G105" s="91" t="s">
        <v>116</v>
      </c>
      <c r="H105" s="90" t="s">
        <v>116</v>
      </c>
      <c r="J105" t="e">
        <f t="shared" ca="1" si="22"/>
        <v>#NAME?</v>
      </c>
      <c r="K105" t="e">
        <f t="shared" ca="1" si="20"/>
        <v>#NAME?</v>
      </c>
      <c r="L105" t="e">
        <f t="shared" ca="1" si="20"/>
        <v>#NAME?</v>
      </c>
      <c r="M105" t="e">
        <f t="shared" ca="1" si="20"/>
        <v>#NAME?</v>
      </c>
      <c r="N105" t="e">
        <f t="shared" ca="1" si="20"/>
        <v>#NAME?</v>
      </c>
      <c r="O105" t="e">
        <f t="shared" ca="1" si="20"/>
        <v>#NAME?</v>
      </c>
      <c r="P105" t="e">
        <f t="shared" ca="1" si="20"/>
        <v>#NAME?</v>
      </c>
      <c r="R105" t="e">
        <f t="shared" ca="1" si="23"/>
        <v>#NAME?</v>
      </c>
      <c r="S105" t="e">
        <f t="shared" ca="1" si="21"/>
        <v>#NAME?</v>
      </c>
      <c r="T105" t="e">
        <f t="shared" ca="1" si="21"/>
        <v>#NAME?</v>
      </c>
      <c r="U105" t="e">
        <f t="shared" ca="1" si="21"/>
        <v>#NAME?</v>
      </c>
      <c r="V105" t="e">
        <f t="shared" ca="1" si="21"/>
        <v>#NAME?</v>
      </c>
      <c r="W105" t="e">
        <f t="shared" ca="1" si="21"/>
        <v>#NAME?</v>
      </c>
      <c r="X105" t="e">
        <f t="shared" ca="1" si="21"/>
        <v>#NAME?</v>
      </c>
      <c r="Z105" s="15">
        <v>1</v>
      </c>
    </row>
    <row r="106" spans="1:26">
      <c r="A106" s="22" t="s">
        <v>191</v>
      </c>
      <c r="B106" s="127" t="s">
        <v>20</v>
      </c>
      <c r="C106" s="129"/>
      <c r="D106" s="25" t="s">
        <v>152</v>
      </c>
      <c r="E106" s="25" t="s">
        <v>152</v>
      </c>
      <c r="F106" s="25" t="s">
        <v>152</v>
      </c>
      <c r="G106" s="25" t="s">
        <v>152</v>
      </c>
      <c r="H106" s="25"/>
      <c r="J106" t="e">
        <f t="shared" ca="1" si="22"/>
        <v>#NAME?</v>
      </c>
      <c r="K106" t="e">
        <f t="shared" ca="1" si="20"/>
        <v>#NAME?</v>
      </c>
      <c r="L106" t="e">
        <f t="shared" ca="1" si="20"/>
        <v>#NAME?</v>
      </c>
      <c r="M106" t="e">
        <f t="shared" ca="1" si="20"/>
        <v>#NAME?</v>
      </c>
      <c r="N106" t="e">
        <f t="shared" ca="1" si="20"/>
        <v>#NAME?</v>
      </c>
      <c r="O106" t="e">
        <f t="shared" ca="1" si="20"/>
        <v>#NAME?</v>
      </c>
      <c r="P106" t="e">
        <f t="shared" ca="1" si="20"/>
        <v>#NAME?</v>
      </c>
      <c r="R106" t="e">
        <f t="shared" ca="1" si="23"/>
        <v>#NAME?</v>
      </c>
      <c r="S106" t="e">
        <f t="shared" ca="1" si="21"/>
        <v>#NAME?</v>
      </c>
      <c r="T106" t="e">
        <f t="shared" ca="1" si="21"/>
        <v>#NAME?</v>
      </c>
      <c r="U106" t="e">
        <f t="shared" ca="1" si="21"/>
        <v>#NAME?</v>
      </c>
      <c r="V106" t="e">
        <f t="shared" ca="1" si="21"/>
        <v>#NAME?</v>
      </c>
      <c r="W106" t="e">
        <f t="shared" ca="1" si="21"/>
        <v>#NAME?</v>
      </c>
      <c r="X106" t="e">
        <f t="shared" ca="1" si="21"/>
        <v>#NAME?</v>
      </c>
      <c r="Z106" s="15">
        <v>1</v>
      </c>
    </row>
    <row r="107" spans="1:26">
      <c r="A107" s="22" t="s">
        <v>192</v>
      </c>
      <c r="B107" s="25"/>
      <c r="C107" s="25"/>
      <c r="D107" s="25" t="s">
        <v>308</v>
      </c>
      <c r="E107" s="110" t="s">
        <v>142</v>
      </c>
      <c r="F107" s="101" t="s">
        <v>116</v>
      </c>
      <c r="G107" s="25"/>
      <c r="H107" s="25"/>
      <c r="J107" t="e">
        <f t="shared" ca="1" si="22"/>
        <v>#NAME?</v>
      </c>
      <c r="K107" t="e">
        <f t="shared" ca="1" si="20"/>
        <v>#NAME?</v>
      </c>
      <c r="L107" t="e">
        <f t="shared" ca="1" si="20"/>
        <v>#NAME?</v>
      </c>
      <c r="M107" t="e">
        <f t="shared" ca="1" si="20"/>
        <v>#NAME?</v>
      </c>
      <c r="N107" t="e">
        <f t="shared" ca="1" si="20"/>
        <v>#NAME?</v>
      </c>
      <c r="O107" t="e">
        <f t="shared" ca="1" si="20"/>
        <v>#NAME?</v>
      </c>
      <c r="P107" t="e">
        <f t="shared" ca="1" si="20"/>
        <v>#NAME?</v>
      </c>
      <c r="R107" t="e">
        <f t="shared" ca="1" si="23"/>
        <v>#NAME?</v>
      </c>
      <c r="S107" t="e">
        <f t="shared" ca="1" si="21"/>
        <v>#NAME?</v>
      </c>
      <c r="T107" t="e">
        <f t="shared" ca="1" si="21"/>
        <v>#NAME?</v>
      </c>
      <c r="U107" t="e">
        <f t="shared" ca="1" si="21"/>
        <v>#NAME?</v>
      </c>
      <c r="V107" t="e">
        <f t="shared" ca="1" si="21"/>
        <v>#NAME?</v>
      </c>
      <c r="W107" t="e">
        <f t="shared" ca="1" si="21"/>
        <v>#NAME?</v>
      </c>
      <c r="X107" t="e">
        <f t="shared" ca="1" si="21"/>
        <v>#NAME?</v>
      </c>
      <c r="Z107" s="15">
        <v>0.875</v>
      </c>
    </row>
    <row r="108" spans="1:26">
      <c r="A108" s="22" t="s">
        <v>193</v>
      </c>
      <c r="B108" s="25" t="s">
        <v>152</v>
      </c>
      <c r="C108" s="25"/>
      <c r="D108" s="25"/>
      <c r="E108" s="25"/>
      <c r="F108" s="25"/>
      <c r="G108" s="101" t="s">
        <v>118</v>
      </c>
      <c r="H108" s="110" t="s">
        <v>142</v>
      </c>
      <c r="J108" t="e">
        <f t="shared" ca="1" si="22"/>
        <v>#NAME?</v>
      </c>
      <c r="K108" t="e">
        <f t="shared" ca="1" si="20"/>
        <v>#NAME?</v>
      </c>
      <c r="L108" t="e">
        <f t="shared" ca="1" si="20"/>
        <v>#NAME?</v>
      </c>
      <c r="M108" t="e">
        <f t="shared" ca="1" si="20"/>
        <v>#NAME?</v>
      </c>
      <c r="N108" t="e">
        <f t="shared" ca="1" si="20"/>
        <v>#NAME?</v>
      </c>
      <c r="O108" t="e">
        <f t="shared" ca="1" si="20"/>
        <v>#NAME?</v>
      </c>
      <c r="P108" t="e">
        <f t="shared" ca="1" si="20"/>
        <v>#NAME?</v>
      </c>
      <c r="R108" t="e">
        <f t="shared" ca="1" si="23"/>
        <v>#NAME?</v>
      </c>
      <c r="S108" t="e">
        <f t="shared" ca="1" si="21"/>
        <v>#NAME?</v>
      </c>
      <c r="T108" t="e">
        <f t="shared" ca="1" si="21"/>
        <v>#NAME?</v>
      </c>
      <c r="U108" t="e">
        <f t="shared" ca="1" si="21"/>
        <v>#NAME?</v>
      </c>
      <c r="V108" t="e">
        <f t="shared" ca="1" si="21"/>
        <v>#NAME?</v>
      </c>
      <c r="W108" t="e">
        <f t="shared" ca="1" si="21"/>
        <v>#NAME?</v>
      </c>
      <c r="X108" t="e">
        <f t="shared" ca="1" si="21"/>
        <v>#NAME?</v>
      </c>
      <c r="Z108" s="15">
        <v>1</v>
      </c>
    </row>
    <row r="109" spans="1:26">
      <c r="A109" s="22" t="s">
        <v>194</v>
      </c>
      <c r="B109" s="44" t="s">
        <v>189</v>
      </c>
      <c r="C109" s="25"/>
      <c r="D109" s="91" t="s">
        <v>118</v>
      </c>
      <c r="E109" s="25" t="s">
        <v>152</v>
      </c>
      <c r="F109" s="25" t="s">
        <v>152</v>
      </c>
      <c r="G109" s="25"/>
      <c r="H109" s="25"/>
      <c r="J109" t="e">
        <f t="shared" ca="1" si="22"/>
        <v>#NAME?</v>
      </c>
      <c r="K109" t="e">
        <f t="shared" ca="1" si="20"/>
        <v>#NAME?</v>
      </c>
      <c r="L109" t="e">
        <f t="shared" ca="1" si="20"/>
        <v>#NAME?</v>
      </c>
      <c r="M109" t="e">
        <f t="shared" ca="1" si="20"/>
        <v>#NAME?</v>
      </c>
      <c r="N109" t="e">
        <f t="shared" ca="1" si="20"/>
        <v>#NAME?</v>
      </c>
      <c r="O109" t="e">
        <f t="shared" ca="1" si="20"/>
        <v>#NAME?</v>
      </c>
      <c r="P109" t="e">
        <f t="shared" ca="1" si="20"/>
        <v>#NAME?</v>
      </c>
      <c r="R109" t="e">
        <f t="shared" ca="1" si="23"/>
        <v>#NAME?</v>
      </c>
      <c r="S109" t="e">
        <f t="shared" ca="1" si="21"/>
        <v>#NAME?</v>
      </c>
      <c r="T109" t="e">
        <f t="shared" ca="1" si="21"/>
        <v>#NAME?</v>
      </c>
      <c r="U109" t="e">
        <f t="shared" ca="1" si="21"/>
        <v>#NAME?</v>
      </c>
      <c r="V109" t="e">
        <f t="shared" ca="1" si="21"/>
        <v>#NAME?</v>
      </c>
      <c r="W109" t="e">
        <f t="shared" ca="1" si="21"/>
        <v>#NAME?</v>
      </c>
      <c r="X109" t="e">
        <f t="shared" ca="1" si="21"/>
        <v>#NAME?</v>
      </c>
      <c r="Z109" s="15">
        <v>1</v>
      </c>
    </row>
    <row r="110" spans="1:26">
      <c r="A110" s="22" t="s">
        <v>195</v>
      </c>
      <c r="B110" s="90" t="s">
        <v>118</v>
      </c>
      <c r="C110" s="25"/>
      <c r="D110" s="25"/>
      <c r="E110" s="25"/>
      <c r="F110" s="25"/>
      <c r="G110" s="25"/>
      <c r="H110" s="25"/>
      <c r="J110" t="e">
        <f t="shared" ca="1" si="22"/>
        <v>#NAME?</v>
      </c>
      <c r="K110" t="e">
        <f t="shared" ca="1" si="20"/>
        <v>#NAME?</v>
      </c>
      <c r="L110" t="e">
        <f t="shared" ca="1" si="20"/>
        <v>#NAME?</v>
      </c>
      <c r="M110" t="e">
        <f t="shared" ca="1" si="20"/>
        <v>#NAME?</v>
      </c>
      <c r="N110" t="e">
        <f t="shared" ca="1" si="20"/>
        <v>#NAME?</v>
      </c>
      <c r="O110" t="e">
        <f t="shared" ca="1" si="20"/>
        <v>#NAME?</v>
      </c>
      <c r="P110" t="e">
        <f t="shared" ca="1" si="20"/>
        <v>#NAME?</v>
      </c>
      <c r="R110" t="e">
        <f t="shared" ca="1" si="23"/>
        <v>#NAME?</v>
      </c>
      <c r="S110" t="e">
        <f t="shared" ca="1" si="21"/>
        <v>#NAME?</v>
      </c>
      <c r="T110" t="e">
        <f t="shared" ca="1" si="21"/>
        <v>#NAME?</v>
      </c>
      <c r="U110" t="e">
        <f t="shared" ca="1" si="21"/>
        <v>#NAME?</v>
      </c>
      <c r="V110" t="e">
        <f t="shared" ca="1" si="21"/>
        <v>#NAME?</v>
      </c>
      <c r="W110" t="e">
        <f t="shared" ca="1" si="21"/>
        <v>#NAME?</v>
      </c>
      <c r="X110" t="e">
        <f t="shared" ca="1" si="21"/>
        <v>#NAME?</v>
      </c>
      <c r="Z110" s="15">
        <v>0.5</v>
      </c>
    </row>
    <row r="111" spans="1:26">
      <c r="A111" s="42" t="s">
        <v>196</v>
      </c>
      <c r="B111" s="25"/>
      <c r="C111" s="25"/>
      <c r="D111" s="25"/>
      <c r="E111" s="101" t="s">
        <v>116</v>
      </c>
      <c r="F111" s="44" t="s">
        <v>189</v>
      </c>
      <c r="G111" s="25"/>
      <c r="H111" s="25"/>
      <c r="J111" t="e">
        <f t="shared" ca="1" si="22"/>
        <v>#NAME?</v>
      </c>
      <c r="K111" t="e">
        <f t="shared" ca="1" si="20"/>
        <v>#NAME?</v>
      </c>
      <c r="L111" t="e">
        <f t="shared" ca="1" si="20"/>
        <v>#NAME?</v>
      </c>
      <c r="M111" t="e">
        <f t="shared" ca="1" si="20"/>
        <v>#NAME?</v>
      </c>
      <c r="N111" t="e">
        <f t="shared" ca="1" si="20"/>
        <v>#NAME?</v>
      </c>
      <c r="O111" t="e">
        <f t="shared" ca="1" si="20"/>
        <v>#NAME?</v>
      </c>
      <c r="P111" t="e">
        <f t="shared" ca="1" si="20"/>
        <v>#NAME?</v>
      </c>
      <c r="R111" t="e">
        <f t="shared" ca="1" si="23"/>
        <v>#NAME?</v>
      </c>
      <c r="S111" t="e">
        <f t="shared" ca="1" si="21"/>
        <v>#NAME?</v>
      </c>
      <c r="T111" t="e">
        <f t="shared" ca="1" si="21"/>
        <v>#NAME?</v>
      </c>
      <c r="U111" t="e">
        <f t="shared" ca="1" si="21"/>
        <v>#NAME?</v>
      </c>
      <c r="V111" t="e">
        <f t="shared" ca="1" si="21"/>
        <v>#NAME?</v>
      </c>
      <c r="W111" t="e">
        <f t="shared" ca="1" si="21"/>
        <v>#NAME?</v>
      </c>
      <c r="X111" t="e">
        <f t="shared" ca="1" si="21"/>
        <v>#NAME?</v>
      </c>
      <c r="Z111" s="25">
        <v>0.5</v>
      </c>
    </row>
    <row r="112" spans="1:26">
      <c r="A112" s="22" t="s">
        <v>197</v>
      </c>
      <c r="B112" s="25"/>
      <c r="C112" s="101" t="s">
        <v>116</v>
      </c>
      <c r="D112" s="90" t="s">
        <v>116</v>
      </c>
      <c r="E112" s="25"/>
      <c r="F112" s="25"/>
      <c r="G112" s="25"/>
      <c r="H112" s="25"/>
      <c r="J112" t="e">
        <f t="shared" ca="1" si="22"/>
        <v>#NAME?</v>
      </c>
      <c r="K112" t="e">
        <f t="shared" ca="1" si="20"/>
        <v>#NAME?</v>
      </c>
      <c r="L112" t="e">
        <f t="shared" ca="1" si="20"/>
        <v>#NAME?</v>
      </c>
      <c r="M112" t="e">
        <f t="shared" ca="1" si="20"/>
        <v>#NAME?</v>
      </c>
      <c r="N112" t="e">
        <f t="shared" ca="1" si="20"/>
        <v>#NAME?</v>
      </c>
      <c r="O112" t="e">
        <f t="shared" ca="1" si="20"/>
        <v>#NAME?</v>
      </c>
      <c r="P112" t="e">
        <f t="shared" ca="1" si="20"/>
        <v>#NAME?</v>
      </c>
      <c r="R112" t="e">
        <f t="shared" ca="1" si="23"/>
        <v>#NAME?</v>
      </c>
      <c r="S112" t="e">
        <f t="shared" ca="1" si="21"/>
        <v>#NAME?</v>
      </c>
      <c r="T112" t="e">
        <f t="shared" ca="1" si="21"/>
        <v>#NAME?</v>
      </c>
      <c r="U112" t="e">
        <f t="shared" ca="1" si="21"/>
        <v>#NAME?</v>
      </c>
      <c r="V112" t="e">
        <f t="shared" ca="1" si="21"/>
        <v>#NAME?</v>
      </c>
      <c r="W112" t="e">
        <f t="shared" ca="1" si="21"/>
        <v>#NAME?</v>
      </c>
      <c r="X112" t="e">
        <f t="shared" ca="1" si="21"/>
        <v>#NAME?</v>
      </c>
      <c r="Z112" s="15">
        <v>0.5</v>
      </c>
    </row>
    <row r="113" spans="1:26">
      <c r="A113" s="22" t="s">
        <v>199</v>
      </c>
      <c r="B113" s="112"/>
      <c r="C113" s="44" t="s">
        <v>189</v>
      </c>
      <c r="D113" s="112"/>
      <c r="E113" s="28" t="s">
        <v>119</v>
      </c>
      <c r="F113" s="112"/>
      <c r="G113" s="25"/>
      <c r="H113" s="112"/>
      <c r="J113" t="e">
        <f t="shared" ca="1" si="22"/>
        <v>#NAME?</v>
      </c>
      <c r="K113" t="e">
        <f t="shared" ca="1" si="20"/>
        <v>#NAME?</v>
      </c>
      <c r="L113" t="e">
        <f t="shared" ca="1" si="20"/>
        <v>#NAME?</v>
      </c>
      <c r="M113" t="e">
        <f t="shared" ca="1" si="20"/>
        <v>#NAME?</v>
      </c>
      <c r="N113" t="e">
        <f t="shared" ca="1" si="20"/>
        <v>#NAME?</v>
      </c>
      <c r="O113" t="e">
        <f t="shared" ca="1" si="20"/>
        <v>#NAME?</v>
      </c>
      <c r="P113" t="e">
        <f t="shared" ca="1" si="20"/>
        <v>#NAME?</v>
      </c>
      <c r="R113" t="e">
        <f t="shared" ca="1" si="23"/>
        <v>#NAME?</v>
      </c>
      <c r="S113" t="e">
        <f t="shared" ca="1" si="21"/>
        <v>#NAME?</v>
      </c>
      <c r="T113" t="e">
        <f t="shared" ca="1" si="21"/>
        <v>#NAME?</v>
      </c>
      <c r="U113" t="e">
        <f t="shared" ca="1" si="21"/>
        <v>#NAME?</v>
      </c>
      <c r="V113" t="e">
        <f t="shared" ca="1" si="21"/>
        <v>#NAME?</v>
      </c>
      <c r="W113" t="e">
        <f t="shared" ca="1" si="21"/>
        <v>#NAME?</v>
      </c>
      <c r="X113" t="e">
        <f t="shared" ca="1" si="21"/>
        <v>#NAME?</v>
      </c>
      <c r="Z113" s="15">
        <v>0.5</v>
      </c>
    </row>
    <row r="114" spans="1:26">
      <c r="A114" s="22" t="s">
        <v>200</v>
      </c>
      <c r="B114" s="25"/>
      <c r="C114" s="91" t="s">
        <v>118</v>
      </c>
      <c r="D114" s="44" t="s">
        <v>189</v>
      </c>
      <c r="E114" s="90" t="s">
        <v>116</v>
      </c>
      <c r="F114" s="91" t="s">
        <v>116</v>
      </c>
      <c r="G114" s="25"/>
      <c r="H114" s="25"/>
      <c r="J114" t="e">
        <f t="shared" ca="1" si="22"/>
        <v>#NAME?</v>
      </c>
      <c r="K114" t="e">
        <f t="shared" ca="1" si="20"/>
        <v>#NAME?</v>
      </c>
      <c r="L114" t="e">
        <f t="shared" ca="1" si="20"/>
        <v>#NAME?</v>
      </c>
      <c r="M114" t="e">
        <f t="shared" ca="1" si="20"/>
        <v>#NAME?</v>
      </c>
      <c r="N114" t="e">
        <f t="shared" ca="1" si="20"/>
        <v>#NAME?</v>
      </c>
      <c r="O114" t="e">
        <f t="shared" ca="1" si="20"/>
        <v>#NAME?</v>
      </c>
      <c r="P114" t="e">
        <f t="shared" ca="1" si="20"/>
        <v>#NAME?</v>
      </c>
      <c r="R114" t="e">
        <f t="shared" ca="1" si="23"/>
        <v>#NAME?</v>
      </c>
      <c r="S114" t="e">
        <f t="shared" ca="1" si="21"/>
        <v>#NAME?</v>
      </c>
      <c r="T114" t="e">
        <f t="shared" ca="1" si="21"/>
        <v>#NAME?</v>
      </c>
      <c r="U114" t="e">
        <f t="shared" ca="1" si="21"/>
        <v>#NAME?</v>
      </c>
      <c r="V114" t="e">
        <f t="shared" ca="1" si="21"/>
        <v>#NAME?</v>
      </c>
      <c r="W114" t="e">
        <f t="shared" ca="1" si="21"/>
        <v>#NAME?</v>
      </c>
      <c r="X114" t="e">
        <f t="shared" ca="1" si="21"/>
        <v>#NAME?</v>
      </c>
      <c r="Z114" s="15">
        <v>1</v>
      </c>
    </row>
    <row r="115" spans="1:26">
      <c r="A115" s="22" t="s">
        <v>201</v>
      </c>
      <c r="B115" s="25"/>
      <c r="C115" s="25"/>
      <c r="D115" s="91" t="s">
        <v>116</v>
      </c>
      <c r="E115" s="25"/>
      <c r="F115" s="28" t="s">
        <v>119</v>
      </c>
      <c r="G115" s="90" t="s">
        <v>118</v>
      </c>
      <c r="H115" s="91" t="s">
        <v>116</v>
      </c>
      <c r="J115" t="e">
        <f t="shared" ca="1" si="22"/>
        <v>#NAME?</v>
      </c>
      <c r="K115" t="e">
        <f t="shared" ca="1" si="20"/>
        <v>#NAME?</v>
      </c>
      <c r="L115" t="e">
        <f t="shared" ca="1" si="20"/>
        <v>#NAME?</v>
      </c>
      <c r="M115" t="e">
        <f t="shared" ca="1" si="20"/>
        <v>#NAME?</v>
      </c>
      <c r="N115" t="e">
        <f t="shared" ca="1" si="20"/>
        <v>#NAME?</v>
      </c>
      <c r="O115" t="e">
        <f t="shared" ca="1" si="20"/>
        <v>#NAME?</v>
      </c>
      <c r="P115" t="e">
        <f t="shared" ca="1" si="20"/>
        <v>#NAME?</v>
      </c>
      <c r="R115" t="e">
        <f t="shared" ca="1" si="23"/>
        <v>#NAME?</v>
      </c>
      <c r="S115" t="e">
        <f t="shared" ca="1" si="21"/>
        <v>#NAME?</v>
      </c>
      <c r="T115" t="e">
        <f t="shared" ca="1" si="21"/>
        <v>#NAME?</v>
      </c>
      <c r="U115" t="e">
        <f t="shared" ca="1" si="21"/>
        <v>#NAME?</v>
      </c>
      <c r="V115" t="e">
        <f t="shared" ca="1" si="21"/>
        <v>#NAME?</v>
      </c>
      <c r="W115" t="e">
        <f t="shared" ca="1" si="21"/>
        <v>#NAME?</v>
      </c>
      <c r="X115" t="e">
        <f t="shared" ca="1" si="21"/>
        <v>#NAME?</v>
      </c>
      <c r="Z115" s="15">
        <v>1</v>
      </c>
    </row>
    <row r="116" spans="1:26">
      <c r="A116" s="22" t="s">
        <v>202</v>
      </c>
      <c r="B116" s="91" t="s">
        <v>118</v>
      </c>
      <c r="C116" s="91" t="s">
        <v>116</v>
      </c>
      <c r="D116" s="25"/>
      <c r="E116" s="25"/>
      <c r="F116" s="25"/>
      <c r="G116" s="110" t="s">
        <v>142</v>
      </c>
      <c r="H116" s="44" t="s">
        <v>186</v>
      </c>
      <c r="J116" t="e">
        <f t="shared" ca="1" si="22"/>
        <v>#NAME?</v>
      </c>
      <c r="K116" t="e">
        <f t="shared" ca="1" si="20"/>
        <v>#NAME?</v>
      </c>
      <c r="L116" t="e">
        <f t="shared" ca="1" si="20"/>
        <v>#NAME?</v>
      </c>
      <c r="M116" t="e">
        <f t="shared" ca="1" si="20"/>
        <v>#NAME?</v>
      </c>
      <c r="N116" t="e">
        <f t="shared" ca="1" si="20"/>
        <v>#NAME?</v>
      </c>
      <c r="O116" t="e">
        <f t="shared" ca="1" si="20"/>
        <v>#NAME?</v>
      </c>
      <c r="P116" t="e">
        <f t="shared" ca="1" si="20"/>
        <v>#NAME?</v>
      </c>
      <c r="R116" t="e">
        <f t="shared" ca="1" si="23"/>
        <v>#NAME?</v>
      </c>
      <c r="S116" t="e">
        <f t="shared" ca="1" si="21"/>
        <v>#NAME?</v>
      </c>
      <c r="T116" t="e">
        <f t="shared" ca="1" si="21"/>
        <v>#NAME?</v>
      </c>
      <c r="U116" t="e">
        <f t="shared" ca="1" si="21"/>
        <v>#NAME?</v>
      </c>
      <c r="V116" t="e">
        <f t="shared" ca="1" si="21"/>
        <v>#NAME?</v>
      </c>
      <c r="W116" t="e">
        <f t="shared" ca="1" si="21"/>
        <v>#NAME?</v>
      </c>
      <c r="X116" t="e">
        <f t="shared" ca="1" si="21"/>
        <v>#NAME?</v>
      </c>
      <c r="Z116" s="15">
        <v>1</v>
      </c>
    </row>
    <row r="117" spans="1:26">
      <c r="A117" s="42" t="s">
        <v>203</v>
      </c>
      <c r="B117" s="25" t="s">
        <v>152</v>
      </c>
      <c r="C117" s="25" t="s">
        <v>152</v>
      </c>
      <c r="D117" s="25"/>
      <c r="E117" s="25"/>
      <c r="F117" s="25"/>
      <c r="G117" s="25"/>
      <c r="H117" s="25"/>
      <c r="J117" t="e">
        <f t="shared" ca="1" si="22"/>
        <v>#NAME?</v>
      </c>
      <c r="K117" t="e">
        <f t="shared" ca="1" si="20"/>
        <v>#NAME?</v>
      </c>
      <c r="L117" t="e">
        <f t="shared" ca="1" si="20"/>
        <v>#NAME?</v>
      </c>
      <c r="M117" t="e">
        <f t="shared" ca="1" si="20"/>
        <v>#NAME?</v>
      </c>
      <c r="N117" t="e">
        <f t="shared" ca="1" si="20"/>
        <v>#NAME?</v>
      </c>
      <c r="O117" t="e">
        <f t="shared" ca="1" si="20"/>
        <v>#NAME?</v>
      </c>
      <c r="P117" t="e">
        <f t="shared" ca="1" si="20"/>
        <v>#NAME?</v>
      </c>
      <c r="R117" t="e">
        <f t="shared" ca="1" si="23"/>
        <v>#NAME?</v>
      </c>
      <c r="S117" t="e">
        <f t="shared" ca="1" si="21"/>
        <v>#NAME?</v>
      </c>
      <c r="T117" t="e">
        <f t="shared" ca="1" si="21"/>
        <v>#NAME?</v>
      </c>
      <c r="U117" t="e">
        <f t="shared" ca="1" si="21"/>
        <v>#NAME?</v>
      </c>
      <c r="V117" t="e">
        <f t="shared" ca="1" si="21"/>
        <v>#NAME?</v>
      </c>
      <c r="W117" t="e">
        <f t="shared" ca="1" si="21"/>
        <v>#NAME?</v>
      </c>
      <c r="X117" t="e">
        <f t="shared" ca="1" si="21"/>
        <v>#NAME?</v>
      </c>
      <c r="Z117" s="15">
        <v>1</v>
      </c>
    </row>
    <row r="118" spans="1:26">
      <c r="A118" s="22" t="s">
        <v>204</v>
      </c>
      <c r="B118" s="25"/>
      <c r="C118" s="44" t="s">
        <v>186</v>
      </c>
      <c r="D118" s="90" t="s">
        <v>118</v>
      </c>
      <c r="E118" s="91" t="s">
        <v>118</v>
      </c>
      <c r="F118" s="110" t="s">
        <v>142</v>
      </c>
      <c r="G118" s="25"/>
      <c r="H118" s="25"/>
      <c r="J118" t="e">
        <f t="shared" ca="1" si="22"/>
        <v>#NAME?</v>
      </c>
      <c r="K118" t="e">
        <f t="shared" ca="1" si="20"/>
        <v>#NAME?</v>
      </c>
      <c r="L118" t="e">
        <f t="shared" ca="1" si="20"/>
        <v>#NAME?</v>
      </c>
      <c r="M118" t="e">
        <f t="shared" ca="1" si="20"/>
        <v>#NAME?</v>
      </c>
      <c r="N118" t="e">
        <f t="shared" ca="1" si="20"/>
        <v>#NAME?</v>
      </c>
      <c r="O118" t="e">
        <f t="shared" ca="1" si="20"/>
        <v>#NAME?</v>
      </c>
      <c r="P118" t="e">
        <f t="shared" ca="1" si="20"/>
        <v>#NAME?</v>
      </c>
      <c r="R118" t="e">
        <f t="shared" ca="1" si="23"/>
        <v>#NAME?</v>
      </c>
      <c r="S118" t="e">
        <f t="shared" ca="1" si="21"/>
        <v>#NAME?</v>
      </c>
      <c r="T118" t="e">
        <f t="shared" ca="1" si="21"/>
        <v>#NAME?</v>
      </c>
      <c r="U118" t="e">
        <f t="shared" ca="1" si="21"/>
        <v>#NAME?</v>
      </c>
      <c r="V118" t="e">
        <f t="shared" ca="1" si="21"/>
        <v>#NAME?</v>
      </c>
      <c r="W118" t="e">
        <f t="shared" ca="1" si="21"/>
        <v>#NAME?</v>
      </c>
      <c r="X118" t="e">
        <f t="shared" ca="1" si="21"/>
        <v>#NAME?</v>
      </c>
      <c r="Z118" s="15">
        <v>1</v>
      </c>
    </row>
    <row r="119" spans="1:26">
      <c r="A119" s="22" t="s">
        <v>205</v>
      </c>
      <c r="B119" s="127" t="s">
        <v>18</v>
      </c>
      <c r="C119" s="128"/>
      <c r="D119" s="128"/>
      <c r="E119" s="128"/>
      <c r="F119" s="128"/>
      <c r="G119" s="128"/>
      <c r="H119" s="129"/>
      <c r="J119" t="e">
        <f t="shared" ca="1" si="22"/>
        <v>#NAME?</v>
      </c>
      <c r="K119" t="e">
        <f t="shared" ca="1" si="20"/>
        <v>#NAME?</v>
      </c>
      <c r="L119" t="e">
        <f t="shared" ca="1" si="20"/>
        <v>#NAME?</v>
      </c>
      <c r="M119" t="e">
        <f t="shared" ca="1" si="20"/>
        <v>#NAME?</v>
      </c>
      <c r="N119" t="e">
        <f t="shared" ca="1" si="20"/>
        <v>#NAME?</v>
      </c>
      <c r="O119" t="e">
        <f t="shared" ca="1" si="20"/>
        <v>#NAME?</v>
      </c>
      <c r="P119" t="e">
        <f t="shared" ca="1" si="20"/>
        <v>#NAME?</v>
      </c>
      <c r="R119" t="e">
        <f t="shared" ca="1" si="23"/>
        <v>#NAME?</v>
      </c>
      <c r="S119" t="e">
        <f t="shared" ca="1" si="21"/>
        <v>#NAME?</v>
      </c>
      <c r="T119" t="e">
        <f t="shared" ca="1" si="21"/>
        <v>#NAME?</v>
      </c>
      <c r="U119" t="e">
        <f t="shared" ca="1" si="21"/>
        <v>#NAME?</v>
      </c>
      <c r="V119" t="e">
        <f t="shared" ca="1" si="21"/>
        <v>#NAME?</v>
      </c>
      <c r="W119" t="e">
        <f t="shared" ca="1" si="21"/>
        <v>#NAME?</v>
      </c>
      <c r="X119" t="e">
        <f t="shared" ca="1" si="21"/>
        <v>#NAME?</v>
      </c>
      <c r="Z119" s="15">
        <v>1</v>
      </c>
    </row>
    <row r="120" spans="1:26">
      <c r="A120" s="22" t="s">
        <v>206</v>
      </c>
      <c r="B120" s="28" t="s">
        <v>115</v>
      </c>
      <c r="C120" s="25"/>
      <c r="D120" s="91" t="s">
        <v>118</v>
      </c>
      <c r="E120" s="90" t="s">
        <v>118</v>
      </c>
      <c r="F120" s="110" t="s">
        <v>139</v>
      </c>
      <c r="G120" s="25"/>
      <c r="H120" s="25"/>
      <c r="J120" t="e">
        <f t="shared" ca="1" si="22"/>
        <v>#NAME?</v>
      </c>
      <c r="K120" t="e">
        <f t="shared" ca="1" si="20"/>
        <v>#NAME?</v>
      </c>
      <c r="L120" t="e">
        <f t="shared" ca="1" si="20"/>
        <v>#NAME?</v>
      </c>
      <c r="M120" t="e">
        <f t="shared" ca="1" si="20"/>
        <v>#NAME?</v>
      </c>
      <c r="N120" t="e">
        <f t="shared" ca="1" si="20"/>
        <v>#NAME?</v>
      </c>
      <c r="O120" t="e">
        <f t="shared" ca="1" si="20"/>
        <v>#NAME?</v>
      </c>
      <c r="P120" t="e">
        <f t="shared" ca="1" si="20"/>
        <v>#NAME?</v>
      </c>
      <c r="R120" t="e">
        <f t="shared" ca="1" si="23"/>
        <v>#NAME?</v>
      </c>
      <c r="S120" t="e">
        <f t="shared" ca="1" si="21"/>
        <v>#NAME?</v>
      </c>
      <c r="T120" t="e">
        <f t="shared" ca="1" si="21"/>
        <v>#NAME?</v>
      </c>
      <c r="U120" t="e">
        <f t="shared" ca="1" si="21"/>
        <v>#NAME?</v>
      </c>
      <c r="V120" t="e">
        <f t="shared" ca="1" si="21"/>
        <v>#NAME?</v>
      </c>
      <c r="W120" t="e">
        <f t="shared" ca="1" si="21"/>
        <v>#NAME?</v>
      </c>
      <c r="X120" t="e">
        <f t="shared" ca="1" si="21"/>
        <v>#NAME?</v>
      </c>
      <c r="Z120" s="15">
        <v>1</v>
      </c>
    </row>
    <row r="121" spans="1:26">
      <c r="A121" s="22" t="s">
        <v>207</v>
      </c>
      <c r="B121" s="25"/>
      <c r="C121" s="25"/>
      <c r="D121" s="101" t="s">
        <v>116</v>
      </c>
      <c r="E121" s="25"/>
      <c r="F121" s="25"/>
      <c r="G121" s="25"/>
      <c r="H121" s="44" t="s">
        <v>189</v>
      </c>
      <c r="J121" t="e">
        <f t="shared" ca="1" si="22"/>
        <v>#NAME?</v>
      </c>
      <c r="K121" t="e">
        <f t="shared" ca="1" si="20"/>
        <v>#NAME?</v>
      </c>
      <c r="L121" t="e">
        <f t="shared" ca="1" si="20"/>
        <v>#NAME?</v>
      </c>
      <c r="M121" t="e">
        <f t="shared" ca="1" si="20"/>
        <v>#NAME?</v>
      </c>
      <c r="N121" t="e">
        <f t="shared" ca="1" si="20"/>
        <v>#NAME?</v>
      </c>
      <c r="O121" t="e">
        <f t="shared" ca="1" si="20"/>
        <v>#NAME?</v>
      </c>
      <c r="P121" t="e">
        <f t="shared" ca="1" si="20"/>
        <v>#NAME?</v>
      </c>
      <c r="R121" t="e">
        <f t="shared" ca="1" si="23"/>
        <v>#NAME?</v>
      </c>
      <c r="S121" t="e">
        <f t="shared" ca="1" si="21"/>
        <v>#NAME?</v>
      </c>
      <c r="T121" t="e">
        <f t="shared" ca="1" si="21"/>
        <v>#NAME?</v>
      </c>
      <c r="U121" t="e">
        <f t="shared" ca="1" si="21"/>
        <v>#NAME?</v>
      </c>
      <c r="V121" t="e">
        <f t="shared" ca="1" si="21"/>
        <v>#NAME?</v>
      </c>
      <c r="W121" t="e">
        <f t="shared" ca="1" si="21"/>
        <v>#NAME?</v>
      </c>
      <c r="X121" t="e">
        <f t="shared" ca="1" si="21"/>
        <v>#NAME?</v>
      </c>
      <c r="Z121" s="15">
        <v>0.5</v>
      </c>
    </row>
    <row r="122" spans="1:26">
      <c r="A122" s="22" t="s">
        <v>208</v>
      </c>
      <c r="B122" s="25" t="s">
        <v>152</v>
      </c>
      <c r="C122" s="25" t="s">
        <v>152</v>
      </c>
      <c r="D122" s="25"/>
      <c r="E122" s="112"/>
      <c r="F122" s="112"/>
      <c r="G122" s="25"/>
      <c r="H122" s="25"/>
      <c r="J122" t="e">
        <f t="shared" ca="1" si="22"/>
        <v>#NAME?</v>
      </c>
      <c r="K122" t="e">
        <f t="shared" ca="1" si="20"/>
        <v>#NAME?</v>
      </c>
      <c r="L122" t="e">
        <f t="shared" ca="1" si="20"/>
        <v>#NAME?</v>
      </c>
      <c r="M122" t="e">
        <f t="shared" ca="1" si="20"/>
        <v>#NAME?</v>
      </c>
      <c r="N122" t="e">
        <f t="shared" ca="1" si="20"/>
        <v>#NAME?</v>
      </c>
      <c r="O122" t="e">
        <f t="shared" ca="1" si="20"/>
        <v>#NAME?</v>
      </c>
      <c r="P122" t="e">
        <f t="shared" ca="1" si="20"/>
        <v>#NAME?</v>
      </c>
      <c r="R122" t="e">
        <f t="shared" ca="1" si="23"/>
        <v>#NAME?</v>
      </c>
      <c r="S122" t="e">
        <f t="shared" ca="1" si="21"/>
        <v>#NAME?</v>
      </c>
      <c r="T122" t="e">
        <f t="shared" ca="1" si="21"/>
        <v>#NAME?</v>
      </c>
      <c r="U122" t="e">
        <f t="shared" ca="1" si="21"/>
        <v>#NAME?</v>
      </c>
      <c r="V122" t="e">
        <f t="shared" ca="1" si="21"/>
        <v>#NAME?</v>
      </c>
      <c r="W122" t="e">
        <f t="shared" ca="1" si="21"/>
        <v>#NAME?</v>
      </c>
      <c r="X122" t="e">
        <f t="shared" ca="1" si="21"/>
        <v>#NAME?</v>
      </c>
      <c r="Z122" s="15">
        <v>0.5</v>
      </c>
    </row>
    <row r="123" spans="1:26">
      <c r="A123" s="22" t="s">
        <v>209</v>
      </c>
      <c r="B123" s="25"/>
      <c r="C123" s="112"/>
      <c r="D123" s="25"/>
      <c r="E123" s="25"/>
      <c r="F123" s="25"/>
      <c r="G123" s="110" t="s">
        <v>139</v>
      </c>
      <c r="H123" s="110" t="s">
        <v>139</v>
      </c>
      <c r="J123" t="e">
        <f t="shared" ca="1" si="22"/>
        <v>#NAME?</v>
      </c>
      <c r="K123" t="e">
        <f t="shared" ca="1" si="20"/>
        <v>#NAME?</v>
      </c>
      <c r="L123" t="e">
        <f t="shared" ca="1" si="20"/>
        <v>#NAME?</v>
      </c>
      <c r="M123" t="e">
        <f t="shared" ca="1" si="20"/>
        <v>#NAME?</v>
      </c>
      <c r="N123" t="e">
        <f t="shared" ca="1" si="20"/>
        <v>#NAME?</v>
      </c>
      <c r="O123" t="e">
        <f t="shared" ca="1" si="20"/>
        <v>#NAME?</v>
      </c>
      <c r="P123" t="e">
        <f t="shared" ca="1" si="20"/>
        <v>#NAME?</v>
      </c>
      <c r="R123" t="e">
        <f t="shared" ca="1" si="23"/>
        <v>#NAME?</v>
      </c>
      <c r="S123" t="e">
        <f t="shared" ca="1" si="21"/>
        <v>#NAME?</v>
      </c>
      <c r="T123" t="e">
        <f t="shared" ca="1" si="21"/>
        <v>#NAME?</v>
      </c>
      <c r="U123" t="e">
        <f t="shared" ca="1" si="21"/>
        <v>#NAME?</v>
      </c>
      <c r="V123" t="e">
        <f t="shared" ca="1" si="21"/>
        <v>#NAME?</v>
      </c>
      <c r="W123" t="e">
        <f t="shared" ca="1" si="21"/>
        <v>#NAME?</v>
      </c>
      <c r="X123" t="e">
        <f t="shared" ca="1" si="21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8" t="s">
        <v>115</v>
      </c>
      <c r="E124" s="25"/>
      <c r="F124" s="90" t="s">
        <v>118</v>
      </c>
      <c r="G124" s="25"/>
      <c r="H124" s="25"/>
      <c r="J124" t="e">
        <f t="shared" ca="1" si="22"/>
        <v>#NAME?</v>
      </c>
      <c r="K124" t="e">
        <f t="shared" ca="1" si="20"/>
        <v>#NAME?</v>
      </c>
      <c r="L124" t="e">
        <f t="shared" ca="1" si="20"/>
        <v>#NAME?</v>
      </c>
      <c r="M124" t="e">
        <f t="shared" ca="1" si="20"/>
        <v>#NAME?</v>
      </c>
      <c r="N124" t="e">
        <f t="shared" ca="1" si="20"/>
        <v>#NAME?</v>
      </c>
      <c r="O124" t="e">
        <f t="shared" ca="1" si="20"/>
        <v>#NAME?</v>
      </c>
      <c r="P124" t="e">
        <f t="shared" ca="1" si="20"/>
        <v>#NAME?</v>
      </c>
      <c r="R124" t="e">
        <f t="shared" ca="1" si="23"/>
        <v>#NAME?</v>
      </c>
      <c r="S124" t="e">
        <f t="shared" ca="1" si="21"/>
        <v>#NAME?</v>
      </c>
      <c r="T124" t="e">
        <f t="shared" ca="1" si="21"/>
        <v>#NAME?</v>
      </c>
      <c r="U124" t="e">
        <f t="shared" ca="1" si="21"/>
        <v>#NAME?</v>
      </c>
      <c r="V124" t="e">
        <f t="shared" ca="1" si="21"/>
        <v>#NAME?</v>
      </c>
      <c r="W124" t="e">
        <f t="shared" ca="1" si="21"/>
        <v>#NAME?</v>
      </c>
      <c r="X124" t="e">
        <f t="shared" ca="1" si="21"/>
        <v>#NAME?</v>
      </c>
      <c r="Z124" s="15">
        <v>0.5</v>
      </c>
    </row>
    <row r="125" spans="1:26">
      <c r="A125" s="22" t="s">
        <v>212</v>
      </c>
      <c r="B125" s="91" t="s">
        <v>116</v>
      </c>
      <c r="C125" s="25"/>
      <c r="D125" s="90" t="s">
        <v>116</v>
      </c>
      <c r="E125" s="113" t="s">
        <v>150</v>
      </c>
      <c r="F125" s="44" t="s">
        <v>186</v>
      </c>
      <c r="G125" s="25"/>
      <c r="H125" s="25"/>
      <c r="J125" t="e">
        <f t="shared" ca="1" si="22"/>
        <v>#NAME?</v>
      </c>
      <c r="K125" t="e">
        <f t="shared" ca="1" si="20"/>
        <v>#NAME?</v>
      </c>
      <c r="L125" t="e">
        <f t="shared" ca="1" si="20"/>
        <v>#NAME?</v>
      </c>
      <c r="M125" t="e">
        <f t="shared" ca="1" si="20"/>
        <v>#NAME?</v>
      </c>
      <c r="N125" t="e">
        <f t="shared" ca="1" si="20"/>
        <v>#NAME?</v>
      </c>
      <c r="O125" t="e">
        <f t="shared" ca="1" si="20"/>
        <v>#NAME?</v>
      </c>
      <c r="P125" t="e">
        <f t="shared" ca="1" si="20"/>
        <v>#NAME?</v>
      </c>
      <c r="R125" t="e">
        <f t="shared" ca="1" si="23"/>
        <v>#NAME?</v>
      </c>
      <c r="S125" t="e">
        <f t="shared" ca="1" si="21"/>
        <v>#NAME?</v>
      </c>
      <c r="T125" t="e">
        <f t="shared" ca="1" si="21"/>
        <v>#NAME?</v>
      </c>
      <c r="U125" t="e">
        <f t="shared" ca="1" si="21"/>
        <v>#NAME?</v>
      </c>
      <c r="V125" t="e">
        <f t="shared" ca="1" si="21"/>
        <v>#NAME?</v>
      </c>
      <c r="W125" t="e">
        <f t="shared" ca="1" si="21"/>
        <v>#NAME?</v>
      </c>
      <c r="X125" t="e">
        <f t="shared" ca="1" si="21"/>
        <v>#NAME?</v>
      </c>
      <c r="Z125" s="15">
        <v>1</v>
      </c>
    </row>
    <row r="126" spans="1:26">
      <c r="A126" s="22" t="s">
        <v>213</v>
      </c>
      <c r="B126" s="25"/>
      <c r="C126" s="25"/>
      <c r="D126" s="25"/>
      <c r="E126" s="101" t="s">
        <v>118</v>
      </c>
      <c r="F126" s="90" t="s">
        <v>118</v>
      </c>
      <c r="G126" s="25" t="s">
        <v>152</v>
      </c>
      <c r="H126" s="25" t="s">
        <v>152</v>
      </c>
      <c r="J126" t="e">
        <f t="shared" ca="1" si="22"/>
        <v>#NAME?</v>
      </c>
      <c r="K126" t="e">
        <f t="shared" ca="1" si="20"/>
        <v>#NAME?</v>
      </c>
      <c r="L126" t="e">
        <f t="shared" ca="1" si="20"/>
        <v>#NAME?</v>
      </c>
      <c r="M126" t="e">
        <f t="shared" ca="1" si="20"/>
        <v>#NAME?</v>
      </c>
      <c r="N126" t="e">
        <f t="shared" ca="1" si="20"/>
        <v>#NAME?</v>
      </c>
      <c r="O126" t="e">
        <f t="shared" ca="1" si="20"/>
        <v>#NAME?</v>
      </c>
      <c r="P126" t="e">
        <f t="shared" ca="1" si="20"/>
        <v>#NAME?</v>
      </c>
      <c r="R126" t="e">
        <f t="shared" ca="1" si="23"/>
        <v>#NAME?</v>
      </c>
      <c r="S126" t="e">
        <f t="shared" ca="1" si="21"/>
        <v>#NAME?</v>
      </c>
      <c r="T126" t="e">
        <f t="shared" ca="1" si="21"/>
        <v>#NAME?</v>
      </c>
      <c r="U126" t="e">
        <f t="shared" ca="1" si="21"/>
        <v>#NAME?</v>
      </c>
      <c r="V126" t="e">
        <f t="shared" ca="1" si="21"/>
        <v>#NAME?</v>
      </c>
      <c r="W126" t="e">
        <f t="shared" ca="1" si="21"/>
        <v>#NAME?</v>
      </c>
      <c r="X126" t="e">
        <f t="shared" ca="1" si="21"/>
        <v>#NAME?</v>
      </c>
      <c r="Z126" s="15">
        <v>1</v>
      </c>
    </row>
    <row r="127" spans="1:26">
      <c r="A127" s="106" t="s">
        <v>214</v>
      </c>
      <c r="B127" s="107" t="str">
        <f t="shared" ref="B127:H127" si="24">B58</f>
        <v>Mon 18 May</v>
      </c>
      <c r="C127" s="107" t="str">
        <f t="shared" si="24"/>
        <v>Tues 19 May</v>
      </c>
      <c r="D127" s="107" t="str">
        <f t="shared" si="24"/>
        <v>Wed 20 May</v>
      </c>
      <c r="E127" s="107" t="str">
        <f t="shared" si="24"/>
        <v>Thu 21 May</v>
      </c>
      <c r="F127" s="107" t="str">
        <f t="shared" si="24"/>
        <v>Fri 22 May</v>
      </c>
      <c r="G127" s="107" t="str">
        <f t="shared" si="24"/>
        <v>Sat 23 May</v>
      </c>
      <c r="H127" s="107" t="str">
        <f t="shared" si="24"/>
        <v>Sun 24 May</v>
      </c>
      <c r="J127" t="e">
        <f t="shared" ca="1" si="22"/>
        <v>#NAME?</v>
      </c>
      <c r="K127" t="e">
        <f t="shared" ca="1" si="20"/>
        <v>#NAME?</v>
      </c>
      <c r="L127" t="e">
        <f t="shared" ca="1" si="20"/>
        <v>#NAME?</v>
      </c>
      <c r="M127" t="e">
        <f t="shared" ca="1" si="20"/>
        <v>#NAME?</v>
      </c>
      <c r="N127" t="e">
        <f t="shared" ca="1" si="20"/>
        <v>#NAME?</v>
      </c>
      <c r="O127" t="e">
        <f t="shared" ca="1" si="20"/>
        <v>#NAME?</v>
      </c>
      <c r="P127" t="e">
        <f t="shared" ca="1" si="20"/>
        <v>#NAME?</v>
      </c>
      <c r="R127" t="e">
        <f t="shared" ca="1" si="23"/>
        <v>#NAME?</v>
      </c>
      <c r="S127" t="e">
        <f t="shared" ca="1" si="21"/>
        <v>#NAME?</v>
      </c>
      <c r="T127" t="e">
        <f t="shared" ca="1" si="21"/>
        <v>#NAME?</v>
      </c>
      <c r="U127" t="e">
        <f t="shared" ca="1" si="21"/>
        <v>#NAME?</v>
      </c>
      <c r="V127" t="e">
        <f t="shared" ca="1" si="21"/>
        <v>#NAME?</v>
      </c>
      <c r="W127" t="e">
        <f t="shared" ca="1" si="21"/>
        <v>#NAME?</v>
      </c>
      <c r="X127" t="e">
        <f t="shared" ca="1" si="21"/>
        <v>#NAME?</v>
      </c>
      <c r="Z127" s="53"/>
    </row>
    <row r="128" spans="1:26">
      <c r="A128" s="22" t="s">
        <v>215</v>
      </c>
      <c r="B128" s="90" t="s">
        <v>116</v>
      </c>
      <c r="C128" s="101" t="s">
        <v>116</v>
      </c>
      <c r="D128" s="44" t="s">
        <v>186</v>
      </c>
      <c r="E128" s="25"/>
      <c r="F128" s="28" t="s">
        <v>115</v>
      </c>
      <c r="G128" s="44" t="s">
        <v>189</v>
      </c>
      <c r="H128" s="25" t="s">
        <v>152</v>
      </c>
      <c r="J128" t="e">
        <f t="shared" ca="1" si="22"/>
        <v>#NAME?</v>
      </c>
      <c r="K128" t="e">
        <f t="shared" ca="1" si="20"/>
        <v>#NAME?</v>
      </c>
      <c r="L128" t="e">
        <f t="shared" ca="1" si="20"/>
        <v>#NAME?</v>
      </c>
      <c r="M128" t="e">
        <f t="shared" ca="1" si="20"/>
        <v>#NAME?</v>
      </c>
      <c r="N128" t="e">
        <f t="shared" ca="1" si="20"/>
        <v>#NAME?</v>
      </c>
      <c r="O128" t="e">
        <f t="shared" ca="1" si="20"/>
        <v>#NAME?</v>
      </c>
      <c r="P128" t="e">
        <f t="shared" ca="1" si="20"/>
        <v>#NAME?</v>
      </c>
      <c r="R128" t="e">
        <f t="shared" ca="1" si="23"/>
        <v>#NAME?</v>
      </c>
      <c r="S128" t="e">
        <f t="shared" ca="1" si="21"/>
        <v>#NAME?</v>
      </c>
      <c r="T128" t="e">
        <f t="shared" ca="1" si="21"/>
        <v>#NAME?</v>
      </c>
      <c r="U128" t="e">
        <f t="shared" ca="1" si="21"/>
        <v>#NAME?</v>
      </c>
      <c r="V128" t="e">
        <f t="shared" ca="1" si="21"/>
        <v>#NAME?</v>
      </c>
      <c r="W128" t="e">
        <f t="shared" ca="1" si="21"/>
        <v>#NAME?</v>
      </c>
      <c r="X128" t="e">
        <f t="shared" ca="1" si="21"/>
        <v>#NAME?</v>
      </c>
      <c r="Z128" s="15">
        <v>1</v>
      </c>
    </row>
    <row r="129" spans="1:34">
      <c r="A129" s="22" t="s">
        <v>216</v>
      </c>
      <c r="B129" s="25"/>
      <c r="C129" s="91" t="s">
        <v>118</v>
      </c>
      <c r="D129" s="91" t="s">
        <v>116</v>
      </c>
      <c r="E129" s="44" t="s">
        <v>189</v>
      </c>
      <c r="F129" s="25"/>
      <c r="G129" s="44" t="s">
        <v>186</v>
      </c>
      <c r="H129" s="101" t="s">
        <v>118</v>
      </c>
      <c r="J129" t="e">
        <f t="shared" ca="1" si="22"/>
        <v>#NAME?</v>
      </c>
      <c r="K129" t="e">
        <f t="shared" ca="1" si="20"/>
        <v>#NAME?</v>
      </c>
      <c r="L129" t="e">
        <f t="shared" ca="1" si="20"/>
        <v>#NAME?</v>
      </c>
      <c r="M129" t="e">
        <f t="shared" ca="1" si="20"/>
        <v>#NAME?</v>
      </c>
      <c r="N129" t="e">
        <f t="shared" ca="1" si="20"/>
        <v>#NAME?</v>
      </c>
      <c r="O129" t="e">
        <f t="shared" ca="1" si="20"/>
        <v>#NAME?</v>
      </c>
      <c r="P129" t="e">
        <f t="shared" ca="1" si="20"/>
        <v>#NAME?</v>
      </c>
      <c r="R129" t="e">
        <f t="shared" ca="1" si="23"/>
        <v>#NAME?</v>
      </c>
      <c r="S129" t="e">
        <f t="shared" ca="1" si="21"/>
        <v>#NAME?</v>
      </c>
      <c r="T129" t="e">
        <f t="shared" ca="1" si="21"/>
        <v>#NAME?</v>
      </c>
      <c r="U129" t="e">
        <f t="shared" ca="1" si="21"/>
        <v>#NAME?</v>
      </c>
      <c r="V129" t="e">
        <f t="shared" ca="1" si="21"/>
        <v>#NAME?</v>
      </c>
      <c r="W129" t="e">
        <f t="shared" ca="1" si="21"/>
        <v>#NAME?</v>
      </c>
      <c r="X129" t="e">
        <f t="shared" ca="1" si="21"/>
        <v>#NAME?</v>
      </c>
      <c r="Z129" s="15">
        <v>1</v>
      </c>
    </row>
    <row r="130" spans="1:34">
      <c r="A130" s="22" t="s">
        <v>217</v>
      </c>
      <c r="B130" s="44" t="s">
        <v>186</v>
      </c>
      <c r="C130" s="101" t="s">
        <v>118</v>
      </c>
      <c r="D130" s="110" t="s">
        <v>142</v>
      </c>
      <c r="E130" s="91" t="s">
        <v>116</v>
      </c>
      <c r="F130" s="25"/>
      <c r="G130" s="25"/>
      <c r="H130" s="90" t="s">
        <v>116</v>
      </c>
      <c r="J130" t="e">
        <f t="shared" ca="1" si="22"/>
        <v>#NAME?</v>
      </c>
      <c r="K130" t="e">
        <f t="shared" ca="1" si="20"/>
        <v>#NAME?</v>
      </c>
      <c r="L130" t="e">
        <f t="shared" ca="1" si="20"/>
        <v>#NAME?</v>
      </c>
      <c r="M130" t="e">
        <f t="shared" ca="1" si="20"/>
        <v>#NAME?</v>
      </c>
      <c r="N130" t="e">
        <f t="shared" ca="1" si="20"/>
        <v>#NAME?</v>
      </c>
      <c r="O130" t="e">
        <f t="shared" ca="1" si="20"/>
        <v>#NAME?</v>
      </c>
      <c r="P130" t="e">
        <f t="shared" ca="1" si="20"/>
        <v>#NAME?</v>
      </c>
      <c r="R130" t="e">
        <f t="shared" ca="1" si="23"/>
        <v>#NAME?</v>
      </c>
      <c r="S130" t="e">
        <f t="shared" ca="1" si="21"/>
        <v>#NAME?</v>
      </c>
      <c r="T130" t="e">
        <f t="shared" ca="1" si="21"/>
        <v>#NAME?</v>
      </c>
      <c r="U130" t="e">
        <f t="shared" ca="1" si="21"/>
        <v>#NAME?</v>
      </c>
      <c r="V130" t="e">
        <f t="shared" ca="1" si="21"/>
        <v>#NAME?</v>
      </c>
      <c r="W130" t="e">
        <f t="shared" ca="1" si="21"/>
        <v>#NAME?</v>
      </c>
      <c r="X130" t="e">
        <f t="shared" ca="1" si="21"/>
        <v>#NAME?</v>
      </c>
      <c r="Z130" s="15">
        <v>1</v>
      </c>
    </row>
    <row r="131" spans="1:34">
      <c r="A131" s="22" t="s">
        <v>218</v>
      </c>
      <c r="B131" s="25"/>
      <c r="C131" s="25" t="s">
        <v>152</v>
      </c>
      <c r="D131" s="25" t="s">
        <v>152</v>
      </c>
      <c r="E131" s="25" t="s">
        <v>152</v>
      </c>
      <c r="F131" s="25" t="s">
        <v>152</v>
      </c>
      <c r="G131" s="25"/>
      <c r="H131" s="25"/>
      <c r="J131" t="e">
        <f t="shared" ca="1" si="22"/>
        <v>#NAME?</v>
      </c>
      <c r="K131" t="e">
        <f t="shared" ca="1" si="20"/>
        <v>#NAME?</v>
      </c>
      <c r="L131" t="e">
        <f t="shared" ca="1" si="20"/>
        <v>#NAME?</v>
      </c>
      <c r="M131" t="e">
        <f t="shared" ca="1" si="20"/>
        <v>#NAME?</v>
      </c>
      <c r="N131" t="e">
        <f t="shared" ca="1" si="20"/>
        <v>#NAME?</v>
      </c>
      <c r="O131" t="e">
        <f t="shared" ca="1" si="20"/>
        <v>#NAME?</v>
      </c>
      <c r="P131" t="e">
        <f t="shared" ca="1" si="20"/>
        <v>#NAME?</v>
      </c>
      <c r="R131" t="e">
        <f t="shared" ca="1" si="23"/>
        <v>#NAME?</v>
      </c>
      <c r="S131" t="e">
        <f t="shared" ca="1" si="21"/>
        <v>#NAME?</v>
      </c>
      <c r="T131" t="e">
        <f t="shared" ca="1" si="21"/>
        <v>#NAME?</v>
      </c>
      <c r="U131" t="e">
        <f t="shared" ca="1" si="21"/>
        <v>#NAME?</v>
      </c>
      <c r="V131" t="e">
        <f t="shared" ca="1" si="21"/>
        <v>#NAME?</v>
      </c>
      <c r="W131" t="e">
        <f t="shared" ca="1" si="21"/>
        <v>#NAME?</v>
      </c>
      <c r="X131" t="e">
        <f t="shared" ca="1" si="21"/>
        <v>#NAME?</v>
      </c>
      <c r="Z131" s="15">
        <v>1</v>
      </c>
    </row>
    <row r="132" spans="1:34">
      <c r="A132" s="22" t="s">
        <v>219</v>
      </c>
      <c r="B132" s="127" t="s">
        <v>18</v>
      </c>
      <c r="C132" s="128"/>
      <c r="D132" s="128"/>
      <c r="E132" s="128"/>
      <c r="F132" s="128"/>
      <c r="G132" s="128"/>
      <c r="H132" s="129"/>
      <c r="J132" t="e">
        <f t="shared" ca="1" si="22"/>
        <v>#NAME?</v>
      </c>
      <c r="K132" t="e">
        <f t="shared" ca="1" si="20"/>
        <v>#NAME?</v>
      </c>
      <c r="L132" t="e">
        <f t="shared" ca="1" si="20"/>
        <v>#NAME?</v>
      </c>
      <c r="M132" t="e">
        <f t="shared" ca="1" si="20"/>
        <v>#NAME?</v>
      </c>
      <c r="N132" t="e">
        <f t="shared" ca="1" si="20"/>
        <v>#NAME?</v>
      </c>
      <c r="O132" t="e">
        <f t="shared" ca="1" si="20"/>
        <v>#NAME?</v>
      </c>
      <c r="P132" t="e">
        <f t="shared" ca="1" si="20"/>
        <v>#NAME?</v>
      </c>
      <c r="R132" t="e">
        <f t="shared" ca="1" si="23"/>
        <v>#NAME?</v>
      </c>
      <c r="S132" t="e">
        <f t="shared" ca="1" si="21"/>
        <v>#NAME?</v>
      </c>
      <c r="T132" t="e">
        <f t="shared" ca="1" si="21"/>
        <v>#NAME?</v>
      </c>
      <c r="U132" t="e">
        <f t="shared" ca="1" si="21"/>
        <v>#NAME?</v>
      </c>
      <c r="V132" t="e">
        <f t="shared" ca="1" si="21"/>
        <v>#NAME?</v>
      </c>
      <c r="W132" t="e">
        <f t="shared" ca="1" si="21"/>
        <v>#NAME?</v>
      </c>
      <c r="X132" t="e">
        <f t="shared" ca="1" si="21"/>
        <v>#NAME?</v>
      </c>
      <c r="Z132" s="15">
        <v>1</v>
      </c>
    </row>
    <row r="133" spans="1:34">
      <c r="A133" s="22" t="s">
        <v>220</v>
      </c>
      <c r="B133" s="91" t="s">
        <v>116</v>
      </c>
      <c r="C133" s="25"/>
      <c r="D133" s="101" t="s">
        <v>118</v>
      </c>
      <c r="E133" s="44" t="s">
        <v>186</v>
      </c>
      <c r="F133" s="91" t="s">
        <v>118</v>
      </c>
      <c r="G133" s="25"/>
      <c r="H133" s="25"/>
      <c r="J133" t="e">
        <f t="shared" ca="1" si="22"/>
        <v>#NAME?</v>
      </c>
      <c r="K133" t="e">
        <f t="shared" ca="1" si="20"/>
        <v>#NAME?</v>
      </c>
      <c r="L133" t="e">
        <f t="shared" ca="1" si="20"/>
        <v>#NAME?</v>
      </c>
      <c r="M133" t="e">
        <f t="shared" ca="1" si="20"/>
        <v>#NAME?</v>
      </c>
      <c r="N133" t="e">
        <f t="shared" ca="1" si="20"/>
        <v>#NAME?</v>
      </c>
      <c r="O133" t="e">
        <f t="shared" ca="1" si="20"/>
        <v>#NAME?</v>
      </c>
      <c r="P133" t="e">
        <f t="shared" ca="1" si="20"/>
        <v>#NAME?</v>
      </c>
      <c r="R133" t="e">
        <f t="shared" ca="1" si="23"/>
        <v>#NAME?</v>
      </c>
      <c r="S133" t="e">
        <f t="shared" ca="1" si="21"/>
        <v>#NAME?</v>
      </c>
      <c r="T133" t="e">
        <f t="shared" ca="1" si="21"/>
        <v>#NAME?</v>
      </c>
      <c r="U133" t="e">
        <f t="shared" ca="1" si="21"/>
        <v>#NAME?</v>
      </c>
      <c r="V133" t="e">
        <f t="shared" ca="1" si="21"/>
        <v>#NAME?</v>
      </c>
      <c r="W133" t="e">
        <f t="shared" ca="1" si="21"/>
        <v>#NAME?</v>
      </c>
      <c r="X133" t="e">
        <f t="shared" ca="1" si="21"/>
        <v>#NAME?</v>
      </c>
      <c r="Z133" s="15">
        <v>1</v>
      </c>
    </row>
    <row r="134" spans="1:34">
      <c r="A134" s="22" t="s">
        <v>221</v>
      </c>
      <c r="B134" s="127" t="s">
        <v>18</v>
      </c>
      <c r="C134" s="128"/>
      <c r="D134" s="128"/>
      <c r="E134" s="128"/>
      <c r="F134" s="128"/>
      <c r="G134" s="128"/>
      <c r="H134" s="129"/>
      <c r="J134" t="e">
        <f t="shared" ca="1" si="22"/>
        <v>#NAME?</v>
      </c>
      <c r="K134" t="e">
        <f t="shared" ca="1" si="20"/>
        <v>#NAME?</v>
      </c>
      <c r="L134" t="e">
        <f t="shared" ca="1" si="20"/>
        <v>#NAME?</v>
      </c>
      <c r="M134" t="e">
        <f t="shared" ca="1" si="20"/>
        <v>#NAME?</v>
      </c>
      <c r="N134" t="e">
        <f t="shared" ca="1" si="20"/>
        <v>#NAME?</v>
      </c>
      <c r="O134" t="e">
        <f t="shared" ca="1" si="20"/>
        <v>#NAME?</v>
      </c>
      <c r="P134" t="e">
        <f t="shared" ca="1" si="20"/>
        <v>#NAME?</v>
      </c>
      <c r="R134" t="e">
        <f t="shared" ca="1" si="23"/>
        <v>#NAME?</v>
      </c>
      <c r="S134" t="e">
        <f t="shared" ca="1" si="21"/>
        <v>#NAME?</v>
      </c>
      <c r="T134" t="e">
        <f t="shared" ca="1" si="21"/>
        <v>#NAME?</v>
      </c>
      <c r="U134" t="e">
        <f t="shared" ca="1" si="21"/>
        <v>#NAME?</v>
      </c>
      <c r="V134" t="e">
        <f t="shared" ca="1" si="21"/>
        <v>#NAME?</v>
      </c>
      <c r="W134" t="e">
        <f t="shared" ca="1" si="21"/>
        <v>#NAME?</v>
      </c>
      <c r="X134" t="e">
        <f t="shared" ca="1" si="21"/>
        <v>#NAME?</v>
      </c>
      <c r="Z134" s="15">
        <v>1</v>
      </c>
    </row>
    <row r="135" spans="1:34">
      <c r="A135" s="22" t="s">
        <v>222</v>
      </c>
      <c r="B135" s="25" t="s">
        <v>152</v>
      </c>
      <c r="C135" s="25"/>
      <c r="D135" s="25"/>
      <c r="E135" s="25"/>
      <c r="F135" s="25"/>
      <c r="G135" s="101" t="s">
        <v>116</v>
      </c>
      <c r="H135" s="91" t="s">
        <v>116</v>
      </c>
      <c r="J135" t="e">
        <f t="shared" ca="1" si="22"/>
        <v>#NAME?</v>
      </c>
      <c r="K135" t="e">
        <f t="shared" ca="1" si="20"/>
        <v>#NAME?</v>
      </c>
      <c r="L135" t="e">
        <f t="shared" ca="1" si="20"/>
        <v>#NAME?</v>
      </c>
      <c r="M135" t="e">
        <f t="shared" ca="1" si="20"/>
        <v>#NAME?</v>
      </c>
      <c r="N135" t="e">
        <f t="shared" ca="1" si="20"/>
        <v>#NAME?</v>
      </c>
      <c r="O135" t="e">
        <f t="shared" ca="1" si="20"/>
        <v>#NAME?</v>
      </c>
      <c r="P135" t="e">
        <f t="shared" ca="1" si="20"/>
        <v>#NAME?</v>
      </c>
      <c r="R135" t="e">
        <f t="shared" ca="1" si="23"/>
        <v>#NAME?</v>
      </c>
      <c r="S135" t="e">
        <f t="shared" ca="1" si="21"/>
        <v>#NAME?</v>
      </c>
      <c r="T135" t="e">
        <f t="shared" ca="1" si="21"/>
        <v>#NAME?</v>
      </c>
      <c r="U135" t="e">
        <f t="shared" ca="1" si="21"/>
        <v>#NAME?</v>
      </c>
      <c r="V135" t="e">
        <f t="shared" ca="1" si="21"/>
        <v>#NAME?</v>
      </c>
      <c r="W135" t="e">
        <f t="shared" ca="1" si="21"/>
        <v>#NAME?</v>
      </c>
      <c r="X135" t="e">
        <f t="shared" ca="1" si="21"/>
        <v>#NAME?</v>
      </c>
      <c r="Z135" s="15">
        <v>1</v>
      </c>
    </row>
    <row r="136" spans="1:34">
      <c r="A136" s="106" t="s">
        <v>223</v>
      </c>
      <c r="B136" s="107" t="str">
        <f t="shared" ref="B136:H136" si="25">B101</f>
        <v>Mon 18 May</v>
      </c>
      <c r="C136" s="107" t="str">
        <f t="shared" si="25"/>
        <v>Tues 19 May</v>
      </c>
      <c r="D136" s="107" t="str">
        <f t="shared" si="25"/>
        <v>Wed 20 May</v>
      </c>
      <c r="E136" s="107" t="str">
        <f t="shared" si="25"/>
        <v>Thu 21 May</v>
      </c>
      <c r="F136" s="107" t="str">
        <f t="shared" si="25"/>
        <v>Fri 22 May</v>
      </c>
      <c r="G136" s="107" t="str">
        <f t="shared" si="25"/>
        <v>Sat 23 May</v>
      </c>
      <c r="H136" s="107" t="str">
        <f t="shared" si="25"/>
        <v>Sun 24 May</v>
      </c>
      <c r="J136" t="e">
        <f t="shared" ca="1" si="22"/>
        <v>#NAME?</v>
      </c>
      <c r="K136" t="e">
        <f t="shared" ca="1" si="20"/>
        <v>#NAME?</v>
      </c>
      <c r="L136" t="e">
        <f t="shared" ca="1" si="20"/>
        <v>#NAME?</v>
      </c>
      <c r="M136" t="e">
        <f t="shared" ca="1" si="20"/>
        <v>#NAME?</v>
      </c>
      <c r="N136" t="e">
        <f t="shared" ca="1" si="20"/>
        <v>#NAME?</v>
      </c>
      <c r="O136" t="e">
        <f t="shared" ca="1" si="20"/>
        <v>#NAME?</v>
      </c>
      <c r="P136" t="e">
        <f t="shared" ca="1" si="20"/>
        <v>#NAME?</v>
      </c>
      <c r="R136" t="e">
        <f t="shared" ca="1" si="23"/>
        <v>#NAME?</v>
      </c>
      <c r="S136" t="e">
        <f t="shared" ca="1" si="21"/>
        <v>#NAME?</v>
      </c>
      <c r="T136" t="e">
        <f t="shared" ca="1" si="21"/>
        <v>#NAME?</v>
      </c>
      <c r="U136" t="e">
        <f t="shared" ca="1" si="21"/>
        <v>#NAME?</v>
      </c>
      <c r="V136" t="e">
        <f t="shared" ca="1" si="21"/>
        <v>#NAME?</v>
      </c>
      <c r="W136" t="e">
        <f t="shared" ca="1" si="21"/>
        <v>#NAME?</v>
      </c>
      <c r="X136" t="e">
        <f t="shared" ca="1" si="21"/>
        <v>#NAME?</v>
      </c>
      <c r="Z136" s="53">
        <f>SUM(Z128:Z135)</f>
        <v>8</v>
      </c>
      <c r="AA136" s="55"/>
      <c r="AB136" s="55"/>
      <c r="AC136" s="55"/>
    </row>
    <row r="137" spans="1:34">
      <c r="A137" s="22" t="s">
        <v>309</v>
      </c>
      <c r="B137" s="25"/>
      <c r="C137" s="25"/>
      <c r="D137" s="25" t="s">
        <v>152</v>
      </c>
      <c r="E137" s="25" t="s">
        <v>152</v>
      </c>
      <c r="F137" s="25" t="s">
        <v>152</v>
      </c>
      <c r="G137" s="25" t="s">
        <v>152</v>
      </c>
      <c r="H137" s="25"/>
      <c r="J137" t="e">
        <f t="shared" ca="1" si="22"/>
        <v>#NAME?</v>
      </c>
      <c r="K137" t="e">
        <f t="shared" ca="1" si="20"/>
        <v>#NAME?</v>
      </c>
      <c r="L137" t="e">
        <f t="shared" ca="1" si="20"/>
        <v>#NAME?</v>
      </c>
      <c r="M137" t="e">
        <f t="shared" ca="1" si="20"/>
        <v>#NAME?</v>
      </c>
      <c r="N137" t="e">
        <f t="shared" ref="N137:P140" ca="1" si="26">colorindex(F137)</f>
        <v>#NAME?</v>
      </c>
      <c r="O137" t="e">
        <f t="shared" ca="1" si="26"/>
        <v>#NAME?</v>
      </c>
      <c r="P137" t="e">
        <f t="shared" ca="1" si="26"/>
        <v>#NAME?</v>
      </c>
      <c r="R137" t="e">
        <f t="shared" ca="1" si="23"/>
        <v>#NAME?</v>
      </c>
      <c r="S137" t="e">
        <f t="shared" ca="1" si="21"/>
        <v>#NAME?</v>
      </c>
      <c r="T137" t="e">
        <f t="shared" ca="1" si="21"/>
        <v>#NAME?</v>
      </c>
      <c r="U137" t="e">
        <f t="shared" ca="1" si="21"/>
        <v>#NAME?</v>
      </c>
      <c r="V137" t="e">
        <f t="shared" ref="V137:X140" ca="1" si="27">ShiftIndex(F137)</f>
        <v>#NAME?</v>
      </c>
      <c r="W137" t="e">
        <f t="shared" ca="1" si="27"/>
        <v>#NAME?</v>
      </c>
      <c r="X137" t="e">
        <f t="shared" ca="1" si="27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2"/>
        <v>#NAME?</v>
      </c>
      <c r="K138" t="e">
        <f t="shared" ca="1" si="22"/>
        <v>#NAME?</v>
      </c>
      <c r="L138" t="e">
        <f t="shared" ca="1" si="22"/>
        <v>#NAME?</v>
      </c>
      <c r="M138" t="e">
        <f t="shared" ca="1" si="22"/>
        <v>#NAME?</v>
      </c>
      <c r="N138" t="e">
        <f t="shared" ca="1" si="26"/>
        <v>#NAME?</v>
      </c>
      <c r="O138" t="e">
        <f t="shared" ca="1" si="26"/>
        <v>#NAME?</v>
      </c>
      <c r="P138" t="e">
        <f t="shared" ca="1" si="26"/>
        <v>#NAME?</v>
      </c>
      <c r="R138" t="e">
        <f t="shared" ca="1" si="23"/>
        <v>#NAME?</v>
      </c>
      <c r="S138" t="e">
        <f t="shared" ca="1" si="23"/>
        <v>#NAME?</v>
      </c>
      <c r="T138" t="e">
        <f t="shared" ca="1" si="23"/>
        <v>#NAME?</v>
      </c>
      <c r="U138" t="e">
        <f t="shared" ca="1" si="23"/>
        <v>#NAME?</v>
      </c>
      <c r="V138" t="e">
        <f t="shared" ca="1" si="27"/>
        <v>#NAME?</v>
      </c>
      <c r="W138" t="e">
        <f t="shared" ca="1" si="27"/>
        <v>#NAME?</v>
      </c>
      <c r="X138" t="e">
        <f t="shared" ca="1" si="27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28">B136</f>
        <v>Mon 18 May</v>
      </c>
      <c r="C139" s="107" t="str">
        <f t="shared" si="28"/>
        <v>Tues 19 May</v>
      </c>
      <c r="D139" s="107" t="str">
        <f t="shared" si="28"/>
        <v>Wed 20 May</v>
      </c>
      <c r="E139" s="107" t="str">
        <f t="shared" si="28"/>
        <v>Thu 21 May</v>
      </c>
      <c r="F139" s="107" t="str">
        <f t="shared" si="28"/>
        <v>Fri 22 May</v>
      </c>
      <c r="G139" s="107" t="str">
        <f t="shared" si="28"/>
        <v>Sat 23 May</v>
      </c>
      <c r="H139" s="107" t="str">
        <f t="shared" si="28"/>
        <v>Sun 24 May</v>
      </c>
      <c r="J139" t="e">
        <f t="shared" ca="1" si="22"/>
        <v>#NAME?</v>
      </c>
      <c r="K139" t="e">
        <f t="shared" ca="1" si="22"/>
        <v>#NAME?</v>
      </c>
      <c r="L139" t="e">
        <f t="shared" ca="1" si="22"/>
        <v>#NAME?</v>
      </c>
      <c r="M139" t="e">
        <f t="shared" ca="1" si="22"/>
        <v>#NAME?</v>
      </c>
      <c r="N139" t="e">
        <f t="shared" ca="1" si="26"/>
        <v>#NAME?</v>
      </c>
      <c r="O139" t="e">
        <f t="shared" ca="1" si="26"/>
        <v>#NAME?</v>
      </c>
      <c r="P139" t="e">
        <f t="shared" ca="1" si="26"/>
        <v>#NAME?</v>
      </c>
      <c r="Q139"/>
      <c r="R139" t="e">
        <f t="shared" ca="1" si="23"/>
        <v>#NAME?</v>
      </c>
      <c r="S139" t="e">
        <f t="shared" ca="1" si="23"/>
        <v>#NAME?</v>
      </c>
      <c r="T139" t="e">
        <f t="shared" ca="1" si="23"/>
        <v>#NAME?</v>
      </c>
      <c r="U139" t="e">
        <f t="shared" ca="1" si="23"/>
        <v>#NAME?</v>
      </c>
      <c r="V139" t="e">
        <f t="shared" ca="1" si="27"/>
        <v>#NAME?</v>
      </c>
      <c r="W139" t="e">
        <f t="shared" ca="1" si="27"/>
        <v>#NAME?</v>
      </c>
      <c r="X139" t="e">
        <f t="shared" ca="1" si="27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286</v>
      </c>
      <c r="C140" s="28" t="s">
        <v>310</v>
      </c>
      <c r="D140" s="28" t="s">
        <v>284</v>
      </c>
      <c r="E140" s="28" t="s">
        <v>310</v>
      </c>
      <c r="F140" s="28" t="s">
        <v>239</v>
      </c>
      <c r="G140" s="28" t="s">
        <v>238</v>
      </c>
      <c r="H140" s="28" t="s">
        <v>284</v>
      </c>
      <c r="J140" t="e">
        <f t="shared" ca="1" si="22"/>
        <v>#NAME?</v>
      </c>
      <c r="K140" t="e">
        <f t="shared" ca="1" si="22"/>
        <v>#NAME?</v>
      </c>
      <c r="L140" t="e">
        <f t="shared" ca="1" si="22"/>
        <v>#NAME?</v>
      </c>
      <c r="M140" t="e">
        <f t="shared" ca="1" si="22"/>
        <v>#NAME?</v>
      </c>
      <c r="N140" t="e">
        <f t="shared" ca="1" si="26"/>
        <v>#NAME?</v>
      </c>
      <c r="O140" t="e">
        <f t="shared" ca="1" si="26"/>
        <v>#NAME?</v>
      </c>
      <c r="P140" t="e">
        <f t="shared" ca="1" si="26"/>
        <v>#NAME?</v>
      </c>
      <c r="Q140"/>
      <c r="R140" t="e">
        <f t="shared" ca="1" si="23"/>
        <v>#NAME?</v>
      </c>
      <c r="S140" t="e">
        <f t="shared" ca="1" si="23"/>
        <v>#NAME?</v>
      </c>
      <c r="T140" t="e">
        <f t="shared" ca="1" si="23"/>
        <v>#NAME?</v>
      </c>
      <c r="U140" t="e">
        <f t="shared" ca="1" si="23"/>
        <v>#NAME?</v>
      </c>
      <c r="V140" t="e">
        <f t="shared" ca="1" si="27"/>
        <v>#NAME?</v>
      </c>
      <c r="W140" t="e">
        <f t="shared" ca="1" si="27"/>
        <v>#NAME?</v>
      </c>
      <c r="X140" t="e">
        <f t="shared" ca="1" si="27"/>
        <v>#NAME?</v>
      </c>
      <c r="Z140" s="12"/>
      <c r="AA140"/>
    </row>
    <row r="141" spans="1:34">
      <c r="A141" s="106" t="s">
        <v>242</v>
      </c>
      <c r="B141" s="107" t="str">
        <f t="shared" ref="B141:H141" si="29">B58</f>
        <v>Mon 18 May</v>
      </c>
      <c r="C141" s="107" t="str">
        <f t="shared" si="29"/>
        <v>Tues 19 May</v>
      </c>
      <c r="D141" s="107" t="str">
        <f t="shared" si="29"/>
        <v>Wed 20 May</v>
      </c>
      <c r="E141" s="107" t="str">
        <f t="shared" si="29"/>
        <v>Thu 21 May</v>
      </c>
      <c r="F141" s="107" t="str">
        <f t="shared" si="29"/>
        <v>Fri 22 May</v>
      </c>
      <c r="G141" s="107" t="str">
        <f t="shared" si="29"/>
        <v>Sat 23 May</v>
      </c>
      <c r="H141" s="107" t="str">
        <f t="shared" si="29"/>
        <v>Sun 24 May</v>
      </c>
    </row>
    <row r="142" spans="1:34">
      <c r="A142" s="27" t="s">
        <v>243</v>
      </c>
      <c r="B142" s="17">
        <f t="shared" ref="B142:H142" ca="1" si="30">COUNTIFS(J:J,"Red",R:R,"AM")</f>
        <v>0</v>
      </c>
      <c r="C142" s="17">
        <f t="shared" ca="1" si="30"/>
        <v>0</v>
      </c>
      <c r="D142" s="17">
        <f t="shared" ca="1" si="30"/>
        <v>0</v>
      </c>
      <c r="E142" s="17">
        <f t="shared" ca="1" si="30"/>
        <v>0</v>
      </c>
      <c r="F142" s="17">
        <f t="shared" ca="1" si="30"/>
        <v>0</v>
      </c>
      <c r="G142" s="17">
        <f t="shared" ca="1" si="30"/>
        <v>0</v>
      </c>
      <c r="H142" s="17">
        <f t="shared" ca="1" si="30"/>
        <v>0</v>
      </c>
    </row>
    <row r="143" spans="1:34">
      <c r="A143" s="2" t="s">
        <v>244</v>
      </c>
      <c r="B143" s="17">
        <f t="shared" ref="B143:H143" ca="1" si="31">COUNTIFS(J:J,"Green",R:R,"AM")</f>
        <v>0</v>
      </c>
      <c r="C143" s="17">
        <f t="shared" ca="1" si="31"/>
        <v>0</v>
      </c>
      <c r="D143" s="17">
        <f t="shared" ca="1" si="31"/>
        <v>0</v>
      </c>
      <c r="E143" s="17">
        <f t="shared" ca="1" si="31"/>
        <v>0</v>
      </c>
      <c r="F143" s="17">
        <f t="shared" ca="1" si="31"/>
        <v>0</v>
      </c>
      <c r="G143" s="17">
        <f t="shared" ca="1" si="31"/>
        <v>0</v>
      </c>
      <c r="H143" s="17">
        <f t="shared" ca="1" si="31"/>
        <v>0</v>
      </c>
    </row>
    <row r="144" spans="1:34">
      <c r="A144" s="26" t="s">
        <v>245</v>
      </c>
      <c r="B144" s="17">
        <f t="shared" ref="B144:H144" ca="1" si="32">COUNTIFS(J:J,"Gold",R:R,"AM")</f>
        <v>0</v>
      </c>
      <c r="C144" s="17">
        <f t="shared" ca="1" si="32"/>
        <v>0</v>
      </c>
      <c r="D144" s="17">
        <f t="shared" ca="1" si="32"/>
        <v>0</v>
      </c>
      <c r="E144" s="17">
        <f t="shared" ca="1" si="32"/>
        <v>0</v>
      </c>
      <c r="F144" s="17">
        <f t="shared" ca="1" si="32"/>
        <v>0</v>
      </c>
      <c r="G144" s="17">
        <f t="shared" ca="1" si="32"/>
        <v>0</v>
      </c>
      <c r="H144" s="17">
        <f t="shared" ca="1" si="32"/>
        <v>0</v>
      </c>
    </row>
    <row r="145" spans="1:26">
      <c r="A145" s="29" t="s">
        <v>246</v>
      </c>
      <c r="B145" s="17">
        <f t="shared" ref="B145:H145" ca="1" si="33">COUNTIFS(J:J,"LGreen",R:R,"AM")</f>
        <v>0</v>
      </c>
      <c r="C145" s="17">
        <f t="shared" ca="1" si="33"/>
        <v>0</v>
      </c>
      <c r="D145" s="17">
        <f t="shared" ca="1" si="33"/>
        <v>0</v>
      </c>
      <c r="E145" s="17">
        <f t="shared" ca="1" si="33"/>
        <v>0</v>
      </c>
      <c r="F145" s="17">
        <f t="shared" ca="1" si="33"/>
        <v>0</v>
      </c>
      <c r="G145" s="17">
        <f t="shared" ca="1" si="33"/>
        <v>0</v>
      </c>
      <c r="H145" s="17">
        <f t="shared" ca="1" si="33"/>
        <v>0</v>
      </c>
    </row>
    <row r="146" spans="1:26">
      <c r="A146" s="43" t="s">
        <v>26</v>
      </c>
      <c r="B146" s="17">
        <f t="shared" ref="B146:H146" ca="1" si="34">COUNTIFS(J:J,"Blue",R:R,"AM")</f>
        <v>0</v>
      </c>
      <c r="C146" s="17">
        <f t="shared" ca="1" si="34"/>
        <v>0</v>
      </c>
      <c r="D146" s="17">
        <f t="shared" ca="1" si="34"/>
        <v>0</v>
      </c>
      <c r="E146" s="17">
        <f t="shared" ca="1" si="34"/>
        <v>0</v>
      </c>
      <c r="F146" s="17">
        <f t="shared" ca="1" si="34"/>
        <v>0</v>
      </c>
      <c r="G146" s="17">
        <f t="shared" ca="1" si="34"/>
        <v>0</v>
      </c>
      <c r="H146" s="17">
        <f t="shared" ca="1" si="34"/>
        <v>0</v>
      </c>
    </row>
    <row r="147" spans="1:26">
      <c r="A147" s="3" t="s">
        <v>16</v>
      </c>
      <c r="B147" s="17">
        <f t="shared" ref="B147:H147" ca="1" si="35">COUNTIFS(J:J,"Pink",R:R,"AM")</f>
        <v>0</v>
      </c>
      <c r="C147" s="17">
        <f t="shared" ca="1" si="35"/>
        <v>0</v>
      </c>
      <c r="D147" s="17">
        <f t="shared" ca="1" si="35"/>
        <v>0</v>
      </c>
      <c r="E147" s="17">
        <f t="shared" ca="1" si="35"/>
        <v>0</v>
      </c>
      <c r="F147" s="17">
        <f t="shared" ca="1" si="35"/>
        <v>0</v>
      </c>
      <c r="G147" s="17">
        <f t="shared" ca="1" si="35"/>
        <v>0</v>
      </c>
      <c r="H147" s="17">
        <f t="shared" ca="1" si="35"/>
        <v>0</v>
      </c>
    </row>
    <row r="148" spans="1:26">
      <c r="A148" s="5" t="s">
        <v>247</v>
      </c>
      <c r="B148" s="17">
        <f t="shared" ref="B148:H148" ca="1" si="36">COUNTIFS(R:R,"AM") - B142-B143-B144-B145-B146-B147</f>
        <v>0</v>
      </c>
      <c r="C148" s="17">
        <f t="shared" ca="1" si="36"/>
        <v>2</v>
      </c>
      <c r="D148" s="17">
        <f t="shared" ca="1" si="36"/>
        <v>0</v>
      </c>
      <c r="E148" s="17">
        <f t="shared" ca="1" si="36"/>
        <v>0</v>
      </c>
      <c r="F148" s="17">
        <f t="shared" ca="1" si="36"/>
        <v>0</v>
      </c>
      <c r="G148" s="17">
        <f t="shared" ca="1" si="36"/>
        <v>2</v>
      </c>
      <c r="H148" s="17">
        <f t="shared" ca="1" si="36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37">SUM(C142:C147)</f>
        <v>0</v>
      </c>
      <c r="D149" s="47">
        <f t="shared" ca="1" si="37"/>
        <v>0</v>
      </c>
      <c r="E149" s="47">
        <f t="shared" ca="1" si="37"/>
        <v>0</v>
      </c>
      <c r="F149" s="47">
        <f t="shared" ca="1" si="37"/>
        <v>0</v>
      </c>
      <c r="G149" s="47">
        <f t="shared" ca="1" si="37"/>
        <v>0</v>
      </c>
      <c r="H149" s="47">
        <f t="shared" ca="1" si="37"/>
        <v>0</v>
      </c>
      <c r="Z149" s="48"/>
    </row>
    <row r="150" spans="1:26">
      <c r="A150" s="27" t="s">
        <v>249</v>
      </c>
      <c r="B150" s="17">
        <f t="shared" ref="B150:H150" ca="1" si="38">COUNTIFS(J:J,"Red",R:R,"PM")</f>
        <v>0</v>
      </c>
      <c r="C150" s="17">
        <f t="shared" ca="1" si="38"/>
        <v>0</v>
      </c>
      <c r="D150" s="17">
        <f t="shared" ca="1" si="38"/>
        <v>0</v>
      </c>
      <c r="E150" s="17">
        <f t="shared" ca="1" si="38"/>
        <v>0</v>
      </c>
      <c r="F150" s="17">
        <f t="shared" ca="1" si="38"/>
        <v>0</v>
      </c>
      <c r="G150" s="17">
        <f t="shared" ca="1" si="38"/>
        <v>0</v>
      </c>
      <c r="H150" s="17">
        <f t="shared" ca="1" si="38"/>
        <v>0</v>
      </c>
    </row>
    <row r="151" spans="1:26">
      <c r="A151" s="2" t="s">
        <v>250</v>
      </c>
      <c r="B151" s="17">
        <f t="shared" ref="B151:H151" ca="1" si="39">COUNTIFS(J:J,"Green",R:R,"PM")</f>
        <v>0</v>
      </c>
      <c r="C151" s="17">
        <f t="shared" ca="1" si="39"/>
        <v>0</v>
      </c>
      <c r="D151" s="17">
        <f t="shared" ca="1" si="39"/>
        <v>0</v>
      </c>
      <c r="E151" s="17">
        <f t="shared" ca="1" si="39"/>
        <v>0</v>
      </c>
      <c r="F151" s="17">
        <f t="shared" ca="1" si="39"/>
        <v>0</v>
      </c>
      <c r="G151" s="17">
        <f t="shared" ca="1" si="39"/>
        <v>0</v>
      </c>
      <c r="H151" s="17">
        <f t="shared" ca="1" si="39"/>
        <v>0</v>
      </c>
    </row>
    <row r="152" spans="1:26">
      <c r="A152" s="26" t="s">
        <v>251</v>
      </c>
      <c r="B152" s="17">
        <f t="shared" ref="B152:H152" ca="1" si="40">COUNTIFS(J:J,"Gold",R:R,"PM")</f>
        <v>0</v>
      </c>
      <c r="C152" s="17">
        <f t="shared" ca="1" si="40"/>
        <v>0</v>
      </c>
      <c r="D152" s="17">
        <f t="shared" ca="1" si="40"/>
        <v>0</v>
      </c>
      <c r="E152" s="17">
        <f t="shared" ca="1" si="40"/>
        <v>0</v>
      </c>
      <c r="F152" s="17">
        <f t="shared" ca="1" si="40"/>
        <v>0</v>
      </c>
      <c r="G152" s="17">
        <f t="shared" ca="1" si="40"/>
        <v>0</v>
      </c>
      <c r="H152" s="17">
        <f t="shared" ca="1" si="40"/>
        <v>0</v>
      </c>
    </row>
    <row r="153" spans="1:26">
      <c r="A153" s="29" t="s">
        <v>252</v>
      </c>
      <c r="B153" s="17">
        <f t="shared" ref="B153:H153" ca="1" si="41">COUNTIFS(J:J,"LGreen",R:R,"PM")</f>
        <v>0</v>
      </c>
      <c r="C153" s="17">
        <f t="shared" ca="1" si="41"/>
        <v>0</v>
      </c>
      <c r="D153" s="17">
        <f t="shared" ca="1" si="41"/>
        <v>0</v>
      </c>
      <c r="E153" s="17">
        <f t="shared" ca="1" si="41"/>
        <v>0</v>
      </c>
      <c r="F153" s="17">
        <f t="shared" ca="1" si="41"/>
        <v>0</v>
      </c>
      <c r="G153" s="17">
        <f t="shared" ca="1" si="41"/>
        <v>0</v>
      </c>
      <c r="H153" s="17">
        <f t="shared" ca="1" si="41"/>
        <v>0</v>
      </c>
    </row>
    <row r="154" spans="1:26">
      <c r="A154" s="10" t="s">
        <v>253</v>
      </c>
      <c r="B154" s="17">
        <f t="shared" ref="B154:H154" ca="1" si="42">COUNTIFS(J:J,"Blue",R:R,"PM")</f>
        <v>0</v>
      </c>
      <c r="C154" s="17">
        <f t="shared" ca="1" si="42"/>
        <v>0</v>
      </c>
      <c r="D154" s="17">
        <f t="shared" ca="1" si="42"/>
        <v>0</v>
      </c>
      <c r="E154" s="17">
        <f t="shared" ca="1" si="42"/>
        <v>0</v>
      </c>
      <c r="F154" s="17">
        <f t="shared" ca="1" si="42"/>
        <v>0</v>
      </c>
      <c r="G154" s="17">
        <f t="shared" ca="1" si="42"/>
        <v>0</v>
      </c>
      <c r="H154" s="17">
        <f t="shared" ca="1" si="42"/>
        <v>0</v>
      </c>
    </row>
    <row r="155" spans="1:26">
      <c r="A155" s="3" t="s">
        <v>59</v>
      </c>
      <c r="B155" s="17">
        <f t="shared" ref="B155:H155" ca="1" si="43">COUNTIFS(J:J,"Pink",R:R,"PM")</f>
        <v>0</v>
      </c>
      <c r="C155" s="17">
        <f t="shared" ca="1" si="43"/>
        <v>0</v>
      </c>
      <c r="D155" s="17">
        <f t="shared" ca="1" si="43"/>
        <v>0</v>
      </c>
      <c r="E155" s="17">
        <f t="shared" ca="1" si="43"/>
        <v>0</v>
      </c>
      <c r="F155" s="17">
        <f t="shared" ca="1" si="43"/>
        <v>0</v>
      </c>
      <c r="G155" s="17">
        <f t="shared" ca="1" si="43"/>
        <v>0</v>
      </c>
      <c r="H155" s="17">
        <f t="shared" ca="1" si="43"/>
        <v>0</v>
      </c>
    </row>
    <row r="156" spans="1:26">
      <c r="A156" s="5" t="s">
        <v>254</v>
      </c>
      <c r="B156" s="17">
        <f t="shared" ref="B156:H156" ca="1" si="44">COUNTIFS(R:R,"PM") -B151-B152-B155-B154-B150-B153</f>
        <v>0</v>
      </c>
      <c r="C156" s="17">
        <f t="shared" ca="1" si="44"/>
        <v>0</v>
      </c>
      <c r="D156" s="17">
        <f t="shared" ca="1" si="44"/>
        <v>0</v>
      </c>
      <c r="E156" s="17">
        <f t="shared" ca="1" si="44"/>
        <v>0</v>
      </c>
      <c r="F156" s="17">
        <f t="shared" ca="1" si="44"/>
        <v>0</v>
      </c>
      <c r="G156" s="17">
        <f t="shared" ca="1" si="44"/>
        <v>0</v>
      </c>
      <c r="H156" s="17">
        <f t="shared" ca="1" si="44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5">SUM(C150:C155)</f>
        <v>0</v>
      </c>
      <c r="D157" s="47">
        <f t="shared" ca="1" si="45"/>
        <v>0</v>
      </c>
      <c r="E157" s="47">
        <f t="shared" ca="1" si="45"/>
        <v>0</v>
      </c>
      <c r="F157" s="47">
        <f t="shared" ca="1" si="45"/>
        <v>0</v>
      </c>
      <c r="G157" s="47">
        <f t="shared" ca="1" si="45"/>
        <v>0</v>
      </c>
      <c r="H157" s="47">
        <f t="shared" ca="1" si="45"/>
        <v>0</v>
      </c>
      <c r="Z157" s="48"/>
    </row>
    <row r="158" spans="1:26">
      <c r="A158" s="4" t="s">
        <v>256</v>
      </c>
      <c r="B158" s="17">
        <f t="shared" ref="B158:H158" ca="1" si="46">COUNTIFS(R:R,"ND")</f>
        <v>0</v>
      </c>
      <c r="C158" s="17">
        <f t="shared" ca="1" si="46"/>
        <v>0</v>
      </c>
      <c r="D158" s="17">
        <f t="shared" ca="1" si="46"/>
        <v>0</v>
      </c>
      <c r="E158" s="17">
        <f t="shared" ca="1" si="46"/>
        <v>0</v>
      </c>
      <c r="F158" s="17">
        <f t="shared" ca="1" si="46"/>
        <v>0</v>
      </c>
      <c r="G158" s="17">
        <f t="shared" ca="1" si="46"/>
        <v>0</v>
      </c>
      <c r="H158" s="17">
        <f t="shared" ca="1" si="46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47:AI51">
    <sortCondition ref="A47"/>
  </sortState>
  <mergeCells count="18">
    <mergeCell ref="B68:H68"/>
    <mergeCell ref="B69:H69"/>
    <mergeCell ref="B132:H132"/>
    <mergeCell ref="B134:H134"/>
    <mergeCell ref="B106:C106"/>
    <mergeCell ref="B88:H88"/>
    <mergeCell ref="B76:H76"/>
    <mergeCell ref="B119:H119"/>
    <mergeCell ref="B5:H5"/>
    <mergeCell ref="B8:H8"/>
    <mergeCell ref="B13:H13"/>
    <mergeCell ref="B14:H14"/>
    <mergeCell ref="B45:H45"/>
    <mergeCell ref="B21:H21"/>
    <mergeCell ref="B28:H28"/>
    <mergeCell ref="B31:H31"/>
    <mergeCell ref="B38:H38"/>
    <mergeCell ref="B42:H42"/>
  </mergeCells>
  <conditionalFormatting sqref="B145:H145 B147:H147 B153:H153 B155:H155">
    <cfRule type="cellIs" dxfId="65" priority="4" operator="lessThan">
      <formula>2</formula>
    </cfRule>
  </conditionalFormatting>
  <conditionalFormatting sqref="B146:H146">
    <cfRule type="cellIs" dxfId="64" priority="2" operator="lessThan">
      <formula>2</formula>
    </cfRule>
  </conditionalFormatting>
  <conditionalFormatting sqref="B143:H144 B151:H152">
    <cfRule type="cellIs" dxfId="63" priority="5" operator="lessThan">
      <formula>4</formula>
    </cfRule>
  </conditionalFormatting>
  <conditionalFormatting sqref="B142:H142 B150:H150">
    <cfRule type="cellIs" dxfId="62" priority="6" operator="lessThan">
      <formula>2</formula>
    </cfRule>
  </conditionalFormatting>
  <conditionalFormatting sqref="B158:H158">
    <cfRule type="cellIs" dxfId="61" priority="3" operator="lessThan">
      <formula>7</formula>
    </cfRule>
  </conditionalFormatting>
  <conditionalFormatting sqref="B154:H154">
    <cfRule type="cellIs" dxfId="6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7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0">
    <tabColor theme="0"/>
    <pageSetUpPr fitToPage="1"/>
  </sheetPr>
  <dimension ref="A1:AH162"/>
  <sheetViews>
    <sheetView topLeftCell="A27" zoomScaleNormal="100" workbookViewId="0">
      <selection activeCell="B132" sqref="B132:H132"/>
    </sheetView>
  </sheetViews>
  <sheetFormatPr defaultColWidth="9.140625" defaultRowHeight="15"/>
  <cols>
    <col min="1" max="1" width="31" style="16" bestFit="1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46167</v>
      </c>
      <c r="C2" s="105">
        <f>B2+1</f>
        <v>46168</v>
      </c>
      <c r="D2" s="105">
        <f t="shared" ref="D2:H2" si="0">C2+1</f>
        <v>46169</v>
      </c>
      <c r="E2" s="105">
        <f t="shared" si="0"/>
        <v>46170</v>
      </c>
      <c r="F2" s="105">
        <f t="shared" si="0"/>
        <v>46171</v>
      </c>
      <c r="G2" s="105">
        <f t="shared" si="0"/>
        <v>46172</v>
      </c>
      <c r="H2" s="105">
        <f t="shared" si="0"/>
        <v>46173</v>
      </c>
    </row>
    <row r="3" spans="1:26" ht="14.45" customHeight="1">
      <c r="A3" s="21" t="s">
        <v>15</v>
      </c>
      <c r="B3" s="25"/>
      <c r="C3" s="110" t="s">
        <v>67</v>
      </c>
      <c r="D3" s="25"/>
      <c r="E3" s="25"/>
      <c r="F3" s="25"/>
      <c r="G3" s="25"/>
      <c r="H3" s="25"/>
      <c r="J3" t="e">
        <f t="shared" ref="J3:P3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3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5"/>
      <c r="G4" s="110" t="s">
        <v>59</v>
      </c>
      <c r="H4" s="25"/>
      <c r="J4" t="e">
        <f t="shared" ref="J4:J67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M67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R67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U67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10" t="s">
        <v>16</v>
      </c>
      <c r="E5" s="118" t="s">
        <v>36</v>
      </c>
      <c r="F5" s="25"/>
      <c r="G5" s="25"/>
      <c r="H5" s="25"/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</row>
    <row r="7" spans="1:26" ht="14.45" customHeight="1">
      <c r="A7" s="21" t="s">
        <v>22</v>
      </c>
      <c r="B7" s="25"/>
      <c r="C7" s="116" t="s">
        <v>32</v>
      </c>
      <c r="D7" s="117" t="s">
        <v>36</v>
      </c>
      <c r="E7" s="25" t="s">
        <v>24</v>
      </c>
      <c r="F7" s="28" t="s">
        <v>25</v>
      </c>
      <c r="G7" s="25"/>
      <c r="H7" s="25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/>
      <c r="F8" s="110" t="s">
        <v>16</v>
      </c>
      <c r="G8" s="28" t="s">
        <v>34</v>
      </c>
      <c r="H8" s="25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28</v>
      </c>
      <c r="B9" s="25"/>
      <c r="C9" s="118" t="s">
        <v>31</v>
      </c>
      <c r="D9" s="25"/>
      <c r="E9" s="28" t="s">
        <v>25</v>
      </c>
      <c r="F9" s="115" t="s">
        <v>287</v>
      </c>
      <c r="G9" s="25"/>
      <c r="H9" s="25"/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30</v>
      </c>
      <c r="B10" s="25" t="s">
        <v>24</v>
      </c>
      <c r="C10" s="25"/>
      <c r="D10" s="118" t="s">
        <v>36</v>
      </c>
      <c r="E10" s="25"/>
      <c r="F10" s="25"/>
      <c r="G10" s="25"/>
      <c r="H10" s="25"/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25" t="s">
        <v>24</v>
      </c>
      <c r="D11" s="25"/>
      <c r="E11" s="25"/>
      <c r="F11" s="116" t="s">
        <v>45</v>
      </c>
      <c r="G11" s="117" t="s">
        <v>31</v>
      </c>
      <c r="H11" s="25"/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35</v>
      </c>
      <c r="B12" s="127" t="s">
        <v>259</v>
      </c>
      <c r="C12" s="128"/>
      <c r="D12" s="128"/>
      <c r="E12" s="128"/>
      <c r="F12" s="128"/>
      <c r="G12" s="128"/>
      <c r="H12" s="129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37</v>
      </c>
      <c r="B13" s="127" t="s">
        <v>18</v>
      </c>
      <c r="C13" s="128"/>
      <c r="D13" s="128"/>
      <c r="E13" s="128"/>
      <c r="F13" s="128"/>
      <c r="G13" s="128"/>
      <c r="H13" s="129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41</v>
      </c>
      <c r="B15" s="25"/>
      <c r="C15" s="25"/>
      <c r="D15" s="25"/>
      <c r="E15" s="25" t="s">
        <v>24</v>
      </c>
      <c r="F15" s="118" t="s">
        <v>31</v>
      </c>
      <c r="G15" s="116" t="s">
        <v>32</v>
      </c>
      <c r="H15" s="28" t="s">
        <v>34</v>
      </c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43</v>
      </c>
      <c r="B16" s="25"/>
      <c r="C16" s="25"/>
      <c r="D16" s="118" t="s">
        <v>31</v>
      </c>
      <c r="E16" s="117" t="s">
        <v>36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44</v>
      </c>
      <c r="B17" s="110" t="s">
        <v>16</v>
      </c>
      <c r="C17" s="25" t="s">
        <v>24</v>
      </c>
      <c r="D17" s="25"/>
      <c r="E17" s="25"/>
      <c r="F17" s="25"/>
      <c r="G17" s="110" t="s">
        <v>16</v>
      </c>
      <c r="H17" s="44" t="s">
        <v>26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25"/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8" t="s">
        <v>36</v>
      </c>
      <c r="G19" s="25"/>
      <c r="H19" s="110" t="s">
        <v>59</v>
      </c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50</v>
      </c>
      <c r="B20" s="127" t="s">
        <v>20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0.375</v>
      </c>
    </row>
    <row r="21" spans="1:26">
      <c r="A21" s="21" t="s">
        <v>51</v>
      </c>
      <c r="B21" s="116" t="s">
        <v>32</v>
      </c>
      <c r="C21" s="25"/>
      <c r="D21" s="25"/>
      <c r="E21" s="25" t="s">
        <v>24</v>
      </c>
      <c r="F21" s="44" t="s">
        <v>26</v>
      </c>
      <c r="G21" s="117" t="s">
        <v>36</v>
      </c>
      <c r="H21" s="25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52</v>
      </c>
      <c r="B22" s="25"/>
      <c r="C22" s="28" t="s">
        <v>34</v>
      </c>
      <c r="D22" s="25" t="s">
        <v>24</v>
      </c>
      <c r="E22" s="118" t="s">
        <v>31</v>
      </c>
      <c r="F22" s="25" t="s">
        <v>24</v>
      </c>
      <c r="G22" s="25"/>
      <c r="H22" s="25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53</v>
      </c>
      <c r="B23" s="127" t="s">
        <v>20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54</v>
      </c>
      <c r="B24" s="25"/>
      <c r="C24" s="25"/>
      <c r="D24" s="117" t="s">
        <v>31</v>
      </c>
      <c r="E24" s="25"/>
      <c r="F24" s="117" t="s">
        <v>36</v>
      </c>
      <c r="G24" s="25"/>
      <c r="H24" s="118" t="s">
        <v>36</v>
      </c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55</v>
      </c>
      <c r="B25" s="25"/>
      <c r="C25" s="25"/>
      <c r="D25" s="25"/>
      <c r="E25" s="25"/>
      <c r="F25" s="25"/>
      <c r="G25" s="118" t="s">
        <v>36</v>
      </c>
      <c r="H25" s="117" t="s">
        <v>36</v>
      </c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56</v>
      </c>
      <c r="B26" s="110" t="s">
        <v>59</v>
      </c>
      <c r="C26" s="25"/>
      <c r="D26" s="44" t="s">
        <v>26</v>
      </c>
      <c r="E26" s="25" t="s">
        <v>24</v>
      </c>
      <c r="F26" s="25"/>
      <c r="G26" s="25"/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0.5</v>
      </c>
    </row>
    <row r="27" spans="1:26">
      <c r="A27" s="21" t="s">
        <v>58</v>
      </c>
      <c r="B27" s="25"/>
      <c r="C27" s="110" t="s">
        <v>16</v>
      </c>
      <c r="D27" s="116" t="s">
        <v>32</v>
      </c>
      <c r="E27" s="25"/>
      <c r="F27" s="115" t="s">
        <v>287</v>
      </c>
      <c r="G27" s="25"/>
      <c r="H27" s="25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61</v>
      </c>
      <c r="B29" s="115" t="s">
        <v>287</v>
      </c>
      <c r="C29" s="25"/>
      <c r="D29" s="25"/>
      <c r="E29" s="25"/>
      <c r="F29" s="25"/>
      <c r="G29" s="118" t="s">
        <v>31</v>
      </c>
      <c r="H29" s="116" t="s">
        <v>45</v>
      </c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1</v>
      </c>
    </row>
    <row r="30" spans="1:26">
      <c r="A30" s="21" t="s">
        <v>62</v>
      </c>
      <c r="B30" s="117" t="s">
        <v>36</v>
      </c>
      <c r="C30" s="25"/>
      <c r="D30" s="25"/>
      <c r="E30" s="116" t="s">
        <v>45</v>
      </c>
      <c r="F30" s="110" t="s">
        <v>59</v>
      </c>
      <c r="G30" s="25"/>
      <c r="H30" s="25"/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63</v>
      </c>
      <c r="B31" s="25"/>
      <c r="C31" s="117" t="s">
        <v>31</v>
      </c>
      <c r="D31" s="25"/>
      <c r="E31" s="115" t="s">
        <v>287</v>
      </c>
      <c r="F31" s="116" t="s">
        <v>32</v>
      </c>
      <c r="G31" s="25"/>
      <c r="H31" s="118" t="s">
        <v>31</v>
      </c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64</v>
      </c>
      <c r="B32" s="127" t="s">
        <v>29</v>
      </c>
      <c r="C32" s="128"/>
      <c r="D32" s="128"/>
      <c r="E32" s="128"/>
      <c r="F32" s="128"/>
      <c r="G32" s="128"/>
      <c r="H32" s="129"/>
      <c r="J32" t="e">
        <f t="shared" ca="1" si="3"/>
        <v>#NAME?</v>
      </c>
      <c r="K32" t="e">
        <f t="shared" ca="1" si="4"/>
        <v>#NAME?</v>
      </c>
      <c r="L32" t="e">
        <f t="shared" ca="1" si="5"/>
        <v>#NAME?</v>
      </c>
      <c r="M32" t="e">
        <f t="shared" ca="1" si="6"/>
        <v>#NAME?</v>
      </c>
      <c r="N32" t="e">
        <f t="shared" ca="1" si="7"/>
        <v>#NAME?</v>
      </c>
      <c r="O32" t="e">
        <f t="shared" ca="1" si="8"/>
        <v>#NAME?</v>
      </c>
      <c r="P32" t="e">
        <f t="shared" ca="1" si="9"/>
        <v>#NAME?</v>
      </c>
      <c r="R32" t="e">
        <f t="shared" ca="1" si="10"/>
        <v>#NAME?</v>
      </c>
      <c r="S32" t="e">
        <f t="shared" ca="1" si="11"/>
        <v>#NAME?</v>
      </c>
      <c r="T32" t="e">
        <f t="shared" ca="1" si="12"/>
        <v>#NAME?</v>
      </c>
      <c r="U32" t="e">
        <f t="shared" ca="1" si="13"/>
        <v>#NAME?</v>
      </c>
      <c r="V32" t="e">
        <f t="shared" ca="1" si="14"/>
        <v>#NAME?</v>
      </c>
      <c r="W32" t="e">
        <f t="shared" ca="1" si="15"/>
        <v>#NAME?</v>
      </c>
      <c r="X32" t="e">
        <f t="shared" ca="1" si="16"/>
        <v>#NAME?</v>
      </c>
      <c r="Z32" s="15">
        <v>0.5</v>
      </c>
    </row>
    <row r="33" spans="1:26" ht="14.45" customHeight="1">
      <c r="A33" s="21" t="s">
        <v>65</v>
      </c>
      <c r="B33" s="116" t="s">
        <v>45</v>
      </c>
      <c r="C33" s="115" t="s">
        <v>287</v>
      </c>
      <c r="D33" s="28" t="s">
        <v>34</v>
      </c>
      <c r="E33" s="28" t="s">
        <v>34</v>
      </c>
      <c r="F33" s="25"/>
      <c r="G33" s="25"/>
      <c r="H33" s="25"/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68</v>
      </c>
      <c r="B35" s="25"/>
      <c r="C35" s="118" t="s">
        <v>36</v>
      </c>
      <c r="D35" s="115" t="s">
        <v>287</v>
      </c>
      <c r="E35" s="25"/>
      <c r="F35" s="25"/>
      <c r="G35" s="25"/>
      <c r="H35" s="116" t="s">
        <v>32</v>
      </c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69</v>
      </c>
      <c r="B36" s="118" t="s">
        <v>31</v>
      </c>
      <c r="C36" s="25" t="s">
        <v>24</v>
      </c>
      <c r="D36" s="116" t="s">
        <v>45</v>
      </c>
      <c r="E36" s="110" t="s">
        <v>59</v>
      </c>
      <c r="F36" s="25"/>
      <c r="G36" s="25"/>
      <c r="H36" s="25"/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70</v>
      </c>
      <c r="B37" s="25" t="s">
        <v>24</v>
      </c>
      <c r="C37" s="44" t="s">
        <v>26</v>
      </c>
      <c r="D37" s="25" t="s">
        <v>24</v>
      </c>
      <c r="E37" s="116" t="s">
        <v>32</v>
      </c>
      <c r="F37" s="25"/>
      <c r="G37" s="25"/>
      <c r="H37" s="117" t="s">
        <v>31</v>
      </c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71</v>
      </c>
      <c r="B38" s="127" t="s">
        <v>289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72</v>
      </c>
      <c r="B39" s="25"/>
      <c r="C39" s="117" t="s">
        <v>36</v>
      </c>
      <c r="D39" s="25" t="s">
        <v>24</v>
      </c>
      <c r="E39" s="25"/>
      <c r="F39" s="25"/>
      <c r="G39" s="116" t="s">
        <v>45</v>
      </c>
      <c r="H39" s="110" t="s">
        <v>16</v>
      </c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74</v>
      </c>
      <c r="B40" s="127" t="s">
        <v>311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25" t="s">
        <v>24</v>
      </c>
      <c r="E41" s="25"/>
      <c r="F41" s="117" t="s">
        <v>31</v>
      </c>
      <c r="G41" s="25"/>
      <c r="H41" s="25"/>
      <c r="J41" t="e">
        <f t="shared" ca="1" si="3"/>
        <v>#NAME?</v>
      </c>
      <c r="K41" t="e">
        <f t="shared" ca="1" si="4"/>
        <v>#NAME?</v>
      </c>
      <c r="L41" t="e">
        <f t="shared" ca="1" si="5"/>
        <v>#NAME?</v>
      </c>
      <c r="M41" t="e">
        <f t="shared" ca="1" si="6"/>
        <v>#NAME?</v>
      </c>
      <c r="N41" t="e">
        <f t="shared" ca="1" si="7"/>
        <v>#NAME?</v>
      </c>
      <c r="O41" t="e">
        <f t="shared" ca="1" si="8"/>
        <v>#NAME?</v>
      </c>
      <c r="P41" t="e">
        <f t="shared" ca="1" si="9"/>
        <v>#NAME?</v>
      </c>
      <c r="R41" t="e">
        <f t="shared" ca="1" si="10"/>
        <v>#NAME?</v>
      </c>
      <c r="S41" t="e">
        <f t="shared" ca="1" si="11"/>
        <v>#NAME?</v>
      </c>
      <c r="T41" t="e">
        <f t="shared" ca="1" si="12"/>
        <v>#NAME?</v>
      </c>
      <c r="U41" t="e">
        <f t="shared" ca="1" si="13"/>
        <v>#NAME?</v>
      </c>
      <c r="V41" t="e">
        <f t="shared" ca="1" si="14"/>
        <v>#NAME?</v>
      </c>
      <c r="W41" t="e">
        <f t="shared" ca="1" si="15"/>
        <v>#NAME?</v>
      </c>
      <c r="X41" t="e">
        <f t="shared" ca="1" si="16"/>
        <v>#NAME?</v>
      </c>
    </row>
    <row r="42" spans="1:26">
      <c r="A42" s="21" t="s">
        <v>76</v>
      </c>
      <c r="B42" s="127" t="s">
        <v>29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77</v>
      </c>
      <c r="B43" s="118" t="s">
        <v>36</v>
      </c>
      <c r="C43" s="25"/>
      <c r="D43" s="25"/>
      <c r="E43" s="110" t="s">
        <v>16</v>
      </c>
      <c r="F43" s="25"/>
      <c r="G43" s="25"/>
      <c r="H43" s="25"/>
      <c r="J43" t="e">
        <f t="shared" ca="1" si="3"/>
        <v>#NAME?</v>
      </c>
      <c r="K43" t="e">
        <f t="shared" ca="1" si="4"/>
        <v>#NAME?</v>
      </c>
      <c r="L43" t="e">
        <f t="shared" ca="1" si="5"/>
        <v>#NAME?</v>
      </c>
      <c r="M43" t="e">
        <f t="shared" ca="1" si="6"/>
        <v>#NAME?</v>
      </c>
      <c r="N43" t="e">
        <f t="shared" ca="1" si="7"/>
        <v>#NAME?</v>
      </c>
      <c r="O43" t="e">
        <f t="shared" ca="1" si="8"/>
        <v>#NAME?</v>
      </c>
      <c r="P43" t="e">
        <f t="shared" ca="1" si="9"/>
        <v>#NAME?</v>
      </c>
      <c r="R43" t="e">
        <f t="shared" ca="1" si="10"/>
        <v>#NAME?</v>
      </c>
      <c r="S43" t="e">
        <f t="shared" ca="1" si="11"/>
        <v>#NAME?</v>
      </c>
      <c r="T43" t="e">
        <f t="shared" ca="1" si="12"/>
        <v>#NAME?</v>
      </c>
      <c r="U43" t="e">
        <f t="shared" ca="1" si="13"/>
        <v>#NAME?</v>
      </c>
      <c r="V43" t="e">
        <f t="shared" ca="1" si="14"/>
        <v>#NAME?</v>
      </c>
      <c r="W43" t="e">
        <f t="shared" ca="1" si="15"/>
        <v>#NAME?</v>
      </c>
      <c r="X43" t="e">
        <f t="shared" ca="1" si="16"/>
        <v>#NAME?</v>
      </c>
    </row>
    <row r="44" spans="1:26" ht="14.45" customHeight="1">
      <c r="A44" s="21" t="s">
        <v>79</v>
      </c>
      <c r="B44" s="28" t="s">
        <v>34</v>
      </c>
      <c r="C44" s="25"/>
      <c r="D44" s="25" t="s">
        <v>24</v>
      </c>
      <c r="E44" s="25"/>
      <c r="F44" s="25"/>
      <c r="G44" s="44" t="s">
        <v>26</v>
      </c>
      <c r="H44" s="28" t="s">
        <v>25</v>
      </c>
      <c r="J44" t="e">
        <f t="shared" ca="1" si="3"/>
        <v>#NAME?</v>
      </c>
      <c r="K44" t="e">
        <f t="shared" ca="1" si="4"/>
        <v>#NAME?</v>
      </c>
      <c r="L44" t="e">
        <f t="shared" ca="1" si="5"/>
        <v>#NAME?</v>
      </c>
      <c r="M44" t="e">
        <f t="shared" ca="1" si="6"/>
        <v>#NAME?</v>
      </c>
      <c r="N44" t="e">
        <f t="shared" ca="1" si="7"/>
        <v>#NAME?</v>
      </c>
      <c r="O44" t="e">
        <f t="shared" ca="1" si="8"/>
        <v>#NAME?</v>
      </c>
      <c r="P44" t="e">
        <f t="shared" ca="1" si="9"/>
        <v>#NAME?</v>
      </c>
      <c r="R44" t="e">
        <f t="shared" ca="1" si="10"/>
        <v>#NAME?</v>
      </c>
      <c r="S44" t="e">
        <f t="shared" ca="1" si="11"/>
        <v>#NAME?</v>
      </c>
      <c r="T44" t="e">
        <f t="shared" ca="1" si="12"/>
        <v>#NAME?</v>
      </c>
      <c r="U44" t="e">
        <f t="shared" ca="1" si="13"/>
        <v>#NAME?</v>
      </c>
      <c r="V44" t="e">
        <f t="shared" ca="1" si="14"/>
        <v>#NAME?</v>
      </c>
      <c r="W44" t="e">
        <f t="shared" ca="1" si="15"/>
        <v>#NAME?</v>
      </c>
      <c r="X44" t="e">
        <f t="shared" ca="1" si="16"/>
        <v>#NAME?</v>
      </c>
      <c r="Z44" s="15">
        <v>0.875</v>
      </c>
    </row>
    <row r="45" spans="1:26">
      <c r="A45" s="21" t="s">
        <v>80</v>
      </c>
      <c r="B45" s="127" t="s">
        <v>20</v>
      </c>
      <c r="C45" s="128"/>
      <c r="D45" s="128"/>
      <c r="E45" s="128"/>
      <c r="F45" s="128"/>
      <c r="G45" s="128"/>
      <c r="H45" s="129"/>
      <c r="J45" t="e">
        <f t="shared" ca="1" si="3"/>
        <v>#NAME?</v>
      </c>
      <c r="K45" t="e">
        <f t="shared" ca="1" si="4"/>
        <v>#NAME?</v>
      </c>
      <c r="L45" t="e">
        <f t="shared" ca="1" si="5"/>
        <v>#NAME?</v>
      </c>
      <c r="M45" t="e">
        <f t="shared" ca="1" si="6"/>
        <v>#NAME?</v>
      </c>
      <c r="N45" t="e">
        <f t="shared" ca="1" si="7"/>
        <v>#NAME?</v>
      </c>
      <c r="O45" t="e">
        <f t="shared" ca="1" si="8"/>
        <v>#NAME?</v>
      </c>
      <c r="P45" t="e">
        <f t="shared" ca="1" si="9"/>
        <v>#NAME?</v>
      </c>
      <c r="R45" t="e">
        <f t="shared" ca="1" si="10"/>
        <v>#NAME?</v>
      </c>
      <c r="S45" t="e">
        <f t="shared" ca="1" si="11"/>
        <v>#NAME?</v>
      </c>
      <c r="T45" t="e">
        <f t="shared" ca="1" si="12"/>
        <v>#NAME?</v>
      </c>
      <c r="U45" t="e">
        <f t="shared" ca="1" si="13"/>
        <v>#NAME?</v>
      </c>
      <c r="V45" t="e">
        <f t="shared" ca="1" si="14"/>
        <v>#NAME?</v>
      </c>
      <c r="W45" t="e">
        <f t="shared" ca="1" si="15"/>
        <v>#NAME?</v>
      </c>
      <c r="X45" t="e">
        <f t="shared" ca="1" si="16"/>
        <v>#NAME?</v>
      </c>
      <c r="Z45" s="15">
        <v>0.75</v>
      </c>
    </row>
    <row r="46" spans="1:26">
      <c r="A46" s="21" t="s">
        <v>81</v>
      </c>
      <c r="B46" s="25"/>
      <c r="C46" s="116" t="s">
        <v>45</v>
      </c>
      <c r="D46" s="25"/>
      <c r="E46" s="117" t="s">
        <v>31</v>
      </c>
      <c r="F46" s="28" t="s">
        <v>34</v>
      </c>
      <c r="G46" s="25"/>
      <c r="H46" s="25"/>
      <c r="J46" t="e">
        <f t="shared" ca="1" si="3"/>
        <v>#NAME?</v>
      </c>
      <c r="K46" t="e">
        <f t="shared" ca="1" si="4"/>
        <v>#NAME?</v>
      </c>
      <c r="L46" t="e">
        <f t="shared" ca="1" si="5"/>
        <v>#NAME?</v>
      </c>
      <c r="M46" t="e">
        <f t="shared" ca="1" si="6"/>
        <v>#NAME?</v>
      </c>
      <c r="N46" t="e">
        <f t="shared" ca="1" si="7"/>
        <v>#NAME?</v>
      </c>
      <c r="O46" t="e">
        <f t="shared" ca="1" si="8"/>
        <v>#NAME?</v>
      </c>
      <c r="P46" t="e">
        <f t="shared" ca="1" si="9"/>
        <v>#NAME?</v>
      </c>
      <c r="R46" t="e">
        <f t="shared" ca="1" si="10"/>
        <v>#NAME?</v>
      </c>
      <c r="S46" t="e">
        <f t="shared" ca="1" si="11"/>
        <v>#NAME?</v>
      </c>
      <c r="T46" t="e">
        <f t="shared" ca="1" si="12"/>
        <v>#NAME?</v>
      </c>
      <c r="U46" t="e">
        <f t="shared" ca="1" si="13"/>
        <v>#NAME?</v>
      </c>
      <c r="V46" t="e">
        <f t="shared" ca="1" si="14"/>
        <v>#NAME?</v>
      </c>
      <c r="W46" t="e">
        <f t="shared" ca="1" si="15"/>
        <v>#NAME?</v>
      </c>
      <c r="X46" t="e">
        <f t="shared" ca="1" si="16"/>
        <v>#NAME?</v>
      </c>
      <c r="Z46" s="15">
        <v>0.75</v>
      </c>
    </row>
    <row r="47" spans="1:26">
      <c r="A47" s="21" t="s">
        <v>82</v>
      </c>
      <c r="B47" s="127" t="s">
        <v>311</v>
      </c>
      <c r="C47" s="128"/>
      <c r="D47" s="128"/>
      <c r="E47" s="128"/>
      <c r="F47" s="128"/>
      <c r="G47" s="128"/>
      <c r="H47" s="129"/>
      <c r="J47" t="e">
        <f t="shared" ca="1" si="3"/>
        <v>#NAME?</v>
      </c>
      <c r="K47" t="e">
        <f t="shared" ca="1" si="4"/>
        <v>#NAME?</v>
      </c>
      <c r="L47" t="e">
        <f t="shared" ca="1" si="5"/>
        <v>#NAME?</v>
      </c>
      <c r="M47" t="e">
        <f t="shared" ca="1" si="6"/>
        <v>#NAME?</v>
      </c>
      <c r="N47" t="e">
        <f t="shared" ca="1" si="7"/>
        <v>#NAME?</v>
      </c>
      <c r="O47" t="e">
        <f t="shared" ca="1" si="8"/>
        <v>#NAME?</v>
      </c>
      <c r="P47" t="e">
        <f t="shared" ca="1" si="9"/>
        <v>#NAME?</v>
      </c>
      <c r="R47" t="e">
        <f t="shared" ca="1" si="10"/>
        <v>#NAME?</v>
      </c>
      <c r="S47" t="e">
        <f t="shared" ca="1" si="11"/>
        <v>#NAME?</v>
      </c>
      <c r="T47" t="e">
        <f t="shared" ca="1" si="12"/>
        <v>#NAME?</v>
      </c>
      <c r="U47" t="e">
        <f t="shared" ca="1" si="13"/>
        <v>#NAME?</v>
      </c>
      <c r="V47" t="e">
        <f t="shared" ca="1" si="14"/>
        <v>#NAME?</v>
      </c>
      <c r="W47" t="e">
        <f t="shared" ca="1" si="15"/>
        <v>#NAME?</v>
      </c>
      <c r="X47" t="e">
        <f t="shared" ca="1" si="16"/>
        <v>#NAME?</v>
      </c>
      <c r="Z47" s="15">
        <v>0.5</v>
      </c>
    </row>
    <row r="48" spans="1:26">
      <c r="A48" s="21" t="s">
        <v>83</v>
      </c>
      <c r="B48" s="44" t="s">
        <v>26</v>
      </c>
      <c r="C48" s="25"/>
      <c r="D48" s="110" t="s">
        <v>59</v>
      </c>
      <c r="E48" s="25"/>
      <c r="F48" s="25"/>
      <c r="G48" s="25"/>
      <c r="H48" s="25"/>
      <c r="J48" t="e">
        <f t="shared" ca="1" si="3"/>
        <v>#NAME?</v>
      </c>
      <c r="K48" t="e">
        <f t="shared" ca="1" si="4"/>
        <v>#NAME?</v>
      </c>
      <c r="L48" t="e">
        <f t="shared" ca="1" si="5"/>
        <v>#NAME?</v>
      </c>
      <c r="M48" t="e">
        <f t="shared" ca="1" si="6"/>
        <v>#NAME?</v>
      </c>
      <c r="N48" t="e">
        <f t="shared" ca="1" si="7"/>
        <v>#NAME?</v>
      </c>
      <c r="O48" t="e">
        <f t="shared" ca="1" si="8"/>
        <v>#NAME?</v>
      </c>
      <c r="P48" t="e">
        <f t="shared" ca="1" si="9"/>
        <v>#NAME?</v>
      </c>
      <c r="R48" t="e">
        <f t="shared" ca="1" si="10"/>
        <v>#NAME?</v>
      </c>
      <c r="S48" t="e">
        <f t="shared" ca="1" si="11"/>
        <v>#NAME?</v>
      </c>
      <c r="T48" t="e">
        <f t="shared" ca="1" si="12"/>
        <v>#NAME?</v>
      </c>
      <c r="U48" t="e">
        <f t="shared" ca="1" si="13"/>
        <v>#NAME?</v>
      </c>
      <c r="V48" t="e">
        <f t="shared" ca="1" si="14"/>
        <v>#NAME?</v>
      </c>
      <c r="W48" t="e">
        <f t="shared" ca="1" si="15"/>
        <v>#NAME?</v>
      </c>
      <c r="X48" t="e">
        <f t="shared" ca="1" si="16"/>
        <v>#NAME?</v>
      </c>
      <c r="Z48" s="15">
        <v>0.625</v>
      </c>
    </row>
    <row r="49" spans="1:26" ht="15" customHeight="1">
      <c r="A49" s="21" t="s">
        <v>85</v>
      </c>
      <c r="B49" s="127" t="s">
        <v>20</v>
      </c>
      <c r="C49" s="128"/>
      <c r="D49" s="128"/>
      <c r="E49" s="128"/>
      <c r="F49" s="128"/>
      <c r="G49" s="128"/>
      <c r="H49" s="129"/>
      <c r="J49" t="e">
        <f t="shared" ca="1" si="3"/>
        <v>#NAME?</v>
      </c>
      <c r="K49" t="e">
        <f t="shared" ca="1" si="4"/>
        <v>#NAME?</v>
      </c>
      <c r="L49" t="e">
        <f t="shared" ca="1" si="5"/>
        <v>#NAME?</v>
      </c>
      <c r="M49" t="e">
        <f t="shared" ca="1" si="6"/>
        <v>#NAME?</v>
      </c>
      <c r="N49" t="e">
        <f t="shared" ca="1" si="7"/>
        <v>#NAME?</v>
      </c>
      <c r="O49" t="e">
        <f t="shared" ca="1" si="8"/>
        <v>#NAME?</v>
      </c>
      <c r="P49" t="e">
        <f t="shared" ca="1" si="9"/>
        <v>#NAME?</v>
      </c>
      <c r="R49" t="e">
        <f t="shared" ca="1" si="10"/>
        <v>#NAME?</v>
      </c>
      <c r="S49" t="e">
        <f t="shared" ca="1" si="11"/>
        <v>#NAME?</v>
      </c>
      <c r="T49" t="e">
        <f t="shared" ca="1" si="12"/>
        <v>#NAME?</v>
      </c>
      <c r="U49" t="e">
        <f t="shared" ca="1" si="13"/>
        <v>#NAME?</v>
      </c>
      <c r="V49" t="e">
        <f t="shared" ca="1" si="14"/>
        <v>#NAME?</v>
      </c>
      <c r="W49" t="e">
        <f t="shared" ca="1" si="15"/>
        <v>#NAME?</v>
      </c>
      <c r="X49" t="e">
        <f t="shared" ca="1" si="16"/>
        <v>#NAME?</v>
      </c>
      <c r="Z49" s="15">
        <v>0.5</v>
      </c>
    </row>
    <row r="50" spans="1:26" ht="15" customHeight="1">
      <c r="A50" s="21" t="s">
        <v>312</v>
      </c>
      <c r="B50" s="25"/>
      <c r="C50" s="25"/>
      <c r="D50" s="25"/>
      <c r="E50" s="25"/>
      <c r="F50" s="25"/>
      <c r="G50" s="28" t="s">
        <v>313</v>
      </c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4"/>
        <v>#NAME?</v>
      </c>
      <c r="L51" t="e">
        <f t="shared" ca="1" si="5"/>
        <v>#NAME?</v>
      </c>
      <c r="M51" t="e">
        <f t="shared" ca="1" si="6"/>
        <v>#NAME?</v>
      </c>
      <c r="N51" t="e">
        <f t="shared" ca="1" si="7"/>
        <v>#NAME?</v>
      </c>
      <c r="O51" t="e">
        <f t="shared" ca="1" si="8"/>
        <v>#NAME?</v>
      </c>
      <c r="P51" t="e">
        <f t="shared" ca="1" si="9"/>
        <v>#NAME?</v>
      </c>
      <c r="R51" t="e">
        <f t="shared" ca="1" si="10"/>
        <v>#NAME?</v>
      </c>
      <c r="S51" t="e">
        <f t="shared" ca="1" si="11"/>
        <v>#NAME?</v>
      </c>
      <c r="T51" t="e">
        <f t="shared" ca="1" si="12"/>
        <v>#NAME?</v>
      </c>
      <c r="U51" t="e">
        <f t="shared" ca="1" si="13"/>
        <v>#NAME?</v>
      </c>
      <c r="V51" t="e">
        <f t="shared" ca="1" si="14"/>
        <v>#NAME?</v>
      </c>
      <c r="W51" t="e">
        <f t="shared" ca="1" si="15"/>
        <v>#NAME?</v>
      </c>
      <c r="X51" t="e">
        <f t="shared" ca="1" si="16"/>
        <v>#NAME?</v>
      </c>
    </row>
    <row r="52" spans="1:26" s="52" customFormat="1">
      <c r="A52" s="50" t="s">
        <v>89</v>
      </c>
      <c r="B52" s="51" t="s">
        <v>314</v>
      </c>
      <c r="C52" s="51" t="s">
        <v>315</v>
      </c>
      <c r="D52" s="51" t="s">
        <v>269</v>
      </c>
      <c r="E52" s="51" t="s">
        <v>316</v>
      </c>
      <c r="F52" s="51" t="s">
        <v>271</v>
      </c>
      <c r="G52" s="51" t="s">
        <v>317</v>
      </c>
      <c r="H52" s="51" t="s">
        <v>268</v>
      </c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Q52"/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  <c r="Z52" s="57">
        <f>SUM(Z3:Z50)</f>
        <v>28.75</v>
      </c>
    </row>
    <row r="53" spans="1:26" s="52" customFormat="1">
      <c r="A53" s="50" t="s">
        <v>318</v>
      </c>
      <c r="B53" s="51"/>
      <c r="C53" s="51" t="s">
        <v>319</v>
      </c>
      <c r="D53" s="51"/>
      <c r="E53" s="51"/>
      <c r="F53" s="51"/>
      <c r="G53" s="51"/>
      <c r="H53" s="51"/>
      <c r="J53" t="e">
        <f t="shared" ca="1" si="3"/>
        <v>#NAME?</v>
      </c>
      <c r="K53" t="e">
        <f t="shared" ca="1" si="4"/>
        <v>#NAME?</v>
      </c>
      <c r="L53" t="e">
        <f t="shared" ca="1" si="5"/>
        <v>#NAME?</v>
      </c>
      <c r="M53" t="e">
        <f t="shared" ca="1" si="6"/>
        <v>#NAME?</v>
      </c>
      <c r="N53" t="e">
        <f t="shared" ca="1" si="7"/>
        <v>#NAME?</v>
      </c>
      <c r="O53" t="e">
        <f t="shared" ca="1" si="8"/>
        <v>#NAME?</v>
      </c>
      <c r="P53" t="e">
        <f t="shared" ca="1" si="9"/>
        <v>#NAME?</v>
      </c>
      <c r="Q53"/>
      <c r="R53" t="e">
        <f t="shared" ca="1" si="10"/>
        <v>#NAME?</v>
      </c>
      <c r="S53" t="e">
        <f t="shared" ca="1" si="11"/>
        <v>#NAME?</v>
      </c>
      <c r="T53" t="e">
        <f t="shared" ca="1" si="12"/>
        <v>#NAME?</v>
      </c>
      <c r="U53" t="e">
        <f t="shared" ca="1" si="13"/>
        <v>#NAME?</v>
      </c>
      <c r="V53" t="e">
        <f t="shared" ca="1" si="14"/>
        <v>#NAME?</v>
      </c>
      <c r="W53" t="e">
        <f t="shared" ca="1" si="15"/>
        <v>#NAME?</v>
      </c>
      <c r="X53" t="e">
        <f t="shared" ca="1" si="16"/>
        <v>#NAME?</v>
      </c>
      <c r="Z53" s="57">
        <f>SUM(Z4:Z51)</f>
        <v>28.5</v>
      </c>
    </row>
    <row r="54" spans="1:26" ht="15" customHeight="1">
      <c r="A54" s="106" t="s">
        <v>99</v>
      </c>
      <c r="B54" s="107" t="str">
        <f>B58</f>
        <v>Mon 25 May</v>
      </c>
      <c r="C54" s="107" t="str">
        <f>C58</f>
        <v>Tues 26 May</v>
      </c>
      <c r="D54" s="107" t="str">
        <f t="shared" ref="D54:H54" si="17">D58</f>
        <v>Wed 27 May</v>
      </c>
      <c r="E54" s="107" t="str">
        <f t="shared" si="17"/>
        <v>Thu 28 May</v>
      </c>
      <c r="F54" s="107" t="str">
        <f t="shared" si="17"/>
        <v>Fri 29 May</v>
      </c>
      <c r="G54" s="107" t="str">
        <f t="shared" si="17"/>
        <v>Sat 30 May</v>
      </c>
      <c r="H54" s="107" t="str">
        <f t="shared" si="17"/>
        <v>Sun 31 May</v>
      </c>
      <c r="J54" t="e">
        <f t="shared" ca="1" si="3"/>
        <v>#NAME?</v>
      </c>
      <c r="K54" t="e">
        <f t="shared" ca="1" si="4"/>
        <v>#NAME?</v>
      </c>
      <c r="L54" t="e">
        <f t="shared" ca="1" si="5"/>
        <v>#NAME?</v>
      </c>
      <c r="M54" t="e">
        <f t="shared" ca="1" si="6"/>
        <v>#NAME?</v>
      </c>
      <c r="N54" t="e">
        <f t="shared" ca="1" si="7"/>
        <v>#NAME?</v>
      </c>
      <c r="O54" t="e">
        <f t="shared" ca="1" si="8"/>
        <v>#NAME?</v>
      </c>
      <c r="P54" t="e">
        <f t="shared" ca="1" si="9"/>
        <v>#NAME?</v>
      </c>
      <c r="R54" t="e">
        <f t="shared" ca="1" si="10"/>
        <v>#NAME?</v>
      </c>
      <c r="S54" t="e">
        <f t="shared" ca="1" si="11"/>
        <v>#NAME?</v>
      </c>
      <c r="T54" t="e">
        <f t="shared" ca="1" si="12"/>
        <v>#NAME?</v>
      </c>
      <c r="U54" t="e">
        <f t="shared" ca="1" si="13"/>
        <v>#NAME?</v>
      </c>
      <c r="V54" t="e">
        <f t="shared" ca="1" si="14"/>
        <v>#NAME?</v>
      </c>
      <c r="W54" t="e">
        <f t="shared" ca="1" si="15"/>
        <v>#NAME?</v>
      </c>
      <c r="X54" t="e">
        <f t="shared" ca="1" si="16"/>
        <v>#NAME?</v>
      </c>
    </row>
    <row r="55" spans="1:26" ht="15" customHeight="1">
      <c r="A55" s="22" t="s">
        <v>107</v>
      </c>
      <c r="B55" s="25" t="s">
        <v>24</v>
      </c>
      <c r="C55" s="25"/>
      <c r="D55" s="25" t="s">
        <v>108</v>
      </c>
      <c r="E55" s="25" t="s">
        <v>108</v>
      </c>
      <c r="F55" s="25"/>
      <c r="G55" s="25"/>
      <c r="H55" s="25"/>
      <c r="J55" t="e">
        <f t="shared" ca="1" si="3"/>
        <v>#NAME?</v>
      </c>
      <c r="K55" t="e">
        <f t="shared" ca="1" si="4"/>
        <v>#NAME?</v>
      </c>
      <c r="L55" t="e">
        <f t="shared" ca="1" si="5"/>
        <v>#NAME?</v>
      </c>
      <c r="M55" t="e">
        <f t="shared" ca="1" si="6"/>
        <v>#NAME?</v>
      </c>
      <c r="N55" t="e">
        <f t="shared" ca="1" si="7"/>
        <v>#NAME?</v>
      </c>
      <c r="O55" t="e">
        <f t="shared" ca="1" si="8"/>
        <v>#NAME?</v>
      </c>
      <c r="P55" t="e">
        <f t="shared" ca="1" si="9"/>
        <v>#NAME?</v>
      </c>
      <c r="R55" t="e">
        <f t="shared" ca="1" si="10"/>
        <v>#NAME?</v>
      </c>
      <c r="S55" t="e">
        <f t="shared" ca="1" si="11"/>
        <v>#NAME?</v>
      </c>
      <c r="T55" t="e">
        <f t="shared" ca="1" si="12"/>
        <v>#NAME?</v>
      </c>
      <c r="U55" t="e">
        <f t="shared" ca="1" si="13"/>
        <v>#NAME?</v>
      </c>
      <c r="V55" t="e">
        <f t="shared" ca="1" si="14"/>
        <v>#NAME?</v>
      </c>
      <c r="W55" t="e">
        <f t="shared" ca="1" si="15"/>
        <v>#NAME?</v>
      </c>
      <c r="X55" t="e">
        <f t="shared" ca="1" si="16"/>
        <v>#NAME?</v>
      </c>
    </row>
    <row r="56" spans="1:26" ht="15" customHeight="1">
      <c r="A56" s="22" t="s">
        <v>109</v>
      </c>
      <c r="B56" s="25" t="s">
        <v>108</v>
      </c>
      <c r="C56" s="25"/>
      <c r="D56" s="25"/>
      <c r="E56" s="25"/>
      <c r="F56" s="25" t="s">
        <v>108</v>
      </c>
      <c r="G56" s="25"/>
      <c r="H56" s="25"/>
      <c r="J56" t="e">
        <f t="shared" ca="1" si="3"/>
        <v>#NAME?</v>
      </c>
      <c r="K56" t="e">
        <f t="shared" ca="1" si="4"/>
        <v>#NAME?</v>
      </c>
      <c r="L56" t="e">
        <f t="shared" ca="1" si="5"/>
        <v>#NAME?</v>
      </c>
      <c r="M56" t="e">
        <f t="shared" ca="1" si="6"/>
        <v>#NAME?</v>
      </c>
      <c r="N56" t="e">
        <f t="shared" ca="1" si="7"/>
        <v>#NAME?</v>
      </c>
      <c r="O56" t="e">
        <f t="shared" ca="1" si="8"/>
        <v>#NAME?</v>
      </c>
      <c r="P56" t="e">
        <f t="shared" ca="1" si="9"/>
        <v>#NAME?</v>
      </c>
      <c r="R56" t="e">
        <f t="shared" ca="1" si="10"/>
        <v>#NAME?</v>
      </c>
      <c r="S56" t="e">
        <f t="shared" ca="1" si="11"/>
        <v>#NAME?</v>
      </c>
      <c r="T56" t="e">
        <f t="shared" ca="1" si="12"/>
        <v>#NAME?</v>
      </c>
      <c r="U56" t="e">
        <f t="shared" ca="1" si="13"/>
        <v>#NAME?</v>
      </c>
      <c r="V56" t="e">
        <f t="shared" ca="1" si="14"/>
        <v>#NAME?</v>
      </c>
      <c r="W56" t="e">
        <f t="shared" ca="1" si="15"/>
        <v>#NAME?</v>
      </c>
      <c r="X56" t="e">
        <f t="shared" ca="1" si="16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 t="s">
        <v>111</v>
      </c>
      <c r="H57" s="25"/>
      <c r="J57" t="e">
        <f t="shared" ca="1" si="3"/>
        <v>#NAME?</v>
      </c>
      <c r="K57" t="e">
        <f t="shared" ca="1" si="4"/>
        <v>#NAME?</v>
      </c>
      <c r="L57" t="e">
        <f t="shared" ca="1" si="5"/>
        <v>#NAME?</v>
      </c>
      <c r="M57" t="e">
        <f t="shared" ca="1" si="6"/>
        <v>#NAME?</v>
      </c>
      <c r="N57" t="e">
        <f t="shared" ca="1" si="7"/>
        <v>#NAME?</v>
      </c>
      <c r="O57" t="e">
        <f t="shared" ca="1" si="8"/>
        <v>#NAME?</v>
      </c>
      <c r="P57" t="e">
        <f t="shared" ca="1" si="9"/>
        <v>#NAME?</v>
      </c>
      <c r="R57" t="e">
        <f t="shared" ca="1" si="10"/>
        <v>#NAME?</v>
      </c>
      <c r="S57" t="e">
        <f t="shared" ca="1" si="11"/>
        <v>#NAME?</v>
      </c>
      <c r="T57" t="e">
        <f t="shared" ca="1" si="12"/>
        <v>#NAME?</v>
      </c>
      <c r="U57" t="e">
        <f t="shared" ca="1" si="13"/>
        <v>#NAME?</v>
      </c>
      <c r="V57" t="e">
        <f t="shared" ca="1" si="14"/>
        <v>#NAME?</v>
      </c>
      <c r="W57" t="e">
        <f t="shared" ca="1" si="15"/>
        <v>#NAME?</v>
      </c>
      <c r="X57" t="e">
        <f t="shared" ca="1" si="16"/>
        <v>#NAME?</v>
      </c>
    </row>
    <row r="58" spans="1:26" ht="15" customHeight="1">
      <c r="A58" s="106" t="s">
        <v>113</v>
      </c>
      <c r="B58" s="107" t="s">
        <v>320</v>
      </c>
      <c r="C58" s="107" t="s">
        <v>321</v>
      </c>
      <c r="D58" s="107" t="s">
        <v>322</v>
      </c>
      <c r="E58" s="107" t="s">
        <v>323</v>
      </c>
      <c r="F58" s="107" t="s">
        <v>324</v>
      </c>
      <c r="G58" s="107" t="s">
        <v>325</v>
      </c>
      <c r="H58" s="107" t="s">
        <v>326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</row>
    <row r="59" spans="1:26" ht="15" customHeight="1">
      <c r="A59" s="22" t="s">
        <v>114</v>
      </c>
      <c r="B59" s="25" t="s">
        <v>152</v>
      </c>
      <c r="C59" s="25"/>
      <c r="D59" s="25"/>
      <c r="E59" s="25"/>
      <c r="F59" s="25"/>
      <c r="G59" s="121" t="s">
        <v>118</v>
      </c>
      <c r="H59" s="120" t="s">
        <v>118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117</v>
      </c>
      <c r="B60" s="25"/>
      <c r="C60" s="25"/>
      <c r="D60" s="28" t="s">
        <v>119</v>
      </c>
      <c r="E60" s="120" t="s">
        <v>116</v>
      </c>
      <c r="F60" s="25"/>
      <c r="G60" s="120" t="s">
        <v>118</v>
      </c>
      <c r="H60" s="121" t="s">
        <v>118</v>
      </c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1</v>
      </c>
    </row>
    <row r="61" spans="1:26" ht="15" customHeight="1">
      <c r="A61" s="22" t="s">
        <v>120</v>
      </c>
      <c r="B61" s="25" t="s">
        <v>123</v>
      </c>
      <c r="C61" s="25" t="s">
        <v>123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0.25</v>
      </c>
    </row>
    <row r="62" spans="1:26" ht="15" customHeight="1">
      <c r="A62" s="22" t="s">
        <v>121</v>
      </c>
      <c r="B62" s="121" t="s">
        <v>122</v>
      </c>
      <c r="C62" s="121" t="s">
        <v>122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25 May</v>
      </c>
      <c r="C63" s="107" t="str">
        <f t="shared" ref="C63:H63" si="18">C58</f>
        <v>Tues 26 May</v>
      </c>
      <c r="D63" s="107" t="str">
        <f t="shared" si="18"/>
        <v>Wed 27 May</v>
      </c>
      <c r="E63" s="107" t="str">
        <f t="shared" si="18"/>
        <v>Thu 28 May</v>
      </c>
      <c r="F63" s="107" t="str">
        <f t="shared" si="18"/>
        <v>Fri 29 May</v>
      </c>
      <c r="G63" s="107" t="str">
        <f t="shared" si="18"/>
        <v>Sat 30 May</v>
      </c>
      <c r="H63" s="107" t="str">
        <f t="shared" si="18"/>
        <v>Sun 31 May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53">
        <f>SUM(Z59:Z62)</f>
        <v>2.75</v>
      </c>
    </row>
    <row r="64" spans="1:26" ht="15" customHeight="1">
      <c r="A64" s="22" t="s">
        <v>125</v>
      </c>
      <c r="B64" s="91" t="s">
        <v>126</v>
      </c>
      <c r="C64" s="25"/>
      <c r="D64" s="25"/>
      <c r="E64" s="113" t="s">
        <v>150</v>
      </c>
      <c r="F64" s="120" t="s">
        <v>118</v>
      </c>
      <c r="G64" s="121" t="s">
        <v>118</v>
      </c>
      <c r="H64" s="28" t="s">
        <v>119</v>
      </c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1</v>
      </c>
    </row>
    <row r="65" spans="1:26" ht="15" customHeight="1">
      <c r="A65" s="22" t="s">
        <v>128</v>
      </c>
      <c r="B65" s="25"/>
      <c r="C65" s="28" t="s">
        <v>119</v>
      </c>
      <c r="D65" s="25"/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0.25</v>
      </c>
    </row>
    <row r="66" spans="1:26" ht="15" customHeight="1">
      <c r="A66" s="22" t="s">
        <v>129</v>
      </c>
      <c r="B66" s="127" t="s">
        <v>18</v>
      </c>
      <c r="C66" s="128"/>
      <c r="D66" s="128"/>
      <c r="E66" s="128"/>
      <c r="F66" s="128"/>
      <c r="G66" s="128"/>
      <c r="H66" s="129"/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15">
        <v>0.5</v>
      </c>
    </row>
    <row r="67" spans="1:26" ht="26.25">
      <c r="A67" s="106" t="s">
        <v>130</v>
      </c>
      <c r="B67" s="108" t="str">
        <f>B58</f>
        <v>Mon 25 May</v>
      </c>
      <c r="C67" s="107" t="str">
        <f t="shared" ref="C67:H67" si="19">C58</f>
        <v>Tues 26 May</v>
      </c>
      <c r="D67" s="108" t="s">
        <v>327</v>
      </c>
      <c r="E67" s="107" t="str">
        <f t="shared" si="19"/>
        <v>Thu 28 May</v>
      </c>
      <c r="F67" s="107" t="str">
        <f t="shared" si="19"/>
        <v>Fri 29 May</v>
      </c>
      <c r="G67" s="107" t="str">
        <f t="shared" si="19"/>
        <v>Sat 30 May</v>
      </c>
      <c r="H67" s="107" t="str">
        <f t="shared" si="19"/>
        <v>Sun 31 May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25"/>
      <c r="E68" s="25"/>
      <c r="F68" s="25" t="s">
        <v>123</v>
      </c>
      <c r="G68" s="25" t="s">
        <v>152</v>
      </c>
      <c r="H68" s="25" t="s">
        <v>123</v>
      </c>
      <c r="J68" t="e">
        <f t="shared" ref="J68:J131" ca="1" si="20">colorindex(B68)</f>
        <v>#NAME?</v>
      </c>
      <c r="K68" t="e">
        <f t="shared" ref="K68:K131" ca="1" si="21">colorindex(C68)</f>
        <v>#NAME?</v>
      </c>
      <c r="L68" t="e">
        <f t="shared" ref="L68:L131" ca="1" si="22">colorindex(D68)</f>
        <v>#NAME?</v>
      </c>
      <c r="M68" t="e">
        <f t="shared" ref="M68:M131" ca="1" si="23">colorindex(E68)</f>
        <v>#NAME?</v>
      </c>
      <c r="N68" t="e">
        <f t="shared" ref="N68:N131" ca="1" si="24">colorindex(F68)</f>
        <v>#NAME?</v>
      </c>
      <c r="O68" t="e">
        <f t="shared" ref="O68:O131" ca="1" si="25">colorindex(G68)</f>
        <v>#NAME?</v>
      </c>
      <c r="P68" t="e">
        <f t="shared" ref="P68:P131" ca="1" si="26">colorindex(H68)</f>
        <v>#NAME?</v>
      </c>
      <c r="R68" t="e">
        <f t="shared" ref="R68:R131" ca="1" si="27">ShiftIndex(B68)</f>
        <v>#NAME?</v>
      </c>
      <c r="S68" t="e">
        <f t="shared" ref="S68:S131" ca="1" si="28">ShiftIndex(C68)</f>
        <v>#NAME?</v>
      </c>
      <c r="T68" t="e">
        <f t="shared" ref="T68:T131" ca="1" si="29">ShiftIndex(D68)</f>
        <v>#NAME?</v>
      </c>
      <c r="U68" t="e">
        <f t="shared" ref="U68:U131" ca="1" si="30">ShiftIndex(E68)</f>
        <v>#NAME?</v>
      </c>
      <c r="V68" t="e">
        <f t="shared" ref="V68:V131" ca="1" si="31">ShiftIndex(F68)</f>
        <v>#NAME?</v>
      </c>
      <c r="W68" t="e">
        <f t="shared" ref="W68:W131" ca="1" si="32">ShiftIndex(G68)</f>
        <v>#NAME?</v>
      </c>
      <c r="X68" t="e">
        <f t="shared" ref="X68:X131" ca="1" si="33">ShiftIndex(H68)</f>
        <v>#NAME?</v>
      </c>
      <c r="Z68" s="15">
        <v>0.5</v>
      </c>
    </row>
    <row r="69" spans="1:26" ht="14.45" customHeight="1">
      <c r="A69" s="22" t="s">
        <v>135</v>
      </c>
      <c r="B69" s="25"/>
      <c r="C69" s="25"/>
      <c r="D69" s="25" t="s">
        <v>141</v>
      </c>
      <c r="E69" s="25"/>
      <c r="F69" s="120" t="s">
        <v>118</v>
      </c>
      <c r="G69" s="25"/>
      <c r="H69" s="25" t="s">
        <v>152</v>
      </c>
      <c r="J69" t="e">
        <f t="shared" ca="1" si="20"/>
        <v>#NAME?</v>
      </c>
      <c r="K69" t="e">
        <f t="shared" ca="1" si="21"/>
        <v>#NAME?</v>
      </c>
      <c r="L69" t="e">
        <f t="shared" ca="1" si="22"/>
        <v>#NAME?</v>
      </c>
      <c r="M69" t="e">
        <f t="shared" ca="1" si="23"/>
        <v>#NAME?</v>
      </c>
      <c r="N69" t="e">
        <f t="shared" ca="1" si="24"/>
        <v>#NAME?</v>
      </c>
      <c r="O69" t="e">
        <f t="shared" ca="1" si="25"/>
        <v>#NAME?</v>
      </c>
      <c r="P69" t="e">
        <f t="shared" ca="1" si="26"/>
        <v>#NAME?</v>
      </c>
      <c r="R69" t="e">
        <f t="shared" ca="1" si="27"/>
        <v>#NAME?</v>
      </c>
      <c r="S69" t="e">
        <f t="shared" ca="1" si="28"/>
        <v>#NAME?</v>
      </c>
      <c r="T69" t="e">
        <f t="shared" ca="1" si="29"/>
        <v>#NAME?</v>
      </c>
      <c r="U69" t="e">
        <f t="shared" ca="1" si="30"/>
        <v>#NAME?</v>
      </c>
      <c r="V69" t="e">
        <f t="shared" ca="1" si="31"/>
        <v>#NAME?</v>
      </c>
      <c r="W69" t="e">
        <f t="shared" ca="1" si="32"/>
        <v>#NAME?</v>
      </c>
      <c r="X69" t="e">
        <f t="shared" ca="1" si="33"/>
        <v>#NAME?</v>
      </c>
      <c r="Z69" s="15">
        <v>0.5</v>
      </c>
    </row>
    <row r="70" spans="1:26" ht="15" customHeight="1">
      <c r="A70" s="22" t="s">
        <v>136</v>
      </c>
      <c r="B70" s="28" t="s">
        <v>119</v>
      </c>
      <c r="C70" s="25" t="s">
        <v>152</v>
      </c>
      <c r="D70" s="25" t="s">
        <v>123</v>
      </c>
      <c r="E70" s="25" t="s">
        <v>123</v>
      </c>
      <c r="F70" s="25"/>
      <c r="G70" s="25"/>
      <c r="H70" s="25"/>
      <c r="J70" t="e">
        <f t="shared" ca="1" si="20"/>
        <v>#NAME?</v>
      </c>
      <c r="K70" t="e">
        <f t="shared" ca="1" si="21"/>
        <v>#NAME?</v>
      </c>
      <c r="L70" t="e">
        <f t="shared" ca="1" si="22"/>
        <v>#NAME?</v>
      </c>
      <c r="M70" t="e">
        <f t="shared" ca="1" si="23"/>
        <v>#NAME?</v>
      </c>
      <c r="N70" t="e">
        <f t="shared" ca="1" si="24"/>
        <v>#NAME?</v>
      </c>
      <c r="O70" t="e">
        <f t="shared" ca="1" si="25"/>
        <v>#NAME?</v>
      </c>
      <c r="P70" t="e">
        <f t="shared" ca="1" si="26"/>
        <v>#NAME?</v>
      </c>
      <c r="R70" t="e">
        <f t="shared" ca="1" si="27"/>
        <v>#NAME?</v>
      </c>
      <c r="S70" t="e">
        <f t="shared" ca="1" si="28"/>
        <v>#NAME?</v>
      </c>
      <c r="T70" t="e">
        <f t="shared" ca="1" si="29"/>
        <v>#NAME?</v>
      </c>
      <c r="U70" t="e">
        <f t="shared" ca="1" si="30"/>
        <v>#NAME?</v>
      </c>
      <c r="V70" t="e">
        <f t="shared" ca="1" si="31"/>
        <v>#NAME?</v>
      </c>
      <c r="W70" t="e">
        <f t="shared" ca="1" si="32"/>
        <v>#NAME?</v>
      </c>
      <c r="X70" t="e">
        <f t="shared" ca="1" si="33"/>
        <v>#NAME?</v>
      </c>
      <c r="Z70" s="24">
        <v>1</v>
      </c>
    </row>
    <row r="71" spans="1:26" ht="15" customHeight="1">
      <c r="A71" s="22" t="s">
        <v>137</v>
      </c>
      <c r="B71" s="25"/>
      <c r="C71" s="25"/>
      <c r="D71" s="25" t="s">
        <v>141</v>
      </c>
      <c r="E71" s="121" t="s">
        <v>116</v>
      </c>
      <c r="F71" s="25" t="s">
        <v>152</v>
      </c>
      <c r="G71" s="25" t="s">
        <v>123</v>
      </c>
      <c r="H71" s="25"/>
      <c r="J71" t="e">
        <f t="shared" ca="1" si="20"/>
        <v>#NAME?</v>
      </c>
      <c r="K71" t="e">
        <f t="shared" ca="1" si="21"/>
        <v>#NAME?</v>
      </c>
      <c r="L71" t="e">
        <f t="shared" ca="1" si="22"/>
        <v>#NAME?</v>
      </c>
      <c r="M71" t="e">
        <f t="shared" ca="1" si="23"/>
        <v>#NAME?</v>
      </c>
      <c r="N71" t="e">
        <f t="shared" ca="1" si="24"/>
        <v>#NAME?</v>
      </c>
      <c r="O71" t="e">
        <f t="shared" ca="1" si="25"/>
        <v>#NAME?</v>
      </c>
      <c r="P71" t="e">
        <f t="shared" ca="1" si="26"/>
        <v>#NAME?</v>
      </c>
      <c r="R71" t="e">
        <f t="shared" ca="1" si="27"/>
        <v>#NAME?</v>
      </c>
      <c r="S71" t="e">
        <f t="shared" ca="1" si="28"/>
        <v>#NAME?</v>
      </c>
      <c r="T71" t="e">
        <f t="shared" ca="1" si="29"/>
        <v>#NAME?</v>
      </c>
      <c r="U71" t="e">
        <f t="shared" ca="1" si="30"/>
        <v>#NAME?</v>
      </c>
      <c r="V71" t="e">
        <f t="shared" ca="1" si="31"/>
        <v>#NAME?</v>
      </c>
      <c r="W71" t="e">
        <f t="shared" ca="1" si="32"/>
        <v>#NAME?</v>
      </c>
      <c r="X71" t="e">
        <f t="shared" ca="1" si="33"/>
        <v>#NAME?</v>
      </c>
      <c r="Z71" s="24">
        <v>1</v>
      </c>
    </row>
    <row r="72" spans="1:26" ht="15" customHeight="1">
      <c r="A72" s="22" t="s">
        <v>140</v>
      </c>
      <c r="B72" s="25"/>
      <c r="C72" s="28" t="s">
        <v>119</v>
      </c>
      <c r="D72" s="25" t="s">
        <v>141</v>
      </c>
      <c r="E72" s="44" t="s">
        <v>186</v>
      </c>
      <c r="F72" s="110" t="s">
        <v>142</v>
      </c>
      <c r="G72" s="25"/>
      <c r="H72" s="25"/>
      <c r="J72" t="e">
        <f t="shared" ca="1" si="20"/>
        <v>#NAME?</v>
      </c>
      <c r="K72" t="e">
        <f t="shared" ca="1" si="21"/>
        <v>#NAME?</v>
      </c>
      <c r="L72" t="e">
        <f t="shared" ca="1" si="22"/>
        <v>#NAME?</v>
      </c>
      <c r="M72" t="e">
        <f t="shared" ca="1" si="23"/>
        <v>#NAME?</v>
      </c>
      <c r="N72" t="e">
        <f t="shared" ca="1" si="24"/>
        <v>#NAME?</v>
      </c>
      <c r="O72" t="e">
        <f t="shared" ca="1" si="25"/>
        <v>#NAME?</v>
      </c>
      <c r="P72" t="e">
        <f t="shared" ca="1" si="26"/>
        <v>#NAME?</v>
      </c>
      <c r="R72" t="e">
        <f t="shared" ca="1" si="27"/>
        <v>#NAME?</v>
      </c>
      <c r="S72" t="e">
        <f t="shared" ca="1" si="28"/>
        <v>#NAME?</v>
      </c>
      <c r="T72" t="e">
        <f t="shared" ca="1" si="29"/>
        <v>#NAME?</v>
      </c>
      <c r="U72" t="e">
        <f t="shared" ca="1" si="30"/>
        <v>#NAME?</v>
      </c>
      <c r="V72" t="e">
        <f t="shared" ca="1" si="31"/>
        <v>#NAME?</v>
      </c>
      <c r="W72" t="e">
        <f t="shared" ca="1" si="32"/>
        <v>#NAME?</v>
      </c>
      <c r="X72" t="e">
        <f t="shared" ca="1" si="33"/>
        <v>#NAME?</v>
      </c>
      <c r="Z72" s="24">
        <v>1</v>
      </c>
    </row>
    <row r="73" spans="1:26" ht="15" customHeight="1">
      <c r="A73" s="22" t="s">
        <v>143</v>
      </c>
      <c r="B73" s="109" t="s">
        <v>73</v>
      </c>
      <c r="C73" s="121" t="s">
        <v>118</v>
      </c>
      <c r="D73" s="121" t="s">
        <v>116</v>
      </c>
      <c r="E73" s="28" t="s">
        <v>115</v>
      </c>
      <c r="F73" s="25"/>
      <c r="G73" s="25"/>
      <c r="H73" s="25"/>
      <c r="J73" t="e">
        <f t="shared" ca="1" si="20"/>
        <v>#NAME?</v>
      </c>
      <c r="K73" t="e">
        <f t="shared" ca="1" si="21"/>
        <v>#NAME?</v>
      </c>
      <c r="L73" t="e">
        <f t="shared" ca="1" si="22"/>
        <v>#NAME?</v>
      </c>
      <c r="M73" t="e">
        <f t="shared" ca="1" si="23"/>
        <v>#NAME?</v>
      </c>
      <c r="N73" t="e">
        <f t="shared" ca="1" si="24"/>
        <v>#NAME?</v>
      </c>
      <c r="O73" t="e">
        <f t="shared" ca="1" si="25"/>
        <v>#NAME?</v>
      </c>
      <c r="P73" t="e">
        <f t="shared" ca="1" si="26"/>
        <v>#NAME?</v>
      </c>
      <c r="R73" t="e">
        <f t="shared" ca="1" si="27"/>
        <v>#NAME?</v>
      </c>
      <c r="S73" t="e">
        <f t="shared" ca="1" si="28"/>
        <v>#NAME?</v>
      </c>
      <c r="T73" t="e">
        <f t="shared" ca="1" si="29"/>
        <v>#NAME?</v>
      </c>
      <c r="U73" t="e">
        <f t="shared" ca="1" si="30"/>
        <v>#NAME?</v>
      </c>
      <c r="V73" t="e">
        <f t="shared" ca="1" si="31"/>
        <v>#NAME?</v>
      </c>
      <c r="W73" t="e">
        <f t="shared" ca="1" si="32"/>
        <v>#NAME?</v>
      </c>
      <c r="X73" t="e">
        <f t="shared" ca="1" si="33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110" t="s">
        <v>139</v>
      </c>
      <c r="G74" s="121" t="s">
        <v>116</v>
      </c>
      <c r="H74" s="120" t="s">
        <v>116</v>
      </c>
      <c r="J74" t="e">
        <f t="shared" ca="1" si="20"/>
        <v>#NAME?</v>
      </c>
      <c r="K74" t="e">
        <f t="shared" ca="1" si="21"/>
        <v>#NAME?</v>
      </c>
      <c r="L74" t="e">
        <f t="shared" ca="1" si="22"/>
        <v>#NAME?</v>
      </c>
      <c r="M74" t="e">
        <f t="shared" ca="1" si="23"/>
        <v>#NAME?</v>
      </c>
      <c r="N74" t="e">
        <f t="shared" ca="1" si="24"/>
        <v>#NAME?</v>
      </c>
      <c r="O74" t="e">
        <f t="shared" ca="1" si="25"/>
        <v>#NAME?</v>
      </c>
      <c r="P74" t="e">
        <f t="shared" ca="1" si="26"/>
        <v>#NAME?</v>
      </c>
      <c r="R74" t="e">
        <f t="shared" ca="1" si="27"/>
        <v>#NAME?</v>
      </c>
      <c r="S74" t="e">
        <f t="shared" ca="1" si="28"/>
        <v>#NAME?</v>
      </c>
      <c r="T74" t="e">
        <f t="shared" ca="1" si="29"/>
        <v>#NAME?</v>
      </c>
      <c r="U74" t="e">
        <f t="shared" ca="1" si="30"/>
        <v>#NAME?</v>
      </c>
      <c r="V74" t="e">
        <f t="shared" ca="1" si="31"/>
        <v>#NAME?</v>
      </c>
      <c r="W74" t="e">
        <f t="shared" ca="1" si="32"/>
        <v>#NAME?</v>
      </c>
      <c r="X74" t="e">
        <f t="shared" ca="1" si="33"/>
        <v>#NAME?</v>
      </c>
      <c r="Z74" s="24">
        <v>1</v>
      </c>
    </row>
    <row r="75" spans="1:26" ht="26.25">
      <c r="A75" s="106" t="s">
        <v>146</v>
      </c>
      <c r="B75" s="108" t="str">
        <f>B58</f>
        <v>Mon 25 May</v>
      </c>
      <c r="C75" s="107" t="str">
        <f>C67</f>
        <v>Tues 26 May</v>
      </c>
      <c r="D75" s="108" t="s">
        <v>327</v>
      </c>
      <c r="E75" s="107" t="str">
        <f>E67</f>
        <v>Thu 28 May</v>
      </c>
      <c r="F75" s="107" t="str">
        <f>F67</f>
        <v>Fri 29 May</v>
      </c>
      <c r="G75" s="107" t="str">
        <f>G67</f>
        <v>Sat 30 May</v>
      </c>
      <c r="H75" s="107" t="str">
        <f>H67</f>
        <v>Sun 31 May</v>
      </c>
      <c r="J75" t="e">
        <f t="shared" ca="1" si="20"/>
        <v>#NAME?</v>
      </c>
      <c r="K75" t="e">
        <f t="shared" ca="1" si="21"/>
        <v>#NAME?</v>
      </c>
      <c r="L75" t="e">
        <f t="shared" ca="1" si="22"/>
        <v>#NAME?</v>
      </c>
      <c r="M75" t="e">
        <f t="shared" ca="1" si="23"/>
        <v>#NAME?</v>
      </c>
      <c r="N75" t="e">
        <f t="shared" ca="1" si="24"/>
        <v>#NAME?</v>
      </c>
      <c r="O75" t="e">
        <f t="shared" ca="1" si="25"/>
        <v>#NAME?</v>
      </c>
      <c r="P75" t="e">
        <f t="shared" ca="1" si="26"/>
        <v>#NAME?</v>
      </c>
      <c r="R75" t="e">
        <f t="shared" ca="1" si="27"/>
        <v>#NAME?</v>
      </c>
      <c r="S75" t="e">
        <f t="shared" ca="1" si="28"/>
        <v>#NAME?</v>
      </c>
      <c r="T75" t="e">
        <f t="shared" ca="1" si="29"/>
        <v>#NAME?</v>
      </c>
      <c r="U75" t="e">
        <f t="shared" ca="1" si="30"/>
        <v>#NAME?</v>
      </c>
      <c r="V75" t="e">
        <f t="shared" ca="1" si="31"/>
        <v>#NAME?</v>
      </c>
      <c r="W75" t="e">
        <f t="shared" ca="1" si="32"/>
        <v>#NAME?</v>
      </c>
      <c r="X75" t="e">
        <f t="shared" ca="1" si="33"/>
        <v>#NAME?</v>
      </c>
      <c r="Z75" s="53">
        <f>SUM(Z68:Z74)</f>
        <v>6</v>
      </c>
    </row>
    <row r="76" spans="1:26" ht="15" customHeight="1">
      <c r="A76" s="22" t="s">
        <v>147</v>
      </c>
      <c r="B76" s="127" t="s">
        <v>18</v>
      </c>
      <c r="C76" s="128"/>
      <c r="D76" s="128"/>
      <c r="E76" s="128"/>
      <c r="F76" s="128"/>
      <c r="G76" s="128"/>
      <c r="H76" s="129"/>
      <c r="J76" t="e">
        <f t="shared" ca="1" si="20"/>
        <v>#NAME?</v>
      </c>
      <c r="K76" t="e">
        <f t="shared" ca="1" si="21"/>
        <v>#NAME?</v>
      </c>
      <c r="L76" t="e">
        <f t="shared" ca="1" si="22"/>
        <v>#NAME?</v>
      </c>
      <c r="M76" t="e">
        <f t="shared" ca="1" si="23"/>
        <v>#NAME?</v>
      </c>
      <c r="N76" t="e">
        <f t="shared" ca="1" si="24"/>
        <v>#NAME?</v>
      </c>
      <c r="O76" t="e">
        <f t="shared" ca="1" si="25"/>
        <v>#NAME?</v>
      </c>
      <c r="P76" t="e">
        <f t="shared" ca="1" si="26"/>
        <v>#NAME?</v>
      </c>
      <c r="R76" t="e">
        <f t="shared" ca="1" si="27"/>
        <v>#NAME?</v>
      </c>
      <c r="S76" t="e">
        <f t="shared" ca="1" si="28"/>
        <v>#NAME?</v>
      </c>
      <c r="T76" t="e">
        <f t="shared" ca="1" si="29"/>
        <v>#NAME?</v>
      </c>
      <c r="U76" t="e">
        <f t="shared" ca="1" si="30"/>
        <v>#NAME?</v>
      </c>
      <c r="V76" t="e">
        <f t="shared" ca="1" si="31"/>
        <v>#NAME?</v>
      </c>
      <c r="W76" t="e">
        <f t="shared" ca="1" si="32"/>
        <v>#NAME?</v>
      </c>
      <c r="X76" t="e">
        <f t="shared" ca="1" si="33"/>
        <v>#NAME?</v>
      </c>
      <c r="Z76" s="24">
        <v>1</v>
      </c>
    </row>
    <row r="77" spans="1:26" ht="15" customHeight="1">
      <c r="A77" s="22" t="s">
        <v>151</v>
      </c>
      <c r="B77" s="120" t="s">
        <v>116</v>
      </c>
      <c r="C77" s="121" t="s">
        <v>116</v>
      </c>
      <c r="D77" s="28" t="s">
        <v>115</v>
      </c>
      <c r="E77" s="25"/>
      <c r="F77" s="25"/>
      <c r="G77" s="110" t="s">
        <v>142</v>
      </c>
      <c r="H77" s="25" t="s">
        <v>152</v>
      </c>
      <c r="J77" t="e">
        <f t="shared" ca="1" si="20"/>
        <v>#NAME?</v>
      </c>
      <c r="K77" t="e">
        <f t="shared" ca="1" si="21"/>
        <v>#NAME?</v>
      </c>
      <c r="L77" t="e">
        <f t="shared" ca="1" si="22"/>
        <v>#NAME?</v>
      </c>
      <c r="M77" t="e">
        <f t="shared" ca="1" si="23"/>
        <v>#NAME?</v>
      </c>
      <c r="N77" t="e">
        <f t="shared" ca="1" si="24"/>
        <v>#NAME?</v>
      </c>
      <c r="O77" t="e">
        <f t="shared" ca="1" si="25"/>
        <v>#NAME?</v>
      </c>
      <c r="P77" t="e">
        <f t="shared" ca="1" si="26"/>
        <v>#NAME?</v>
      </c>
      <c r="R77" t="e">
        <f t="shared" ca="1" si="27"/>
        <v>#NAME?</v>
      </c>
      <c r="S77" t="e">
        <f t="shared" ca="1" si="28"/>
        <v>#NAME?</v>
      </c>
      <c r="T77" t="e">
        <f t="shared" ca="1" si="29"/>
        <v>#NAME?</v>
      </c>
      <c r="U77" t="e">
        <f t="shared" ca="1" si="30"/>
        <v>#NAME?</v>
      </c>
      <c r="V77" t="e">
        <f t="shared" ca="1" si="31"/>
        <v>#NAME?</v>
      </c>
      <c r="W77" t="e">
        <f t="shared" ca="1" si="32"/>
        <v>#NAME?</v>
      </c>
      <c r="X77" t="e">
        <f t="shared" ca="1" si="33"/>
        <v>#NAME?</v>
      </c>
      <c r="Z77" s="15">
        <v>1</v>
      </c>
    </row>
    <row r="78" spans="1:26" ht="15" customHeight="1">
      <c r="A78" s="22" t="s">
        <v>153</v>
      </c>
      <c r="B78" s="25" t="s">
        <v>152</v>
      </c>
      <c r="C78" s="25"/>
      <c r="D78" s="25" t="s">
        <v>141</v>
      </c>
      <c r="E78" s="25"/>
      <c r="F78" s="121" t="s">
        <v>118</v>
      </c>
      <c r="G78" s="25"/>
      <c r="H78" s="25"/>
      <c r="J78" t="e">
        <f t="shared" ca="1" si="20"/>
        <v>#NAME?</v>
      </c>
      <c r="K78" t="e">
        <f t="shared" ca="1" si="21"/>
        <v>#NAME?</v>
      </c>
      <c r="L78" t="e">
        <f t="shared" ca="1" si="22"/>
        <v>#NAME?</v>
      </c>
      <c r="M78" t="e">
        <f t="shared" ca="1" si="23"/>
        <v>#NAME?</v>
      </c>
      <c r="N78" t="e">
        <f t="shared" ca="1" si="24"/>
        <v>#NAME?</v>
      </c>
      <c r="O78" t="e">
        <f t="shared" ca="1" si="25"/>
        <v>#NAME?</v>
      </c>
      <c r="P78" t="e">
        <f t="shared" ca="1" si="26"/>
        <v>#NAME?</v>
      </c>
      <c r="R78" t="e">
        <f t="shared" ca="1" si="27"/>
        <v>#NAME?</v>
      </c>
      <c r="S78" t="e">
        <f t="shared" ca="1" si="28"/>
        <v>#NAME?</v>
      </c>
      <c r="T78" t="e">
        <f t="shared" ca="1" si="29"/>
        <v>#NAME?</v>
      </c>
      <c r="U78" t="e">
        <f t="shared" ca="1" si="30"/>
        <v>#NAME?</v>
      </c>
      <c r="V78" t="e">
        <f t="shared" ca="1" si="31"/>
        <v>#NAME?</v>
      </c>
      <c r="W78" t="e">
        <f t="shared" ca="1" si="32"/>
        <v>#NAME?</v>
      </c>
      <c r="X78" t="e">
        <f t="shared" ca="1" si="33"/>
        <v>#NAME?</v>
      </c>
      <c r="Z78" s="15">
        <v>0.5</v>
      </c>
    </row>
    <row r="79" spans="1:26">
      <c r="A79" s="22" t="s">
        <v>154</v>
      </c>
      <c r="B79" s="25"/>
      <c r="C79" s="110" t="s">
        <v>139</v>
      </c>
      <c r="D79" s="120" t="s">
        <v>116</v>
      </c>
      <c r="E79" s="25"/>
      <c r="F79" s="25"/>
      <c r="G79" s="28" t="s">
        <v>115</v>
      </c>
      <c r="H79" s="120" t="s">
        <v>116</v>
      </c>
      <c r="J79" t="e">
        <f t="shared" ca="1" si="20"/>
        <v>#NAME?</v>
      </c>
      <c r="K79" t="e">
        <f t="shared" ca="1" si="21"/>
        <v>#NAME?</v>
      </c>
      <c r="L79" t="e">
        <f t="shared" ca="1" si="22"/>
        <v>#NAME?</v>
      </c>
      <c r="M79" t="e">
        <f t="shared" ca="1" si="23"/>
        <v>#NAME?</v>
      </c>
      <c r="N79" t="e">
        <f t="shared" ca="1" si="24"/>
        <v>#NAME?</v>
      </c>
      <c r="O79" t="e">
        <f t="shared" ca="1" si="25"/>
        <v>#NAME?</v>
      </c>
      <c r="P79" t="e">
        <f t="shared" ca="1" si="26"/>
        <v>#NAME?</v>
      </c>
      <c r="R79" t="e">
        <f t="shared" ca="1" si="27"/>
        <v>#NAME?</v>
      </c>
      <c r="S79" t="e">
        <f t="shared" ca="1" si="28"/>
        <v>#NAME?</v>
      </c>
      <c r="T79" t="e">
        <f t="shared" ca="1" si="29"/>
        <v>#NAME?</v>
      </c>
      <c r="U79" t="e">
        <f t="shared" ca="1" si="30"/>
        <v>#NAME?</v>
      </c>
      <c r="V79" t="e">
        <f t="shared" ca="1" si="31"/>
        <v>#NAME?</v>
      </c>
      <c r="W79" t="e">
        <f t="shared" ca="1" si="32"/>
        <v>#NAME?</v>
      </c>
      <c r="X79" t="e">
        <f t="shared" ca="1" si="33"/>
        <v>#NAME?</v>
      </c>
      <c r="Z79" s="15">
        <v>1</v>
      </c>
    </row>
    <row r="80" spans="1:26">
      <c r="A80" s="22" t="s">
        <v>155</v>
      </c>
      <c r="B80" s="120" t="s">
        <v>116</v>
      </c>
      <c r="C80" s="25"/>
      <c r="D80" s="25" t="s">
        <v>141</v>
      </c>
      <c r="E80" s="25"/>
      <c r="F80" s="25"/>
      <c r="G80" s="25"/>
      <c r="H80" s="121" t="s">
        <v>116</v>
      </c>
      <c r="J80" t="e">
        <f t="shared" ca="1" si="20"/>
        <v>#NAME?</v>
      </c>
      <c r="K80" t="e">
        <f t="shared" ca="1" si="21"/>
        <v>#NAME?</v>
      </c>
      <c r="L80" t="e">
        <f t="shared" ca="1" si="22"/>
        <v>#NAME?</v>
      </c>
      <c r="M80" t="e">
        <f t="shared" ca="1" si="23"/>
        <v>#NAME?</v>
      </c>
      <c r="N80" t="e">
        <f t="shared" ca="1" si="24"/>
        <v>#NAME?</v>
      </c>
      <c r="O80" t="e">
        <f t="shared" ca="1" si="25"/>
        <v>#NAME?</v>
      </c>
      <c r="P80" t="e">
        <f t="shared" ca="1" si="26"/>
        <v>#NAME?</v>
      </c>
      <c r="R80" t="e">
        <f t="shared" ca="1" si="27"/>
        <v>#NAME?</v>
      </c>
      <c r="S80" t="e">
        <f t="shared" ca="1" si="28"/>
        <v>#NAME?</v>
      </c>
      <c r="T80" t="e">
        <f t="shared" ca="1" si="29"/>
        <v>#NAME?</v>
      </c>
      <c r="U80" t="e">
        <f t="shared" ca="1" si="30"/>
        <v>#NAME?</v>
      </c>
      <c r="V80" t="e">
        <f t="shared" ca="1" si="31"/>
        <v>#NAME?</v>
      </c>
      <c r="W80" t="e">
        <f t="shared" ca="1" si="32"/>
        <v>#NAME?</v>
      </c>
      <c r="X80" t="e">
        <f t="shared" ca="1" si="33"/>
        <v>#NAME?</v>
      </c>
      <c r="Z80" s="15">
        <v>0.5</v>
      </c>
    </row>
    <row r="81" spans="1:26" ht="15" customHeight="1">
      <c r="A81" s="22" t="s">
        <v>156</v>
      </c>
      <c r="B81" s="25"/>
      <c r="C81" s="25"/>
      <c r="D81" s="25" t="s">
        <v>141</v>
      </c>
      <c r="E81" s="110" t="s">
        <v>142</v>
      </c>
      <c r="F81" s="121" t="s">
        <v>116</v>
      </c>
      <c r="G81" s="120" t="s">
        <v>116</v>
      </c>
      <c r="H81" s="25"/>
      <c r="J81" t="e">
        <f t="shared" ca="1" si="20"/>
        <v>#NAME?</v>
      </c>
      <c r="K81" t="e">
        <f t="shared" ca="1" si="21"/>
        <v>#NAME?</v>
      </c>
      <c r="L81" t="e">
        <f t="shared" ca="1" si="22"/>
        <v>#NAME?</v>
      </c>
      <c r="M81" t="e">
        <f t="shared" ca="1" si="23"/>
        <v>#NAME?</v>
      </c>
      <c r="N81" t="e">
        <f t="shared" ca="1" si="24"/>
        <v>#NAME?</v>
      </c>
      <c r="O81" t="e">
        <f t="shared" ca="1" si="25"/>
        <v>#NAME?</v>
      </c>
      <c r="P81" t="e">
        <f t="shared" ca="1" si="26"/>
        <v>#NAME?</v>
      </c>
      <c r="R81" t="e">
        <f t="shared" ca="1" si="27"/>
        <v>#NAME?</v>
      </c>
      <c r="S81" t="e">
        <f t="shared" ca="1" si="28"/>
        <v>#NAME?</v>
      </c>
      <c r="T81" t="e">
        <f t="shared" ca="1" si="29"/>
        <v>#NAME?</v>
      </c>
      <c r="U81" t="e">
        <f t="shared" ca="1" si="30"/>
        <v>#NAME?</v>
      </c>
      <c r="V81" t="e">
        <f t="shared" ca="1" si="31"/>
        <v>#NAME?</v>
      </c>
      <c r="W81" t="e">
        <f t="shared" ca="1" si="32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158</v>
      </c>
      <c r="B82" s="25" t="s">
        <v>152</v>
      </c>
      <c r="C82" s="25"/>
      <c r="D82" s="25" t="s">
        <v>141</v>
      </c>
      <c r="E82" s="110" t="s">
        <v>139</v>
      </c>
      <c r="F82" s="121" t="s">
        <v>116</v>
      </c>
      <c r="G82" s="110" t="s">
        <v>139</v>
      </c>
      <c r="H82" s="121" t="s">
        <v>116</v>
      </c>
      <c r="J82" t="e">
        <f t="shared" ca="1" si="20"/>
        <v>#NAME?</v>
      </c>
      <c r="K82" t="e">
        <f t="shared" ca="1" si="21"/>
        <v>#NAME?</v>
      </c>
      <c r="L82" t="e">
        <f t="shared" ca="1" si="22"/>
        <v>#NAME?</v>
      </c>
      <c r="M82" t="e">
        <f t="shared" ca="1" si="23"/>
        <v>#NAME?</v>
      </c>
      <c r="N82" t="e">
        <f t="shared" ca="1" si="24"/>
        <v>#NAME?</v>
      </c>
      <c r="O82" t="e">
        <f t="shared" ca="1" si="25"/>
        <v>#NAME?</v>
      </c>
      <c r="P82" t="e">
        <f t="shared" ca="1" si="26"/>
        <v>#NAME?</v>
      </c>
      <c r="R82" t="e">
        <f t="shared" ca="1" si="27"/>
        <v>#NAME?</v>
      </c>
      <c r="S82" t="e">
        <f t="shared" ca="1" si="28"/>
        <v>#NAME?</v>
      </c>
      <c r="T82" t="e">
        <f t="shared" ca="1" si="29"/>
        <v>#NAME?</v>
      </c>
      <c r="U82" t="e">
        <f t="shared" ca="1" si="30"/>
        <v>#NAME?</v>
      </c>
      <c r="V82" t="e">
        <f t="shared" ca="1" si="31"/>
        <v>#NAME?</v>
      </c>
      <c r="W82" t="e">
        <f t="shared" ca="1" si="32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159</v>
      </c>
      <c r="B83" s="25" t="s">
        <v>152</v>
      </c>
      <c r="C83" s="25"/>
      <c r="D83" s="25" t="s">
        <v>141</v>
      </c>
      <c r="E83" s="121" t="s">
        <v>116</v>
      </c>
      <c r="F83" s="28" t="s">
        <v>115</v>
      </c>
      <c r="G83" s="121" t="s">
        <v>116</v>
      </c>
      <c r="H83" s="110" t="s">
        <v>139</v>
      </c>
      <c r="J83" t="e">
        <f t="shared" ca="1" si="20"/>
        <v>#NAME?</v>
      </c>
      <c r="K83" t="e">
        <f t="shared" ca="1" si="21"/>
        <v>#NAME?</v>
      </c>
      <c r="L83" t="e">
        <f t="shared" ca="1" si="22"/>
        <v>#NAME?</v>
      </c>
      <c r="M83" t="e">
        <f t="shared" ca="1" si="23"/>
        <v>#NAME?</v>
      </c>
      <c r="N83" t="e">
        <f t="shared" ca="1" si="24"/>
        <v>#NAME?</v>
      </c>
      <c r="O83" t="e">
        <f t="shared" ca="1" si="25"/>
        <v>#NAME?</v>
      </c>
      <c r="P83" t="e">
        <f t="shared" ca="1" si="26"/>
        <v>#NAME?</v>
      </c>
      <c r="R83" t="e">
        <f t="shared" ca="1" si="27"/>
        <v>#NAME?</v>
      </c>
      <c r="S83" t="e">
        <f t="shared" ca="1" si="28"/>
        <v>#NAME?</v>
      </c>
      <c r="T83" t="e">
        <f t="shared" ca="1" si="29"/>
        <v>#NAME?</v>
      </c>
      <c r="U83" t="e">
        <f t="shared" ca="1" si="30"/>
        <v>#NAME?</v>
      </c>
      <c r="V83" t="e">
        <f t="shared" ca="1" si="31"/>
        <v>#NAME?</v>
      </c>
      <c r="W83" t="e">
        <f t="shared" ca="1" si="32"/>
        <v>#NAME?</v>
      </c>
      <c r="X83" t="e">
        <f t="shared" ca="1" si="33"/>
        <v>#NAME?</v>
      </c>
      <c r="Z83" s="15">
        <v>1</v>
      </c>
    </row>
    <row r="84" spans="1:26" ht="15" customHeight="1">
      <c r="A84" s="22" t="s">
        <v>160</v>
      </c>
      <c r="B84" s="110" t="s">
        <v>139</v>
      </c>
      <c r="C84" s="28" t="s">
        <v>115</v>
      </c>
      <c r="D84" s="121" t="s">
        <v>116</v>
      </c>
      <c r="E84" s="25"/>
      <c r="F84" s="121" t="s">
        <v>118</v>
      </c>
      <c r="G84" s="25"/>
      <c r="H84" s="25" t="s">
        <v>152</v>
      </c>
      <c r="J84" t="e">
        <f t="shared" ca="1" si="20"/>
        <v>#NAME?</v>
      </c>
      <c r="K84" t="e">
        <f t="shared" ca="1" si="21"/>
        <v>#NAME?</v>
      </c>
      <c r="L84" t="e">
        <f t="shared" ca="1" si="22"/>
        <v>#NAME?</v>
      </c>
      <c r="M84" t="e">
        <f t="shared" ca="1" si="23"/>
        <v>#NAME?</v>
      </c>
      <c r="N84" t="e">
        <f t="shared" ca="1" si="24"/>
        <v>#NAME?</v>
      </c>
      <c r="O84" t="e">
        <f t="shared" ca="1" si="25"/>
        <v>#NAME?</v>
      </c>
      <c r="P84" t="e">
        <f t="shared" ca="1" si="26"/>
        <v>#NAME?</v>
      </c>
      <c r="R84" t="e">
        <f t="shared" ca="1" si="27"/>
        <v>#NAME?</v>
      </c>
      <c r="S84" t="e">
        <f t="shared" ca="1" si="28"/>
        <v>#NAME?</v>
      </c>
      <c r="T84" t="e">
        <f t="shared" ca="1" si="29"/>
        <v>#NAME?</v>
      </c>
      <c r="U84" t="e">
        <f t="shared" ca="1" si="30"/>
        <v>#NAME?</v>
      </c>
      <c r="V84" t="e">
        <f t="shared" ca="1" si="31"/>
        <v>#NAME?</v>
      </c>
      <c r="W84" t="e">
        <f t="shared" ca="1" si="32"/>
        <v>#NAME?</v>
      </c>
      <c r="X84" t="e">
        <f t="shared" ca="1" si="33"/>
        <v>#NAME?</v>
      </c>
      <c r="Z84" s="15">
        <v>1</v>
      </c>
    </row>
    <row r="85" spans="1:26">
      <c r="A85" s="22" t="s">
        <v>161</v>
      </c>
      <c r="B85" s="25"/>
      <c r="C85" s="110" t="s">
        <v>142</v>
      </c>
      <c r="D85" s="25" t="s">
        <v>141</v>
      </c>
      <c r="E85" s="25"/>
      <c r="F85" s="25"/>
      <c r="G85" s="25"/>
      <c r="H85" s="25"/>
      <c r="J85" t="e">
        <f t="shared" ca="1" si="20"/>
        <v>#NAME?</v>
      </c>
      <c r="K85" t="e">
        <f t="shared" ca="1" si="21"/>
        <v>#NAME?</v>
      </c>
      <c r="L85" t="e">
        <f t="shared" ca="1" si="22"/>
        <v>#NAME?</v>
      </c>
      <c r="M85" t="e">
        <f t="shared" ca="1" si="23"/>
        <v>#NAME?</v>
      </c>
      <c r="N85" t="e">
        <f t="shared" ca="1" si="24"/>
        <v>#NAME?</v>
      </c>
      <c r="O85" t="e">
        <f t="shared" ca="1" si="25"/>
        <v>#NAME?</v>
      </c>
      <c r="P85" t="e">
        <f t="shared" ca="1" si="26"/>
        <v>#NAME?</v>
      </c>
      <c r="R85" t="e">
        <f t="shared" ca="1" si="27"/>
        <v>#NAME?</v>
      </c>
      <c r="S85" t="e">
        <f t="shared" ca="1" si="28"/>
        <v>#NAME?</v>
      </c>
      <c r="T85" t="e">
        <f t="shared" ca="1" si="29"/>
        <v>#NAME?</v>
      </c>
      <c r="U85" t="e">
        <f t="shared" ca="1" si="30"/>
        <v>#NAME?</v>
      </c>
      <c r="V85" t="e">
        <f t="shared" ca="1" si="31"/>
        <v>#NAME?</v>
      </c>
      <c r="W85" t="e">
        <f t="shared" ca="1" si="32"/>
        <v>#NAME?</v>
      </c>
      <c r="X85" t="e">
        <f t="shared" ca="1" si="33"/>
        <v>#NAME?</v>
      </c>
      <c r="Z85" s="15">
        <v>0.25</v>
      </c>
    </row>
    <row r="86" spans="1:26">
      <c r="A86" s="22" t="s">
        <v>162</v>
      </c>
      <c r="B86" s="121" t="s">
        <v>116</v>
      </c>
      <c r="C86" s="25"/>
      <c r="D86" s="25" t="s">
        <v>152</v>
      </c>
      <c r="E86" s="25" t="s">
        <v>152</v>
      </c>
      <c r="F86" s="25" t="s">
        <v>152</v>
      </c>
      <c r="G86" s="25" t="s">
        <v>152</v>
      </c>
      <c r="H86" s="25"/>
      <c r="J86" t="e">
        <f t="shared" ca="1" si="20"/>
        <v>#NAME?</v>
      </c>
      <c r="K86" t="e">
        <f t="shared" ca="1" si="21"/>
        <v>#NAME?</v>
      </c>
      <c r="L86" t="e">
        <f t="shared" ca="1" si="22"/>
        <v>#NAME?</v>
      </c>
      <c r="M86" t="e">
        <f t="shared" ca="1" si="23"/>
        <v>#NAME?</v>
      </c>
      <c r="N86" t="e">
        <f t="shared" ca="1" si="24"/>
        <v>#NAME?</v>
      </c>
      <c r="O86" t="e">
        <f t="shared" ca="1" si="25"/>
        <v>#NAME?</v>
      </c>
      <c r="P86" t="e">
        <f t="shared" ca="1" si="26"/>
        <v>#NAME?</v>
      </c>
      <c r="R86" t="e">
        <f t="shared" ca="1" si="27"/>
        <v>#NAME?</v>
      </c>
      <c r="S86" t="e">
        <f t="shared" ca="1" si="28"/>
        <v>#NAME?</v>
      </c>
      <c r="T86" t="e">
        <f t="shared" ca="1" si="29"/>
        <v>#NAME?</v>
      </c>
      <c r="U86" t="e">
        <f t="shared" ca="1" si="30"/>
        <v>#NAME?</v>
      </c>
      <c r="V86" t="e">
        <f t="shared" ca="1" si="31"/>
        <v>#NAME?</v>
      </c>
      <c r="W86" t="e">
        <f t="shared" ca="1" si="32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163</v>
      </c>
      <c r="B87" s="127" t="s">
        <v>18</v>
      </c>
      <c r="C87" s="128"/>
      <c r="D87" s="128"/>
      <c r="E87" s="128"/>
      <c r="F87" s="128"/>
      <c r="G87" s="128"/>
      <c r="H87" s="129"/>
      <c r="J87" t="e">
        <f t="shared" ca="1" si="20"/>
        <v>#NAME?</v>
      </c>
      <c r="K87" t="e">
        <f t="shared" ca="1" si="21"/>
        <v>#NAME?</v>
      </c>
      <c r="L87" t="e">
        <f t="shared" ca="1" si="22"/>
        <v>#NAME?</v>
      </c>
      <c r="M87" t="e">
        <f t="shared" ca="1" si="23"/>
        <v>#NAME?</v>
      </c>
      <c r="N87" t="e">
        <f t="shared" ca="1" si="24"/>
        <v>#NAME?</v>
      </c>
      <c r="O87" t="e">
        <f t="shared" ca="1" si="25"/>
        <v>#NAME?</v>
      </c>
      <c r="P87" t="e">
        <f t="shared" ca="1" si="26"/>
        <v>#NAME?</v>
      </c>
      <c r="R87" t="e">
        <f t="shared" ca="1" si="27"/>
        <v>#NAME?</v>
      </c>
      <c r="S87" t="e">
        <f t="shared" ca="1" si="28"/>
        <v>#NAME?</v>
      </c>
      <c r="T87" t="e">
        <f t="shared" ca="1" si="29"/>
        <v>#NAME?</v>
      </c>
      <c r="U87" t="e">
        <f t="shared" ca="1" si="30"/>
        <v>#NAME?</v>
      </c>
      <c r="V87" t="e">
        <f t="shared" ca="1" si="31"/>
        <v>#NAME?</v>
      </c>
      <c r="W87" t="e">
        <f t="shared" ca="1" si="32"/>
        <v>#NAME?</v>
      </c>
      <c r="X87" t="e">
        <f t="shared" ca="1" si="33"/>
        <v>#NAME?</v>
      </c>
      <c r="Z87" s="15">
        <v>1</v>
      </c>
    </row>
    <row r="88" spans="1:26" ht="15" customHeight="1">
      <c r="A88" s="22" t="s">
        <v>164</v>
      </c>
      <c r="B88" s="110" t="s">
        <v>142</v>
      </c>
      <c r="C88" s="25" t="s">
        <v>152</v>
      </c>
      <c r="D88" s="25" t="s">
        <v>152</v>
      </c>
      <c r="E88" s="25" t="s">
        <v>152</v>
      </c>
      <c r="F88" s="25"/>
      <c r="G88" s="25"/>
      <c r="H88" s="25"/>
      <c r="J88" t="e">
        <f t="shared" ca="1" si="20"/>
        <v>#NAME?</v>
      </c>
      <c r="K88" t="e">
        <f t="shared" ca="1" si="21"/>
        <v>#NAME?</v>
      </c>
      <c r="L88" t="e">
        <f t="shared" ca="1" si="22"/>
        <v>#NAME?</v>
      </c>
      <c r="M88" t="e">
        <f t="shared" ca="1" si="23"/>
        <v>#NAME?</v>
      </c>
      <c r="N88" t="e">
        <f t="shared" ca="1" si="24"/>
        <v>#NAME?</v>
      </c>
      <c r="O88" t="e">
        <f t="shared" ca="1" si="25"/>
        <v>#NAME?</v>
      </c>
      <c r="P88" t="e">
        <f t="shared" ca="1" si="26"/>
        <v>#NAME?</v>
      </c>
      <c r="R88" t="e">
        <f t="shared" ca="1" si="27"/>
        <v>#NAME?</v>
      </c>
      <c r="S88" t="e">
        <f t="shared" ca="1" si="28"/>
        <v>#NAME?</v>
      </c>
      <c r="T88" t="e">
        <f t="shared" ca="1" si="29"/>
        <v>#NAME?</v>
      </c>
      <c r="U88" t="e">
        <f t="shared" ca="1" si="30"/>
        <v>#NAME?</v>
      </c>
      <c r="V88" t="e">
        <f t="shared" ca="1" si="31"/>
        <v>#NAME?</v>
      </c>
      <c r="W88" t="e">
        <f t="shared" ca="1" si="32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25" t="s">
        <v>141</v>
      </c>
      <c r="E89" s="121" t="s">
        <v>118</v>
      </c>
      <c r="F89" s="120" t="s">
        <v>116</v>
      </c>
      <c r="G89" s="25"/>
      <c r="H89" s="28" t="s">
        <v>115</v>
      </c>
      <c r="J89" t="e">
        <f t="shared" ca="1" si="20"/>
        <v>#NAME?</v>
      </c>
      <c r="K89" t="e">
        <f t="shared" ca="1" si="21"/>
        <v>#NAME?</v>
      </c>
      <c r="L89" t="e">
        <f t="shared" ca="1" si="22"/>
        <v>#NAME?</v>
      </c>
      <c r="M89" t="e">
        <f t="shared" ca="1" si="23"/>
        <v>#NAME?</v>
      </c>
      <c r="N89" t="e">
        <f t="shared" ca="1" si="24"/>
        <v>#NAME?</v>
      </c>
      <c r="O89" t="e">
        <f t="shared" ca="1" si="25"/>
        <v>#NAME?</v>
      </c>
      <c r="P89" t="e">
        <f t="shared" ca="1" si="26"/>
        <v>#NAME?</v>
      </c>
      <c r="R89" t="e">
        <f t="shared" ca="1" si="27"/>
        <v>#NAME?</v>
      </c>
      <c r="S89" t="e">
        <f t="shared" ca="1" si="28"/>
        <v>#NAME?</v>
      </c>
      <c r="T89" t="e">
        <f t="shared" ca="1" si="29"/>
        <v>#NAME?</v>
      </c>
      <c r="U89" t="e">
        <f t="shared" ca="1" si="30"/>
        <v>#NAME?</v>
      </c>
      <c r="V89" t="e">
        <f t="shared" ca="1" si="31"/>
        <v>#NAME?</v>
      </c>
      <c r="W89" t="e">
        <f t="shared" ca="1" si="32"/>
        <v>#NAME?</v>
      </c>
      <c r="X89" t="e">
        <f t="shared" ca="1" si="33"/>
        <v>#NAME?</v>
      </c>
      <c r="Z89" s="15">
        <v>0.75</v>
      </c>
    </row>
    <row r="90" spans="1:26" ht="15" customHeight="1">
      <c r="A90" s="22" t="s">
        <v>168</v>
      </c>
      <c r="B90" s="25"/>
      <c r="C90" s="120" t="s">
        <v>116</v>
      </c>
      <c r="D90" s="110" t="s">
        <v>139</v>
      </c>
      <c r="E90" s="25"/>
      <c r="F90" s="28" t="s">
        <v>119</v>
      </c>
      <c r="G90" s="25"/>
      <c r="H90" s="25"/>
      <c r="J90" t="e">
        <f t="shared" ca="1" si="20"/>
        <v>#NAME?</v>
      </c>
      <c r="K90" t="e">
        <f t="shared" ca="1" si="21"/>
        <v>#NAME?</v>
      </c>
      <c r="L90" t="e">
        <f t="shared" ca="1" si="22"/>
        <v>#NAME?</v>
      </c>
      <c r="M90" t="e">
        <f t="shared" ca="1" si="23"/>
        <v>#NAME?</v>
      </c>
      <c r="N90" t="e">
        <f t="shared" ca="1" si="24"/>
        <v>#NAME?</v>
      </c>
      <c r="O90" t="e">
        <f t="shared" ca="1" si="25"/>
        <v>#NAME?</v>
      </c>
      <c r="P90" t="e">
        <f t="shared" ca="1" si="26"/>
        <v>#NAME?</v>
      </c>
      <c r="R90" t="e">
        <f t="shared" ca="1" si="27"/>
        <v>#NAME?</v>
      </c>
      <c r="S90" t="e">
        <f t="shared" ca="1" si="28"/>
        <v>#NAME?</v>
      </c>
      <c r="T90" t="e">
        <f t="shared" ca="1" si="29"/>
        <v>#NAME?</v>
      </c>
      <c r="U90" t="e">
        <f t="shared" ca="1" si="30"/>
        <v>#NAME?</v>
      </c>
      <c r="V90" t="e">
        <f t="shared" ca="1" si="31"/>
        <v>#NAME?</v>
      </c>
      <c r="W90" t="e">
        <f t="shared" ca="1" si="32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169</v>
      </c>
      <c r="B91" s="121" t="s">
        <v>118</v>
      </c>
      <c r="C91" s="25"/>
      <c r="D91" s="25" t="s">
        <v>141</v>
      </c>
      <c r="E91" s="28" t="s">
        <v>115</v>
      </c>
      <c r="F91" s="25"/>
      <c r="G91" s="120" t="s">
        <v>116</v>
      </c>
      <c r="H91" s="25"/>
      <c r="J91" t="e">
        <f t="shared" ca="1" si="20"/>
        <v>#NAME?</v>
      </c>
      <c r="K91" t="e">
        <f t="shared" ca="1" si="21"/>
        <v>#NAME?</v>
      </c>
      <c r="L91" t="e">
        <f t="shared" ca="1" si="22"/>
        <v>#NAME?</v>
      </c>
      <c r="M91" t="e">
        <f t="shared" ca="1" si="23"/>
        <v>#NAME?</v>
      </c>
      <c r="N91" t="e">
        <f t="shared" ca="1" si="24"/>
        <v>#NAME?</v>
      </c>
      <c r="O91" t="e">
        <f t="shared" ca="1" si="25"/>
        <v>#NAME?</v>
      </c>
      <c r="P91" t="e">
        <f t="shared" ca="1" si="26"/>
        <v>#NAME?</v>
      </c>
      <c r="R91" t="e">
        <f t="shared" ca="1" si="27"/>
        <v>#NAME?</v>
      </c>
      <c r="S91" t="e">
        <f t="shared" ca="1" si="28"/>
        <v>#NAME?</v>
      </c>
      <c r="T91" t="e">
        <f t="shared" ca="1" si="29"/>
        <v>#NAME?</v>
      </c>
      <c r="U91" t="e">
        <f t="shared" ca="1" si="30"/>
        <v>#NAME?</v>
      </c>
      <c r="V91" t="e">
        <f t="shared" ca="1" si="31"/>
        <v>#NAME?</v>
      </c>
      <c r="W91" t="e">
        <f t="shared" ca="1" si="32"/>
        <v>#NAME?</v>
      </c>
      <c r="X91" t="e">
        <f t="shared" ca="1" si="33"/>
        <v>#NAME?</v>
      </c>
      <c r="Z91" s="15">
        <v>1</v>
      </c>
    </row>
    <row r="92" spans="1:26" ht="15" customHeight="1">
      <c r="A92" s="22" t="s">
        <v>171</v>
      </c>
      <c r="B92" s="127" t="s">
        <v>18</v>
      </c>
      <c r="C92" s="128"/>
      <c r="D92" s="128"/>
      <c r="E92" s="128"/>
      <c r="F92" s="128"/>
      <c r="G92" s="128"/>
      <c r="H92" s="129"/>
      <c r="J92" t="e">
        <f t="shared" ca="1" si="20"/>
        <v>#NAME?</v>
      </c>
      <c r="K92" t="e">
        <f t="shared" ca="1" si="21"/>
        <v>#NAME?</v>
      </c>
      <c r="L92" t="e">
        <f t="shared" ca="1" si="22"/>
        <v>#NAME?</v>
      </c>
      <c r="M92" t="e">
        <f t="shared" ca="1" si="23"/>
        <v>#NAME?</v>
      </c>
      <c r="N92" t="e">
        <f t="shared" ca="1" si="24"/>
        <v>#NAME?</v>
      </c>
      <c r="O92" t="e">
        <f t="shared" ca="1" si="25"/>
        <v>#NAME?</v>
      </c>
      <c r="P92" t="e">
        <f t="shared" ca="1" si="26"/>
        <v>#NAME?</v>
      </c>
      <c r="R92" t="e">
        <f t="shared" ca="1" si="27"/>
        <v>#NAME?</v>
      </c>
      <c r="S92" t="e">
        <f t="shared" ca="1" si="28"/>
        <v>#NAME?</v>
      </c>
      <c r="T92" t="e">
        <f t="shared" ca="1" si="29"/>
        <v>#NAME?</v>
      </c>
      <c r="U92" t="e">
        <f t="shared" ca="1" si="30"/>
        <v>#NAME?</v>
      </c>
      <c r="V92" t="e">
        <f t="shared" ca="1" si="31"/>
        <v>#NAME?</v>
      </c>
      <c r="W92" t="e">
        <f t="shared" ca="1" si="32"/>
        <v>#NAME?</v>
      </c>
      <c r="X92" t="e">
        <f t="shared" ca="1" si="33"/>
        <v>#NAME?</v>
      </c>
      <c r="Z92" s="15">
        <v>0.75</v>
      </c>
    </row>
    <row r="93" spans="1:26">
      <c r="A93" s="22" t="s">
        <v>174</v>
      </c>
      <c r="B93" s="28" t="s">
        <v>119</v>
      </c>
      <c r="C93" s="120" t="s">
        <v>118</v>
      </c>
      <c r="D93" s="25" t="s">
        <v>141</v>
      </c>
      <c r="E93" s="28" t="s">
        <v>119</v>
      </c>
      <c r="F93" s="120" t="s">
        <v>116</v>
      </c>
      <c r="G93" s="25"/>
      <c r="H93" s="25"/>
      <c r="J93" t="e">
        <f t="shared" ca="1" si="20"/>
        <v>#NAME?</v>
      </c>
      <c r="K93" t="e">
        <f t="shared" ca="1" si="21"/>
        <v>#NAME?</v>
      </c>
      <c r="L93" t="e">
        <f t="shared" ca="1" si="22"/>
        <v>#NAME?</v>
      </c>
      <c r="M93" t="e">
        <f t="shared" ca="1" si="23"/>
        <v>#NAME?</v>
      </c>
      <c r="N93" t="e">
        <f t="shared" ca="1" si="24"/>
        <v>#NAME?</v>
      </c>
      <c r="O93" t="e">
        <f t="shared" ca="1" si="25"/>
        <v>#NAME?</v>
      </c>
      <c r="P93" t="e">
        <f t="shared" ca="1" si="26"/>
        <v>#NAME?</v>
      </c>
      <c r="R93" t="e">
        <f t="shared" ca="1" si="27"/>
        <v>#NAME?</v>
      </c>
      <c r="S93" t="e">
        <f t="shared" ca="1" si="28"/>
        <v>#NAME?</v>
      </c>
      <c r="T93" t="e">
        <f t="shared" ca="1" si="29"/>
        <v>#NAME?</v>
      </c>
      <c r="U93" t="e">
        <f t="shared" ca="1" si="30"/>
        <v>#NAME?</v>
      </c>
      <c r="V93" t="e">
        <f t="shared" ca="1" si="31"/>
        <v>#NAME?</v>
      </c>
      <c r="W93" t="e">
        <f t="shared" ca="1" si="32"/>
        <v>#NAME?</v>
      </c>
      <c r="X93" t="e">
        <f t="shared" ca="1" si="33"/>
        <v>#NAME?</v>
      </c>
      <c r="Z93" s="15">
        <v>0.75</v>
      </c>
    </row>
    <row r="94" spans="1:26">
      <c r="A94" s="22" t="s">
        <v>175</v>
      </c>
      <c r="B94" s="28" t="s">
        <v>115</v>
      </c>
      <c r="C94" s="25"/>
      <c r="D94" s="25"/>
      <c r="E94" s="25"/>
      <c r="F94" s="25"/>
      <c r="G94" s="25"/>
      <c r="H94" s="110" t="s">
        <v>142</v>
      </c>
      <c r="J94" t="e">
        <f t="shared" ca="1" si="20"/>
        <v>#NAME?</v>
      </c>
      <c r="K94" t="e">
        <f t="shared" ca="1" si="21"/>
        <v>#NAME?</v>
      </c>
      <c r="L94" t="e">
        <f t="shared" ca="1" si="22"/>
        <v>#NAME?</v>
      </c>
      <c r="M94" t="e">
        <f t="shared" ca="1" si="23"/>
        <v>#NAME?</v>
      </c>
      <c r="N94" t="e">
        <f t="shared" ca="1" si="24"/>
        <v>#NAME?</v>
      </c>
      <c r="O94" t="e">
        <f t="shared" ca="1" si="25"/>
        <v>#NAME?</v>
      </c>
      <c r="P94" t="e">
        <f t="shared" ca="1" si="26"/>
        <v>#NAME?</v>
      </c>
      <c r="R94" t="e">
        <f t="shared" ca="1" si="27"/>
        <v>#NAME?</v>
      </c>
      <c r="S94" t="e">
        <f t="shared" ca="1" si="28"/>
        <v>#NAME?</v>
      </c>
      <c r="T94" t="e">
        <f t="shared" ca="1" si="29"/>
        <v>#NAME?</v>
      </c>
      <c r="U94" t="e">
        <f t="shared" ca="1" si="30"/>
        <v>#NAME?</v>
      </c>
      <c r="V94" t="e">
        <f t="shared" ca="1" si="31"/>
        <v>#NAME?</v>
      </c>
      <c r="W94" t="e">
        <f t="shared" ca="1" si="32"/>
        <v>#NAME?</v>
      </c>
      <c r="X94" t="e">
        <f t="shared" ca="1" si="33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25" t="s">
        <v>152</v>
      </c>
      <c r="H95" s="25"/>
      <c r="J95" t="e">
        <f t="shared" ca="1" si="20"/>
        <v>#NAME?</v>
      </c>
      <c r="K95" t="e">
        <f t="shared" ca="1" si="21"/>
        <v>#NAME?</v>
      </c>
      <c r="L95" t="e">
        <f t="shared" ca="1" si="22"/>
        <v>#NAME?</v>
      </c>
      <c r="M95" t="e">
        <f t="shared" ca="1" si="23"/>
        <v>#NAME?</v>
      </c>
      <c r="N95" t="e">
        <f t="shared" ca="1" si="24"/>
        <v>#NAME?</v>
      </c>
      <c r="O95" t="e">
        <f t="shared" ca="1" si="25"/>
        <v>#NAME?</v>
      </c>
      <c r="P95" t="e">
        <f t="shared" ca="1" si="26"/>
        <v>#NAME?</v>
      </c>
      <c r="R95" t="e">
        <f t="shared" ca="1" si="27"/>
        <v>#NAME?</v>
      </c>
      <c r="S95" t="e">
        <f t="shared" ca="1" si="28"/>
        <v>#NAME?</v>
      </c>
      <c r="T95" t="e">
        <f t="shared" ca="1" si="29"/>
        <v>#NAME?</v>
      </c>
      <c r="U95" t="e">
        <f t="shared" ca="1" si="30"/>
        <v>#NAME?</v>
      </c>
      <c r="V95" t="e">
        <f t="shared" ca="1" si="31"/>
        <v>#NAME?</v>
      </c>
      <c r="W95" t="e">
        <f t="shared" ca="1" si="32"/>
        <v>#NAME?</v>
      </c>
      <c r="X95" t="e">
        <f t="shared" ca="1" si="33"/>
        <v>#NAME?</v>
      </c>
      <c r="Z95" s="15">
        <v>0.25</v>
      </c>
    </row>
    <row r="96" spans="1:26" ht="15" customHeight="1">
      <c r="A96" s="22" t="s">
        <v>177</v>
      </c>
      <c r="B96" s="127" t="s">
        <v>18</v>
      </c>
      <c r="C96" s="128"/>
      <c r="D96" s="128"/>
      <c r="E96" s="128"/>
      <c r="F96" s="128"/>
      <c r="G96" s="128"/>
      <c r="H96" s="129"/>
      <c r="J96" t="e">
        <f t="shared" ca="1" si="20"/>
        <v>#NAME?</v>
      </c>
      <c r="K96" t="e">
        <f t="shared" ca="1" si="21"/>
        <v>#NAME?</v>
      </c>
      <c r="L96" t="e">
        <f t="shared" ca="1" si="22"/>
        <v>#NAME?</v>
      </c>
      <c r="M96" t="e">
        <f t="shared" ca="1" si="23"/>
        <v>#NAME?</v>
      </c>
      <c r="N96" t="e">
        <f t="shared" ca="1" si="24"/>
        <v>#NAME?</v>
      </c>
      <c r="O96" t="e">
        <f t="shared" ca="1" si="25"/>
        <v>#NAME?</v>
      </c>
      <c r="P96" t="e">
        <f t="shared" ca="1" si="26"/>
        <v>#NAME?</v>
      </c>
      <c r="R96" t="e">
        <f t="shared" ca="1" si="27"/>
        <v>#NAME?</v>
      </c>
      <c r="S96" t="e">
        <f t="shared" ca="1" si="28"/>
        <v>#NAME?</v>
      </c>
      <c r="T96" t="e">
        <f t="shared" ca="1" si="29"/>
        <v>#NAME?</v>
      </c>
      <c r="U96" t="e">
        <f t="shared" ca="1" si="30"/>
        <v>#NAME?</v>
      </c>
      <c r="V96" t="e">
        <f t="shared" ca="1" si="31"/>
        <v>#NAME?</v>
      </c>
      <c r="W96" t="e">
        <f t="shared" ca="1" si="32"/>
        <v>#NAME?</v>
      </c>
      <c r="X96" t="e">
        <f t="shared" ca="1" si="33"/>
        <v>#NAME?</v>
      </c>
      <c r="Z96" s="15">
        <v>0.75</v>
      </c>
    </row>
    <row r="97" spans="1:26" ht="15" customHeight="1">
      <c r="A97" s="22" t="s">
        <v>178</v>
      </c>
      <c r="B97" s="25"/>
      <c r="C97" s="25" t="s">
        <v>152</v>
      </c>
      <c r="D97" s="25" t="s">
        <v>152</v>
      </c>
      <c r="E97" s="25" t="s">
        <v>152</v>
      </c>
      <c r="F97" s="25" t="s">
        <v>152</v>
      </c>
      <c r="G97" s="25"/>
      <c r="H97" s="25"/>
      <c r="J97" t="e">
        <f t="shared" ca="1" si="20"/>
        <v>#NAME?</v>
      </c>
      <c r="K97" t="e">
        <f t="shared" ca="1" si="21"/>
        <v>#NAME?</v>
      </c>
      <c r="L97" t="e">
        <f t="shared" ca="1" si="22"/>
        <v>#NAME?</v>
      </c>
      <c r="M97" t="e">
        <f t="shared" ca="1" si="23"/>
        <v>#NAME?</v>
      </c>
      <c r="N97" t="e">
        <f t="shared" ca="1" si="24"/>
        <v>#NAME?</v>
      </c>
      <c r="O97" t="e">
        <f t="shared" ca="1" si="25"/>
        <v>#NAME?</v>
      </c>
      <c r="P97" t="e">
        <f t="shared" ca="1" si="26"/>
        <v>#NAME?</v>
      </c>
      <c r="R97" t="e">
        <f t="shared" ca="1" si="27"/>
        <v>#NAME?</v>
      </c>
      <c r="S97" t="e">
        <f t="shared" ca="1" si="28"/>
        <v>#NAME?</v>
      </c>
      <c r="T97" t="e">
        <f t="shared" ca="1" si="29"/>
        <v>#NAME?</v>
      </c>
      <c r="U97" t="e">
        <f t="shared" ca="1" si="30"/>
        <v>#NAME?</v>
      </c>
      <c r="V97" t="e">
        <f t="shared" ca="1" si="31"/>
        <v>#NAME?</v>
      </c>
      <c r="W97" t="e">
        <f t="shared" ca="1" si="32"/>
        <v>#NAME?</v>
      </c>
      <c r="X97" t="e">
        <f t="shared" ca="1" si="33"/>
        <v>#NAME?</v>
      </c>
      <c r="Z97" s="15">
        <v>1</v>
      </c>
    </row>
    <row r="98" spans="1:26">
      <c r="A98" s="106" t="s">
        <v>179</v>
      </c>
      <c r="B98" s="107" t="str">
        <f t="shared" ref="B98:H98" si="34">B58</f>
        <v>Mon 25 May</v>
      </c>
      <c r="C98" s="107" t="str">
        <f t="shared" si="34"/>
        <v>Tues 26 May</v>
      </c>
      <c r="D98" s="107" t="str">
        <f t="shared" si="34"/>
        <v>Wed 27 May</v>
      </c>
      <c r="E98" s="107" t="str">
        <f t="shared" si="34"/>
        <v>Thu 28 May</v>
      </c>
      <c r="F98" s="107" t="str">
        <f t="shared" si="34"/>
        <v>Fri 29 May</v>
      </c>
      <c r="G98" s="107" t="str">
        <f t="shared" si="34"/>
        <v>Sat 30 May</v>
      </c>
      <c r="H98" s="107" t="str">
        <f t="shared" si="34"/>
        <v>Sun 31 May</v>
      </c>
      <c r="J98" t="e">
        <f t="shared" ca="1" si="20"/>
        <v>#NAME?</v>
      </c>
      <c r="K98" t="e">
        <f t="shared" ca="1" si="21"/>
        <v>#NAME?</v>
      </c>
      <c r="L98" t="e">
        <f t="shared" ca="1" si="22"/>
        <v>#NAME?</v>
      </c>
      <c r="M98" t="e">
        <f t="shared" ca="1" si="23"/>
        <v>#NAME?</v>
      </c>
      <c r="N98" t="e">
        <f t="shared" ca="1" si="24"/>
        <v>#NAME?</v>
      </c>
      <c r="O98" t="e">
        <f t="shared" ca="1" si="25"/>
        <v>#NAME?</v>
      </c>
      <c r="P98" t="e">
        <f t="shared" ca="1" si="26"/>
        <v>#NAME?</v>
      </c>
      <c r="R98" t="e">
        <f t="shared" ca="1" si="27"/>
        <v>#NAME?</v>
      </c>
      <c r="S98" t="e">
        <f t="shared" ca="1" si="28"/>
        <v>#NAME?</v>
      </c>
      <c r="T98" t="e">
        <f t="shared" ca="1" si="29"/>
        <v>#NAME?</v>
      </c>
      <c r="U98" t="e">
        <f t="shared" ca="1" si="30"/>
        <v>#NAME?</v>
      </c>
      <c r="V98" t="e">
        <f t="shared" ca="1" si="31"/>
        <v>#NAME?</v>
      </c>
      <c r="W98" t="e">
        <f t="shared" ca="1" si="32"/>
        <v>#NAME?</v>
      </c>
      <c r="X98" t="e">
        <f t="shared" ca="1" si="33"/>
        <v>#NAME?</v>
      </c>
      <c r="Z98" s="54">
        <f>SUM(Z76:Z97)</f>
        <v>18.25</v>
      </c>
    </row>
    <row r="99" spans="1:26">
      <c r="A99" s="22" t="s">
        <v>180</v>
      </c>
      <c r="B99" s="25" t="s">
        <v>152</v>
      </c>
      <c r="C99" s="25" t="s">
        <v>152</v>
      </c>
      <c r="D99" s="25"/>
      <c r="E99" s="25"/>
      <c r="F99" s="25"/>
      <c r="G99" s="25"/>
      <c r="H99" s="25"/>
      <c r="J99" t="e">
        <f t="shared" ca="1" si="20"/>
        <v>#NAME?</v>
      </c>
      <c r="K99" t="e">
        <f t="shared" ca="1" si="21"/>
        <v>#NAME?</v>
      </c>
      <c r="L99" t="e">
        <f t="shared" ca="1" si="22"/>
        <v>#NAME?</v>
      </c>
      <c r="M99" t="e">
        <f t="shared" ca="1" si="23"/>
        <v>#NAME?</v>
      </c>
      <c r="N99" t="e">
        <f t="shared" ca="1" si="24"/>
        <v>#NAME?</v>
      </c>
      <c r="O99" t="e">
        <f t="shared" ca="1" si="25"/>
        <v>#NAME?</v>
      </c>
      <c r="P99" t="e">
        <f t="shared" ca="1" si="26"/>
        <v>#NAME?</v>
      </c>
      <c r="R99" t="e">
        <f t="shared" ca="1" si="27"/>
        <v>#NAME?</v>
      </c>
      <c r="S99" t="e">
        <f t="shared" ca="1" si="28"/>
        <v>#NAME?</v>
      </c>
      <c r="T99" t="e">
        <f t="shared" ca="1" si="29"/>
        <v>#NAME?</v>
      </c>
      <c r="U99" t="e">
        <f t="shared" ca="1" si="30"/>
        <v>#NAME?</v>
      </c>
      <c r="V99" t="e">
        <f t="shared" ca="1" si="31"/>
        <v>#NAME?</v>
      </c>
      <c r="W99" t="e">
        <f t="shared" ca="1" si="32"/>
        <v>#NAME?</v>
      </c>
      <c r="X99" t="e">
        <f t="shared" ca="1" si="33"/>
        <v>#NAME?</v>
      </c>
      <c r="Z99" s="15">
        <v>1</v>
      </c>
    </row>
    <row r="100" spans="1:26">
      <c r="A100" s="22" t="s">
        <v>183</v>
      </c>
      <c r="B100" s="25"/>
      <c r="C100" s="25"/>
      <c r="D100" s="110" t="s">
        <v>182</v>
      </c>
      <c r="E100" s="110" t="s">
        <v>182</v>
      </c>
      <c r="F100" s="25"/>
      <c r="G100" s="110" t="s">
        <v>182</v>
      </c>
      <c r="H100" s="110" t="s">
        <v>182</v>
      </c>
      <c r="J100" t="e">
        <f t="shared" ca="1" si="20"/>
        <v>#NAME?</v>
      </c>
      <c r="K100" t="e">
        <f t="shared" ca="1" si="21"/>
        <v>#NAME?</v>
      </c>
      <c r="L100" t="e">
        <f t="shared" ca="1" si="22"/>
        <v>#NAME?</v>
      </c>
      <c r="M100" t="e">
        <f t="shared" ca="1" si="23"/>
        <v>#NAME?</v>
      </c>
      <c r="N100" t="e">
        <f t="shared" ca="1" si="24"/>
        <v>#NAME?</v>
      </c>
      <c r="O100" t="e">
        <f t="shared" ca="1" si="25"/>
        <v>#NAME?</v>
      </c>
      <c r="P100" t="e">
        <f t="shared" ca="1" si="26"/>
        <v>#NAME?</v>
      </c>
      <c r="R100" t="e">
        <f t="shared" ca="1" si="27"/>
        <v>#NAME?</v>
      </c>
      <c r="S100" t="e">
        <f t="shared" ca="1" si="28"/>
        <v>#NAME?</v>
      </c>
      <c r="T100" t="e">
        <f t="shared" ca="1" si="29"/>
        <v>#NAME?</v>
      </c>
      <c r="U100" t="e">
        <f t="shared" ca="1" si="30"/>
        <v>#NAME?</v>
      </c>
      <c r="V100" t="e">
        <f t="shared" ca="1" si="31"/>
        <v>#NAME?</v>
      </c>
      <c r="W100" t="e">
        <f t="shared" ca="1" si="32"/>
        <v>#NAME?</v>
      </c>
      <c r="X100" t="e">
        <f t="shared" ca="1" si="33"/>
        <v>#NAME?</v>
      </c>
      <c r="Z100" s="15">
        <v>1</v>
      </c>
    </row>
    <row r="101" spans="1:26">
      <c r="A101" s="106" t="s">
        <v>184</v>
      </c>
      <c r="B101" s="107" t="str">
        <f t="shared" ref="B101:H101" si="35">B58</f>
        <v>Mon 25 May</v>
      </c>
      <c r="C101" s="107" t="str">
        <f t="shared" si="35"/>
        <v>Tues 26 May</v>
      </c>
      <c r="D101" s="107" t="str">
        <f t="shared" si="35"/>
        <v>Wed 27 May</v>
      </c>
      <c r="E101" s="107" t="str">
        <f t="shared" si="35"/>
        <v>Thu 28 May</v>
      </c>
      <c r="F101" s="107" t="str">
        <f t="shared" si="35"/>
        <v>Fri 29 May</v>
      </c>
      <c r="G101" s="107" t="str">
        <f t="shared" si="35"/>
        <v>Sat 30 May</v>
      </c>
      <c r="H101" s="107" t="str">
        <f t="shared" si="35"/>
        <v>Sun 31 May</v>
      </c>
      <c r="J101" t="e">
        <f t="shared" ca="1" si="20"/>
        <v>#NAME?</v>
      </c>
      <c r="K101" t="e">
        <f t="shared" ca="1" si="21"/>
        <v>#NAME?</v>
      </c>
      <c r="L101" t="e">
        <f t="shared" ca="1" si="22"/>
        <v>#NAME?</v>
      </c>
      <c r="M101" t="e">
        <f t="shared" ca="1" si="23"/>
        <v>#NAME?</v>
      </c>
      <c r="N101" t="e">
        <f t="shared" ca="1" si="24"/>
        <v>#NAME?</v>
      </c>
      <c r="O101" t="e">
        <f t="shared" ca="1" si="25"/>
        <v>#NAME?</v>
      </c>
      <c r="P101" t="e">
        <f t="shared" ca="1" si="26"/>
        <v>#NAME?</v>
      </c>
      <c r="R101" t="e">
        <f t="shared" ca="1" si="27"/>
        <v>#NAME?</v>
      </c>
      <c r="S101" t="e">
        <f t="shared" ca="1" si="28"/>
        <v>#NAME?</v>
      </c>
      <c r="T101" t="e">
        <f t="shared" ca="1" si="29"/>
        <v>#NAME?</v>
      </c>
      <c r="U101" t="e">
        <f t="shared" ca="1" si="30"/>
        <v>#NAME?</v>
      </c>
      <c r="V101" t="e">
        <f t="shared" ca="1" si="31"/>
        <v>#NAME?</v>
      </c>
      <c r="W101" t="e">
        <f t="shared" ca="1" si="32"/>
        <v>#NAME?</v>
      </c>
      <c r="X101" t="e">
        <f t="shared" ca="1" si="33"/>
        <v>#NAME?</v>
      </c>
      <c r="Z101" s="53">
        <f>SUM(Z99:Z100)</f>
        <v>2</v>
      </c>
    </row>
    <row r="102" spans="1:26">
      <c r="A102" s="22" t="s">
        <v>185</v>
      </c>
      <c r="B102" s="90" t="s">
        <v>118</v>
      </c>
      <c r="C102" s="101" t="s">
        <v>118</v>
      </c>
      <c r="D102" s="91" t="s">
        <v>118</v>
      </c>
      <c r="E102" s="44" t="s">
        <v>189</v>
      </c>
      <c r="F102" s="25"/>
      <c r="G102" s="25"/>
      <c r="H102" s="25" t="s">
        <v>152</v>
      </c>
      <c r="J102" t="e">
        <f t="shared" ca="1" si="20"/>
        <v>#NAME?</v>
      </c>
      <c r="K102" t="e">
        <f t="shared" ca="1" si="21"/>
        <v>#NAME?</v>
      </c>
      <c r="L102" t="e">
        <f t="shared" ca="1" si="22"/>
        <v>#NAME?</v>
      </c>
      <c r="M102" t="e">
        <f t="shared" ca="1" si="23"/>
        <v>#NAME?</v>
      </c>
      <c r="N102" t="e">
        <f t="shared" ca="1" si="24"/>
        <v>#NAME?</v>
      </c>
      <c r="O102" t="e">
        <f t="shared" ca="1" si="25"/>
        <v>#NAME?</v>
      </c>
      <c r="P102" t="e">
        <f t="shared" ca="1" si="26"/>
        <v>#NAME?</v>
      </c>
      <c r="R102" t="e">
        <f t="shared" ca="1" si="27"/>
        <v>#NAME?</v>
      </c>
      <c r="S102" t="e">
        <f t="shared" ca="1" si="28"/>
        <v>#NAME?</v>
      </c>
      <c r="T102" t="e">
        <f t="shared" ca="1" si="29"/>
        <v>#NAME?</v>
      </c>
      <c r="U102" t="e">
        <f t="shared" ca="1" si="30"/>
        <v>#NAME?</v>
      </c>
      <c r="V102" t="e">
        <f t="shared" ca="1" si="31"/>
        <v>#NAME?</v>
      </c>
      <c r="W102" t="e">
        <f t="shared" ca="1" si="32"/>
        <v>#NAME?</v>
      </c>
      <c r="X102" t="e">
        <f t="shared" ca="1" si="33"/>
        <v>#NAME?</v>
      </c>
      <c r="Z102" s="15">
        <v>1</v>
      </c>
    </row>
    <row r="103" spans="1:26">
      <c r="A103" s="22" t="s">
        <v>187</v>
      </c>
      <c r="B103" s="101" t="s">
        <v>118</v>
      </c>
      <c r="C103" s="91" t="s">
        <v>118</v>
      </c>
      <c r="D103" s="90" t="s">
        <v>118</v>
      </c>
      <c r="E103" s="90" t="s">
        <v>116</v>
      </c>
      <c r="F103" s="25"/>
      <c r="G103" s="25"/>
      <c r="H103" s="25" t="s">
        <v>152</v>
      </c>
      <c r="J103" t="e">
        <f t="shared" ca="1" si="20"/>
        <v>#NAME?</v>
      </c>
      <c r="K103" t="e">
        <f t="shared" ca="1" si="21"/>
        <v>#NAME?</v>
      </c>
      <c r="L103" t="e">
        <f t="shared" ca="1" si="22"/>
        <v>#NAME?</v>
      </c>
      <c r="M103" t="e">
        <f t="shared" ca="1" si="23"/>
        <v>#NAME?</v>
      </c>
      <c r="N103" t="e">
        <f t="shared" ca="1" si="24"/>
        <v>#NAME?</v>
      </c>
      <c r="O103" t="e">
        <f t="shared" ca="1" si="25"/>
        <v>#NAME?</v>
      </c>
      <c r="P103" t="e">
        <f t="shared" ca="1" si="26"/>
        <v>#NAME?</v>
      </c>
      <c r="R103" t="e">
        <f t="shared" ca="1" si="27"/>
        <v>#NAME?</v>
      </c>
      <c r="S103" t="e">
        <f t="shared" ca="1" si="28"/>
        <v>#NAME?</v>
      </c>
      <c r="T103" t="e">
        <f t="shared" ca="1" si="29"/>
        <v>#NAME?</v>
      </c>
      <c r="U103" t="e">
        <f t="shared" ca="1" si="30"/>
        <v>#NAME?</v>
      </c>
      <c r="V103" t="e">
        <f t="shared" ca="1" si="31"/>
        <v>#NAME?</v>
      </c>
      <c r="W103" t="e">
        <f t="shared" ca="1" si="32"/>
        <v>#NAME?</v>
      </c>
      <c r="X103" t="e">
        <f t="shared" ca="1" si="33"/>
        <v>#NAME?</v>
      </c>
      <c r="Z103" s="15">
        <v>1</v>
      </c>
    </row>
    <row r="104" spans="1:26">
      <c r="A104" s="22" t="s">
        <v>188</v>
      </c>
      <c r="B104" s="25"/>
      <c r="C104" s="25"/>
      <c r="D104" s="25" t="s">
        <v>152</v>
      </c>
      <c r="E104" s="25" t="s">
        <v>152</v>
      </c>
      <c r="F104" s="25" t="s">
        <v>152</v>
      </c>
      <c r="G104" s="25" t="s">
        <v>152</v>
      </c>
      <c r="H104" s="25"/>
      <c r="J104" t="e">
        <f t="shared" ca="1" si="20"/>
        <v>#NAME?</v>
      </c>
      <c r="K104" t="e">
        <f t="shared" ca="1" si="21"/>
        <v>#NAME?</v>
      </c>
      <c r="L104" t="e">
        <f t="shared" ca="1" si="22"/>
        <v>#NAME?</v>
      </c>
      <c r="M104" t="e">
        <f t="shared" ca="1" si="23"/>
        <v>#NAME?</v>
      </c>
      <c r="N104" t="e">
        <f t="shared" ca="1" si="24"/>
        <v>#NAME?</v>
      </c>
      <c r="O104" t="e">
        <f t="shared" ca="1" si="25"/>
        <v>#NAME?</v>
      </c>
      <c r="P104" t="e">
        <f t="shared" ca="1" si="26"/>
        <v>#NAME?</v>
      </c>
      <c r="R104" t="e">
        <f t="shared" ca="1" si="27"/>
        <v>#NAME?</v>
      </c>
      <c r="S104" t="e">
        <f t="shared" ca="1" si="28"/>
        <v>#NAME?</v>
      </c>
      <c r="T104" t="e">
        <f t="shared" ca="1" si="29"/>
        <v>#NAME?</v>
      </c>
      <c r="U104" t="e">
        <f t="shared" ca="1" si="30"/>
        <v>#NAME?</v>
      </c>
      <c r="V104" t="e">
        <f t="shared" ca="1" si="31"/>
        <v>#NAME?</v>
      </c>
      <c r="W104" t="e">
        <f t="shared" ca="1" si="32"/>
        <v>#NAME?</v>
      </c>
      <c r="X104" t="e">
        <f t="shared" ca="1" si="33"/>
        <v>#NAME?</v>
      </c>
      <c r="Z104" s="15">
        <v>1</v>
      </c>
    </row>
    <row r="105" spans="1:26">
      <c r="A105" s="22" t="s">
        <v>190</v>
      </c>
      <c r="B105" s="91" t="s">
        <v>116</v>
      </c>
      <c r="C105" s="25"/>
      <c r="D105" s="110" t="s">
        <v>142</v>
      </c>
      <c r="E105" s="101" t="s">
        <v>118</v>
      </c>
      <c r="F105" s="44" t="s">
        <v>189</v>
      </c>
      <c r="G105" s="25"/>
      <c r="H105" s="25"/>
      <c r="J105" t="e">
        <f t="shared" ca="1" si="20"/>
        <v>#NAME?</v>
      </c>
      <c r="K105" t="e">
        <f t="shared" ca="1" si="21"/>
        <v>#NAME?</v>
      </c>
      <c r="L105" t="e">
        <f t="shared" ca="1" si="22"/>
        <v>#NAME?</v>
      </c>
      <c r="M105" t="e">
        <f t="shared" ca="1" si="23"/>
        <v>#NAME?</v>
      </c>
      <c r="N105" t="e">
        <f t="shared" ca="1" si="24"/>
        <v>#NAME?</v>
      </c>
      <c r="O105" t="e">
        <f t="shared" ca="1" si="25"/>
        <v>#NAME?</v>
      </c>
      <c r="P105" t="e">
        <f t="shared" ca="1" si="26"/>
        <v>#NAME?</v>
      </c>
      <c r="R105" t="e">
        <f t="shared" ca="1" si="27"/>
        <v>#NAME?</v>
      </c>
      <c r="S105" t="e">
        <f t="shared" ca="1" si="28"/>
        <v>#NAME?</v>
      </c>
      <c r="T105" t="e">
        <f t="shared" ca="1" si="29"/>
        <v>#NAME?</v>
      </c>
      <c r="U105" t="e">
        <f t="shared" ca="1" si="30"/>
        <v>#NAME?</v>
      </c>
      <c r="V105" t="e">
        <f t="shared" ca="1" si="31"/>
        <v>#NAME?</v>
      </c>
      <c r="W105" t="e">
        <f t="shared" ca="1" si="32"/>
        <v>#NAME?</v>
      </c>
      <c r="X105" t="e">
        <f t="shared" ca="1" si="33"/>
        <v>#NAME?</v>
      </c>
      <c r="Z105" s="15">
        <v>1</v>
      </c>
    </row>
    <row r="106" spans="1:26">
      <c r="A106" s="22" t="s">
        <v>191</v>
      </c>
      <c r="B106" s="25"/>
      <c r="C106" s="25"/>
      <c r="D106" s="44" t="s">
        <v>189</v>
      </c>
      <c r="E106" s="91" t="s">
        <v>116</v>
      </c>
      <c r="F106" s="25"/>
      <c r="G106" s="91" t="s">
        <v>116</v>
      </c>
      <c r="H106" s="90" t="s">
        <v>116</v>
      </c>
      <c r="J106" t="e">
        <f t="shared" ca="1" si="20"/>
        <v>#NAME?</v>
      </c>
      <c r="K106" t="e">
        <f t="shared" ca="1" si="21"/>
        <v>#NAME?</v>
      </c>
      <c r="L106" t="e">
        <f t="shared" ca="1" si="22"/>
        <v>#NAME?</v>
      </c>
      <c r="M106" t="e">
        <f t="shared" ca="1" si="23"/>
        <v>#NAME?</v>
      </c>
      <c r="N106" t="e">
        <f t="shared" ca="1" si="24"/>
        <v>#NAME?</v>
      </c>
      <c r="O106" t="e">
        <f t="shared" ca="1" si="25"/>
        <v>#NAME?</v>
      </c>
      <c r="P106" t="e">
        <f t="shared" ca="1" si="26"/>
        <v>#NAME?</v>
      </c>
      <c r="R106" t="e">
        <f t="shared" ca="1" si="27"/>
        <v>#NAME?</v>
      </c>
      <c r="S106" t="e">
        <f t="shared" ca="1" si="28"/>
        <v>#NAME?</v>
      </c>
      <c r="T106" t="e">
        <f t="shared" ca="1" si="29"/>
        <v>#NAME?</v>
      </c>
      <c r="U106" t="e">
        <f t="shared" ca="1" si="30"/>
        <v>#NAME?</v>
      </c>
      <c r="V106" t="e">
        <f t="shared" ca="1" si="31"/>
        <v>#NAME?</v>
      </c>
      <c r="W106" t="e">
        <f t="shared" ca="1" si="32"/>
        <v>#NAME?</v>
      </c>
      <c r="X106" t="e">
        <f t="shared" ca="1" si="33"/>
        <v>#NAME?</v>
      </c>
      <c r="Z106" s="15">
        <v>1</v>
      </c>
    </row>
    <row r="107" spans="1:26">
      <c r="A107" s="22" t="s">
        <v>192</v>
      </c>
      <c r="B107" s="110" t="s">
        <v>139</v>
      </c>
      <c r="C107" s="91" t="s">
        <v>116</v>
      </c>
      <c r="D107" s="25"/>
      <c r="E107" s="44" t="s">
        <v>186</v>
      </c>
      <c r="F107" s="110" t="s">
        <v>142</v>
      </c>
      <c r="G107" s="25"/>
      <c r="H107" s="25"/>
      <c r="J107" t="e">
        <f t="shared" ca="1" si="20"/>
        <v>#NAME?</v>
      </c>
      <c r="K107" t="e">
        <f t="shared" ca="1" si="21"/>
        <v>#NAME?</v>
      </c>
      <c r="L107" t="e">
        <f t="shared" ca="1" si="22"/>
        <v>#NAME?</v>
      </c>
      <c r="M107" t="e">
        <f t="shared" ca="1" si="23"/>
        <v>#NAME?</v>
      </c>
      <c r="N107" t="e">
        <f t="shared" ca="1" si="24"/>
        <v>#NAME?</v>
      </c>
      <c r="O107" t="e">
        <f t="shared" ca="1" si="25"/>
        <v>#NAME?</v>
      </c>
      <c r="P107" t="e">
        <f t="shared" ca="1" si="26"/>
        <v>#NAME?</v>
      </c>
      <c r="R107" t="e">
        <f t="shared" ca="1" si="27"/>
        <v>#NAME?</v>
      </c>
      <c r="S107" t="e">
        <f t="shared" ca="1" si="28"/>
        <v>#NAME?</v>
      </c>
      <c r="T107" t="e">
        <f t="shared" ca="1" si="29"/>
        <v>#NAME?</v>
      </c>
      <c r="U107" t="e">
        <f t="shared" ca="1" si="30"/>
        <v>#NAME?</v>
      </c>
      <c r="V107" t="e">
        <f t="shared" ca="1" si="31"/>
        <v>#NAME?</v>
      </c>
      <c r="W107" t="e">
        <f t="shared" ca="1" si="32"/>
        <v>#NAME?</v>
      </c>
      <c r="X107" t="e">
        <f t="shared" ca="1" si="33"/>
        <v>#NAME?</v>
      </c>
      <c r="Z107" s="15">
        <v>0.875</v>
      </c>
    </row>
    <row r="108" spans="1:26">
      <c r="A108" s="22" t="s">
        <v>193</v>
      </c>
      <c r="B108" s="25"/>
      <c r="C108" s="44" t="s">
        <v>186</v>
      </c>
      <c r="D108" s="101" t="s">
        <v>118</v>
      </c>
      <c r="E108" s="91" t="s">
        <v>118</v>
      </c>
      <c r="F108" s="110" t="s">
        <v>139</v>
      </c>
      <c r="G108" s="25"/>
      <c r="H108" s="25"/>
      <c r="J108" t="e">
        <f t="shared" ca="1" si="20"/>
        <v>#NAME?</v>
      </c>
      <c r="K108" t="e">
        <f t="shared" ca="1" si="21"/>
        <v>#NAME?</v>
      </c>
      <c r="L108" t="e">
        <f t="shared" ca="1" si="22"/>
        <v>#NAME?</v>
      </c>
      <c r="M108" t="e">
        <f t="shared" ca="1" si="23"/>
        <v>#NAME?</v>
      </c>
      <c r="N108" t="e">
        <f t="shared" ca="1" si="24"/>
        <v>#NAME?</v>
      </c>
      <c r="O108" t="e">
        <f t="shared" ca="1" si="25"/>
        <v>#NAME?</v>
      </c>
      <c r="P108" t="e">
        <f t="shared" ca="1" si="26"/>
        <v>#NAME?</v>
      </c>
      <c r="R108" t="e">
        <f t="shared" ca="1" si="27"/>
        <v>#NAME?</v>
      </c>
      <c r="S108" t="e">
        <f t="shared" ca="1" si="28"/>
        <v>#NAME?</v>
      </c>
      <c r="T108" t="e">
        <f t="shared" ca="1" si="29"/>
        <v>#NAME?</v>
      </c>
      <c r="U108" t="e">
        <f t="shared" ca="1" si="30"/>
        <v>#NAME?</v>
      </c>
      <c r="V108" t="e">
        <f t="shared" ca="1" si="31"/>
        <v>#NAME?</v>
      </c>
      <c r="W108" t="e">
        <f t="shared" ca="1" si="32"/>
        <v>#NAME?</v>
      </c>
      <c r="X108" t="e">
        <f t="shared" ca="1" si="33"/>
        <v>#NAME?</v>
      </c>
      <c r="Z108" s="15">
        <v>1</v>
      </c>
    </row>
    <row r="109" spans="1:26">
      <c r="A109" s="22" t="s">
        <v>283</v>
      </c>
      <c r="B109" s="28" t="s">
        <v>115</v>
      </c>
      <c r="C109" s="90" t="s">
        <v>116</v>
      </c>
      <c r="D109" s="25"/>
      <c r="E109" s="90" t="s">
        <v>118</v>
      </c>
      <c r="F109" s="101" t="s">
        <v>118</v>
      </c>
      <c r="G109" s="25"/>
      <c r="H109" s="25"/>
      <c r="J109" t="e">
        <f t="shared" ca="1" si="20"/>
        <v>#NAME?</v>
      </c>
      <c r="K109" t="e">
        <f t="shared" ca="1" si="21"/>
        <v>#NAME?</v>
      </c>
      <c r="L109" t="e">
        <f t="shared" ca="1" si="22"/>
        <v>#NAME?</v>
      </c>
      <c r="M109" t="e">
        <f t="shared" ca="1" si="23"/>
        <v>#NAME?</v>
      </c>
      <c r="N109" t="e">
        <f t="shared" ca="1" si="24"/>
        <v>#NAME?</v>
      </c>
      <c r="O109" t="e">
        <f t="shared" ca="1" si="25"/>
        <v>#NAME?</v>
      </c>
      <c r="P109" t="e">
        <f t="shared" ca="1" si="26"/>
        <v>#NAME?</v>
      </c>
      <c r="R109" t="e">
        <f t="shared" ca="1" si="27"/>
        <v>#NAME?</v>
      </c>
      <c r="S109" t="e">
        <f t="shared" ca="1" si="28"/>
        <v>#NAME?</v>
      </c>
      <c r="T109" t="e">
        <f t="shared" ca="1" si="29"/>
        <v>#NAME?</v>
      </c>
      <c r="U109" t="e">
        <f t="shared" ca="1" si="30"/>
        <v>#NAME?</v>
      </c>
      <c r="V109" t="e">
        <f t="shared" ca="1" si="31"/>
        <v>#NAME?</v>
      </c>
      <c r="W109" t="e">
        <f t="shared" ca="1" si="32"/>
        <v>#NAME?</v>
      </c>
      <c r="X109" t="e">
        <f t="shared" ca="1" si="33"/>
        <v>#NAME?</v>
      </c>
      <c r="Z109" s="15">
        <v>1</v>
      </c>
    </row>
    <row r="110" spans="1:26">
      <c r="A110" s="22" t="s">
        <v>195</v>
      </c>
      <c r="B110" s="44" t="s">
        <v>186</v>
      </c>
      <c r="C110" s="91" t="s">
        <v>116</v>
      </c>
      <c r="D110" s="25"/>
      <c r="E110" s="25"/>
      <c r="F110" s="25"/>
      <c r="G110" s="25"/>
      <c r="H110" s="101" t="s">
        <v>116</v>
      </c>
      <c r="J110" t="e">
        <f t="shared" ca="1" si="20"/>
        <v>#NAME?</v>
      </c>
      <c r="K110" t="e">
        <f t="shared" ca="1" si="21"/>
        <v>#NAME?</v>
      </c>
      <c r="L110" t="e">
        <f t="shared" ca="1" si="22"/>
        <v>#NAME?</v>
      </c>
      <c r="M110" t="e">
        <f t="shared" ca="1" si="23"/>
        <v>#NAME?</v>
      </c>
      <c r="N110" t="e">
        <f t="shared" ca="1" si="24"/>
        <v>#NAME?</v>
      </c>
      <c r="O110" t="e">
        <f t="shared" ca="1" si="25"/>
        <v>#NAME?</v>
      </c>
      <c r="P110" t="e">
        <f t="shared" ca="1" si="26"/>
        <v>#NAME?</v>
      </c>
      <c r="R110" t="e">
        <f t="shared" ca="1" si="27"/>
        <v>#NAME?</v>
      </c>
      <c r="S110" t="e">
        <f t="shared" ca="1" si="28"/>
        <v>#NAME?</v>
      </c>
      <c r="T110" t="e">
        <f t="shared" ca="1" si="29"/>
        <v>#NAME?</v>
      </c>
      <c r="U110" t="e">
        <f t="shared" ca="1" si="30"/>
        <v>#NAME?</v>
      </c>
      <c r="V110" t="e">
        <f t="shared" ca="1" si="31"/>
        <v>#NAME?</v>
      </c>
      <c r="W110" t="e">
        <f t="shared" ca="1" si="32"/>
        <v>#NAME?</v>
      </c>
      <c r="X110" t="e">
        <f t="shared" ca="1" si="33"/>
        <v>#NAME?</v>
      </c>
      <c r="Z110" s="15">
        <v>0.5</v>
      </c>
    </row>
    <row r="111" spans="1:26">
      <c r="A111" s="42" t="s">
        <v>196</v>
      </c>
      <c r="B111" s="25"/>
      <c r="C111" s="25"/>
      <c r="D111" s="91" t="s">
        <v>118</v>
      </c>
      <c r="E111" s="25"/>
      <c r="F111" s="101" t="s">
        <v>116</v>
      </c>
      <c r="G111" s="25"/>
      <c r="H111" s="25"/>
      <c r="J111" t="e">
        <f t="shared" ca="1" si="20"/>
        <v>#NAME?</v>
      </c>
      <c r="K111" t="e">
        <f t="shared" ca="1" si="21"/>
        <v>#NAME?</v>
      </c>
      <c r="L111" t="e">
        <f t="shared" ca="1" si="22"/>
        <v>#NAME?</v>
      </c>
      <c r="M111" t="e">
        <f t="shared" ca="1" si="23"/>
        <v>#NAME?</v>
      </c>
      <c r="N111" t="e">
        <f t="shared" ca="1" si="24"/>
        <v>#NAME?</v>
      </c>
      <c r="O111" t="e">
        <f t="shared" ca="1" si="25"/>
        <v>#NAME?</v>
      </c>
      <c r="P111" t="e">
        <f t="shared" ca="1" si="26"/>
        <v>#NAME?</v>
      </c>
      <c r="R111" t="e">
        <f t="shared" ca="1" si="27"/>
        <v>#NAME?</v>
      </c>
      <c r="S111" t="e">
        <f t="shared" ca="1" si="28"/>
        <v>#NAME?</v>
      </c>
      <c r="T111" t="e">
        <f t="shared" ca="1" si="29"/>
        <v>#NAME?</v>
      </c>
      <c r="U111" t="e">
        <f t="shared" ca="1" si="30"/>
        <v>#NAME?</v>
      </c>
      <c r="V111" t="e">
        <f t="shared" ca="1" si="31"/>
        <v>#NAME?</v>
      </c>
      <c r="W111" t="e">
        <f t="shared" ca="1" si="32"/>
        <v>#NAME?</v>
      </c>
      <c r="X111" t="e">
        <f t="shared" ca="1" si="33"/>
        <v>#NAME?</v>
      </c>
      <c r="Z111" s="15">
        <v>0.5</v>
      </c>
    </row>
    <row r="112" spans="1:26">
      <c r="A112" s="22" t="s">
        <v>197</v>
      </c>
      <c r="B112" s="91" t="s">
        <v>118</v>
      </c>
      <c r="C112" s="90" t="s">
        <v>118</v>
      </c>
      <c r="D112" s="25"/>
      <c r="E112" s="25"/>
      <c r="F112" s="25"/>
      <c r="G112" s="25"/>
      <c r="H112" s="25"/>
      <c r="J112" t="e">
        <f t="shared" ca="1" si="20"/>
        <v>#NAME?</v>
      </c>
      <c r="K112" t="e">
        <f t="shared" ca="1" si="21"/>
        <v>#NAME?</v>
      </c>
      <c r="L112" t="e">
        <f t="shared" ca="1" si="22"/>
        <v>#NAME?</v>
      </c>
      <c r="M112" t="e">
        <f t="shared" ca="1" si="23"/>
        <v>#NAME?</v>
      </c>
      <c r="N112" t="e">
        <f t="shared" ca="1" si="24"/>
        <v>#NAME?</v>
      </c>
      <c r="O112" t="e">
        <f t="shared" ca="1" si="25"/>
        <v>#NAME?</v>
      </c>
      <c r="P112" t="e">
        <f t="shared" ca="1" si="26"/>
        <v>#NAME?</v>
      </c>
      <c r="R112" t="e">
        <f t="shared" ca="1" si="27"/>
        <v>#NAME?</v>
      </c>
      <c r="S112" t="e">
        <f t="shared" ca="1" si="28"/>
        <v>#NAME?</v>
      </c>
      <c r="T112" t="e">
        <f t="shared" ca="1" si="29"/>
        <v>#NAME?</v>
      </c>
      <c r="U112" t="e">
        <f t="shared" ca="1" si="30"/>
        <v>#NAME?</v>
      </c>
      <c r="V112" t="e">
        <f t="shared" ca="1" si="31"/>
        <v>#NAME?</v>
      </c>
      <c r="W112" t="e">
        <f t="shared" ca="1" si="32"/>
        <v>#NAME?</v>
      </c>
      <c r="X112" t="e">
        <f t="shared" ca="1" si="33"/>
        <v>#NAME?</v>
      </c>
      <c r="Z112" s="15">
        <v>0.5</v>
      </c>
    </row>
    <row r="113" spans="1:26">
      <c r="A113" s="22" t="s">
        <v>199</v>
      </c>
      <c r="B113" s="25"/>
      <c r="C113" s="25"/>
      <c r="D113" s="112"/>
      <c r="E113" s="25"/>
      <c r="F113" s="25"/>
      <c r="G113" s="112"/>
      <c r="H113" s="44" t="s">
        <v>189</v>
      </c>
      <c r="J113" t="e">
        <f t="shared" ca="1" si="20"/>
        <v>#NAME?</v>
      </c>
      <c r="K113" t="e">
        <f t="shared" ca="1" si="21"/>
        <v>#NAME?</v>
      </c>
      <c r="L113" t="e">
        <f t="shared" ca="1" si="22"/>
        <v>#NAME?</v>
      </c>
      <c r="M113" t="e">
        <f t="shared" ca="1" si="23"/>
        <v>#NAME?</v>
      </c>
      <c r="N113" t="e">
        <f t="shared" ca="1" si="24"/>
        <v>#NAME?</v>
      </c>
      <c r="O113" t="e">
        <f t="shared" ca="1" si="25"/>
        <v>#NAME?</v>
      </c>
      <c r="P113" t="e">
        <f t="shared" ca="1" si="26"/>
        <v>#NAME?</v>
      </c>
      <c r="R113" t="e">
        <f t="shared" ca="1" si="27"/>
        <v>#NAME?</v>
      </c>
      <c r="S113" t="e">
        <f t="shared" ca="1" si="28"/>
        <v>#NAME?</v>
      </c>
      <c r="T113" t="e">
        <f t="shared" ca="1" si="29"/>
        <v>#NAME?</v>
      </c>
      <c r="U113" t="e">
        <f t="shared" ca="1" si="30"/>
        <v>#NAME?</v>
      </c>
      <c r="V113" t="e">
        <f t="shared" ca="1" si="31"/>
        <v>#NAME?</v>
      </c>
      <c r="W113" t="e">
        <f t="shared" ca="1" si="32"/>
        <v>#NAME?</v>
      </c>
      <c r="X113" t="e">
        <f t="shared" ca="1" si="33"/>
        <v>#NAME?</v>
      </c>
      <c r="Z113" s="15">
        <v>0.5</v>
      </c>
    </row>
    <row r="114" spans="1:26">
      <c r="A114" s="22" t="s">
        <v>200</v>
      </c>
      <c r="B114" s="25"/>
      <c r="C114" s="25"/>
      <c r="D114" s="101" t="s">
        <v>116</v>
      </c>
      <c r="E114" s="91" t="s">
        <v>116</v>
      </c>
      <c r="F114" s="25"/>
      <c r="G114" s="110" t="s">
        <v>142</v>
      </c>
      <c r="H114" s="44" t="s">
        <v>186</v>
      </c>
      <c r="J114" t="e">
        <f t="shared" ca="1" si="20"/>
        <v>#NAME?</v>
      </c>
      <c r="K114" t="e">
        <f t="shared" ca="1" si="21"/>
        <v>#NAME?</v>
      </c>
      <c r="L114" t="e">
        <f t="shared" ca="1" si="22"/>
        <v>#NAME?</v>
      </c>
      <c r="M114" t="e">
        <f t="shared" ca="1" si="23"/>
        <v>#NAME?</v>
      </c>
      <c r="N114" t="e">
        <f t="shared" ca="1" si="24"/>
        <v>#NAME?</v>
      </c>
      <c r="O114" t="e">
        <f t="shared" ca="1" si="25"/>
        <v>#NAME?</v>
      </c>
      <c r="P114" t="e">
        <f t="shared" ca="1" si="26"/>
        <v>#NAME?</v>
      </c>
      <c r="R114" t="e">
        <f t="shared" ca="1" si="27"/>
        <v>#NAME?</v>
      </c>
      <c r="S114" t="e">
        <f t="shared" ca="1" si="28"/>
        <v>#NAME?</v>
      </c>
      <c r="T114" t="e">
        <f t="shared" ca="1" si="29"/>
        <v>#NAME?</v>
      </c>
      <c r="U114" t="e">
        <f t="shared" ca="1" si="30"/>
        <v>#NAME?</v>
      </c>
      <c r="V114" t="e">
        <f t="shared" ca="1" si="31"/>
        <v>#NAME?</v>
      </c>
      <c r="W114" t="e">
        <f t="shared" ca="1" si="32"/>
        <v>#NAME?</v>
      </c>
      <c r="X114" t="e">
        <f t="shared" ca="1" si="33"/>
        <v>#NAME?</v>
      </c>
      <c r="Z114" s="15">
        <v>1</v>
      </c>
    </row>
    <row r="115" spans="1:26">
      <c r="A115" s="22" t="s">
        <v>201</v>
      </c>
      <c r="B115" s="90" t="s">
        <v>116</v>
      </c>
      <c r="C115" s="25"/>
      <c r="D115" s="91" t="s">
        <v>118</v>
      </c>
      <c r="E115" s="25" t="s">
        <v>328</v>
      </c>
      <c r="F115" s="25" t="s">
        <v>328</v>
      </c>
      <c r="G115" s="90" t="s">
        <v>116</v>
      </c>
      <c r="H115" s="25"/>
      <c r="J115" t="e">
        <f t="shared" ca="1" si="20"/>
        <v>#NAME?</v>
      </c>
      <c r="K115" t="e">
        <f t="shared" ca="1" si="21"/>
        <v>#NAME?</v>
      </c>
      <c r="L115" t="e">
        <f t="shared" ca="1" si="22"/>
        <v>#NAME?</v>
      </c>
      <c r="M115" t="e">
        <f t="shared" ca="1" si="23"/>
        <v>#NAME?</v>
      </c>
      <c r="N115" t="e">
        <f t="shared" ca="1" si="24"/>
        <v>#NAME?</v>
      </c>
      <c r="O115" t="e">
        <f t="shared" ca="1" si="25"/>
        <v>#NAME?</v>
      </c>
      <c r="P115" t="e">
        <f t="shared" ca="1" si="26"/>
        <v>#NAME?</v>
      </c>
      <c r="R115" t="e">
        <f t="shared" ca="1" si="27"/>
        <v>#NAME?</v>
      </c>
      <c r="S115" t="e">
        <f t="shared" ca="1" si="28"/>
        <v>#NAME?</v>
      </c>
      <c r="T115" t="e">
        <f t="shared" ca="1" si="29"/>
        <v>#NAME?</v>
      </c>
      <c r="U115" t="e">
        <f t="shared" ca="1" si="30"/>
        <v>#NAME?</v>
      </c>
      <c r="V115" t="e">
        <f t="shared" ca="1" si="31"/>
        <v>#NAME?</v>
      </c>
      <c r="W115" t="e">
        <f t="shared" ca="1" si="32"/>
        <v>#NAME?</v>
      </c>
      <c r="X115" t="e">
        <f t="shared" ca="1" si="33"/>
        <v>#NAME?</v>
      </c>
      <c r="Z115" s="15">
        <v>1</v>
      </c>
    </row>
    <row r="116" spans="1:26">
      <c r="A116" s="22" t="s">
        <v>202</v>
      </c>
      <c r="B116" s="127" t="s">
        <v>18</v>
      </c>
      <c r="C116" s="128"/>
      <c r="D116" s="128"/>
      <c r="E116" s="128"/>
      <c r="F116" s="128"/>
      <c r="G116" s="128"/>
      <c r="H116" s="129"/>
      <c r="J116" t="e">
        <f t="shared" ca="1" si="20"/>
        <v>#NAME?</v>
      </c>
      <c r="K116" t="e">
        <f t="shared" ca="1" si="21"/>
        <v>#NAME?</v>
      </c>
      <c r="L116" t="e">
        <f t="shared" ca="1" si="22"/>
        <v>#NAME?</v>
      </c>
      <c r="M116" t="e">
        <f t="shared" ca="1" si="23"/>
        <v>#NAME?</v>
      </c>
      <c r="N116" t="e">
        <f t="shared" ca="1" si="24"/>
        <v>#NAME?</v>
      </c>
      <c r="O116" t="e">
        <f t="shared" ca="1" si="25"/>
        <v>#NAME?</v>
      </c>
      <c r="P116" t="e">
        <f t="shared" ca="1" si="26"/>
        <v>#NAME?</v>
      </c>
      <c r="R116" t="e">
        <f t="shared" ca="1" si="27"/>
        <v>#NAME?</v>
      </c>
      <c r="S116" t="e">
        <f t="shared" ca="1" si="28"/>
        <v>#NAME?</v>
      </c>
      <c r="T116" t="e">
        <f t="shared" ca="1" si="29"/>
        <v>#NAME?</v>
      </c>
      <c r="U116" t="e">
        <f t="shared" ca="1" si="30"/>
        <v>#NAME?</v>
      </c>
      <c r="V116" t="e">
        <f t="shared" ca="1" si="31"/>
        <v>#NAME?</v>
      </c>
      <c r="W116" t="e">
        <f t="shared" ca="1" si="32"/>
        <v>#NAME?</v>
      </c>
      <c r="X116" t="e">
        <f t="shared" ca="1" si="33"/>
        <v>#NAME?</v>
      </c>
      <c r="Z116" s="15">
        <v>1</v>
      </c>
    </row>
    <row r="117" spans="1:26">
      <c r="A117" s="42" t="s">
        <v>203</v>
      </c>
      <c r="B117" s="91" t="s">
        <v>118</v>
      </c>
      <c r="C117" s="91" t="s">
        <v>118</v>
      </c>
      <c r="D117" s="90" t="s">
        <v>118</v>
      </c>
      <c r="E117" s="110" t="s">
        <v>139</v>
      </c>
      <c r="F117" s="28" t="s">
        <v>115</v>
      </c>
      <c r="G117" s="25"/>
      <c r="H117" s="25"/>
      <c r="J117" t="e">
        <f t="shared" ca="1" si="20"/>
        <v>#NAME?</v>
      </c>
      <c r="K117" t="e">
        <f t="shared" ca="1" si="21"/>
        <v>#NAME?</v>
      </c>
      <c r="L117" t="e">
        <f t="shared" ca="1" si="22"/>
        <v>#NAME?</v>
      </c>
      <c r="M117" t="e">
        <f t="shared" ca="1" si="23"/>
        <v>#NAME?</v>
      </c>
      <c r="N117" t="e">
        <f t="shared" ca="1" si="24"/>
        <v>#NAME?</v>
      </c>
      <c r="O117" t="e">
        <f t="shared" ca="1" si="25"/>
        <v>#NAME?</v>
      </c>
      <c r="P117" t="e">
        <f t="shared" ca="1" si="26"/>
        <v>#NAME?</v>
      </c>
      <c r="R117" t="e">
        <f t="shared" ca="1" si="27"/>
        <v>#NAME?</v>
      </c>
      <c r="S117" t="e">
        <f t="shared" ca="1" si="28"/>
        <v>#NAME?</v>
      </c>
      <c r="T117" t="e">
        <f t="shared" ca="1" si="29"/>
        <v>#NAME?</v>
      </c>
      <c r="U117" t="e">
        <f t="shared" ca="1" si="30"/>
        <v>#NAME?</v>
      </c>
      <c r="V117" t="e">
        <f t="shared" ca="1" si="31"/>
        <v>#NAME?</v>
      </c>
      <c r="W117" t="e">
        <f t="shared" ca="1" si="32"/>
        <v>#NAME?</v>
      </c>
      <c r="X117" t="e">
        <f t="shared" ca="1" si="33"/>
        <v>#NAME?</v>
      </c>
      <c r="Z117" s="15">
        <v>1</v>
      </c>
    </row>
    <row r="118" spans="1:26">
      <c r="A118" s="22" t="s">
        <v>204</v>
      </c>
      <c r="B118" s="25"/>
      <c r="C118" s="28" t="s">
        <v>115</v>
      </c>
      <c r="D118" s="25"/>
      <c r="E118" s="91" t="s">
        <v>118</v>
      </c>
      <c r="F118" s="90" t="s">
        <v>118</v>
      </c>
      <c r="G118" s="44" t="s">
        <v>189</v>
      </c>
      <c r="H118" s="91" t="s">
        <v>116</v>
      </c>
      <c r="J118" t="e">
        <f t="shared" ca="1" si="20"/>
        <v>#NAME?</v>
      </c>
      <c r="K118" t="e">
        <f t="shared" ca="1" si="21"/>
        <v>#NAME?</v>
      </c>
      <c r="L118" t="e">
        <f t="shared" ca="1" si="22"/>
        <v>#NAME?</v>
      </c>
      <c r="M118" t="e">
        <f t="shared" ca="1" si="23"/>
        <v>#NAME?</v>
      </c>
      <c r="N118" t="e">
        <f t="shared" ca="1" si="24"/>
        <v>#NAME?</v>
      </c>
      <c r="O118" t="e">
        <f t="shared" ca="1" si="25"/>
        <v>#NAME?</v>
      </c>
      <c r="P118" t="e">
        <f t="shared" ca="1" si="26"/>
        <v>#NAME?</v>
      </c>
      <c r="R118" t="e">
        <f t="shared" ca="1" si="27"/>
        <v>#NAME?</v>
      </c>
      <c r="S118" t="e">
        <f t="shared" ca="1" si="28"/>
        <v>#NAME?</v>
      </c>
      <c r="T118" t="e">
        <f t="shared" ca="1" si="29"/>
        <v>#NAME?</v>
      </c>
      <c r="U118" t="e">
        <f t="shared" ca="1" si="30"/>
        <v>#NAME?</v>
      </c>
      <c r="V118" t="e">
        <f t="shared" ca="1" si="31"/>
        <v>#NAME?</v>
      </c>
      <c r="W118" t="e">
        <f t="shared" ca="1" si="32"/>
        <v>#NAME?</v>
      </c>
      <c r="X118" t="e">
        <f t="shared" ca="1" si="33"/>
        <v>#NAME?</v>
      </c>
      <c r="Z118" s="15">
        <v>1</v>
      </c>
    </row>
    <row r="119" spans="1:26">
      <c r="A119" s="22" t="s">
        <v>205</v>
      </c>
      <c r="B119" s="127" t="s">
        <v>18</v>
      </c>
      <c r="C119" s="128"/>
      <c r="D119" s="128"/>
      <c r="E119" s="128"/>
      <c r="F119" s="128"/>
      <c r="G119" s="128"/>
      <c r="H119" s="129"/>
      <c r="J119" t="e">
        <f t="shared" ca="1" si="20"/>
        <v>#NAME?</v>
      </c>
      <c r="K119" t="e">
        <f t="shared" ca="1" si="21"/>
        <v>#NAME?</v>
      </c>
      <c r="L119" t="e">
        <f t="shared" ca="1" si="22"/>
        <v>#NAME?</v>
      </c>
      <c r="M119" t="e">
        <f t="shared" ca="1" si="23"/>
        <v>#NAME?</v>
      </c>
      <c r="N119" t="e">
        <f t="shared" ca="1" si="24"/>
        <v>#NAME?</v>
      </c>
      <c r="O119" t="e">
        <f t="shared" ca="1" si="25"/>
        <v>#NAME?</v>
      </c>
      <c r="P119" t="e">
        <f t="shared" ca="1" si="26"/>
        <v>#NAME?</v>
      </c>
      <c r="R119" t="e">
        <f t="shared" ca="1" si="27"/>
        <v>#NAME?</v>
      </c>
      <c r="S119" t="e">
        <f t="shared" ca="1" si="28"/>
        <v>#NAME?</v>
      </c>
      <c r="T119" t="e">
        <f t="shared" ca="1" si="29"/>
        <v>#NAME?</v>
      </c>
      <c r="U119" t="e">
        <f t="shared" ca="1" si="30"/>
        <v>#NAME?</v>
      </c>
      <c r="V119" t="e">
        <f t="shared" ca="1" si="31"/>
        <v>#NAME?</v>
      </c>
      <c r="W119" t="e">
        <f t="shared" ca="1" si="32"/>
        <v>#NAME?</v>
      </c>
      <c r="X119" t="e">
        <f t="shared" ca="1" si="33"/>
        <v>#NAME?</v>
      </c>
      <c r="Z119" s="15">
        <v>1</v>
      </c>
    </row>
    <row r="120" spans="1:26">
      <c r="A120" s="22" t="s">
        <v>206</v>
      </c>
      <c r="B120" s="25"/>
      <c r="C120" s="25" t="s">
        <v>152</v>
      </c>
      <c r="D120" s="25" t="s">
        <v>152</v>
      </c>
      <c r="E120" s="25" t="s">
        <v>152</v>
      </c>
      <c r="F120" s="25" t="s">
        <v>152</v>
      </c>
      <c r="G120" s="25"/>
      <c r="H120" s="25"/>
      <c r="J120" t="e">
        <f t="shared" ca="1" si="20"/>
        <v>#NAME?</v>
      </c>
      <c r="K120" t="e">
        <f t="shared" ca="1" si="21"/>
        <v>#NAME?</v>
      </c>
      <c r="L120" t="e">
        <f t="shared" ca="1" si="22"/>
        <v>#NAME?</v>
      </c>
      <c r="M120" t="e">
        <f t="shared" ca="1" si="23"/>
        <v>#NAME?</v>
      </c>
      <c r="N120" t="e">
        <f t="shared" ca="1" si="24"/>
        <v>#NAME?</v>
      </c>
      <c r="O120" t="e">
        <f t="shared" ca="1" si="25"/>
        <v>#NAME?</v>
      </c>
      <c r="P120" t="e">
        <f t="shared" ca="1" si="26"/>
        <v>#NAME?</v>
      </c>
      <c r="R120" t="e">
        <f t="shared" ca="1" si="27"/>
        <v>#NAME?</v>
      </c>
      <c r="S120" t="e">
        <f t="shared" ca="1" si="28"/>
        <v>#NAME?</v>
      </c>
      <c r="T120" t="e">
        <f t="shared" ca="1" si="29"/>
        <v>#NAME?</v>
      </c>
      <c r="U120" t="e">
        <f t="shared" ca="1" si="30"/>
        <v>#NAME?</v>
      </c>
      <c r="V120" t="e">
        <f t="shared" ca="1" si="31"/>
        <v>#NAME?</v>
      </c>
      <c r="W120" t="e">
        <f t="shared" ca="1" si="32"/>
        <v>#NAME?</v>
      </c>
      <c r="X120" t="e">
        <f t="shared" ca="1" si="33"/>
        <v>#NAME?</v>
      </c>
      <c r="Z120" s="15">
        <v>1</v>
      </c>
    </row>
    <row r="121" spans="1:26">
      <c r="A121" s="22" t="s">
        <v>207</v>
      </c>
      <c r="B121" s="25" t="s">
        <v>152</v>
      </c>
      <c r="C121" s="25"/>
      <c r="D121" s="25"/>
      <c r="E121" s="25"/>
      <c r="F121" s="91" t="s">
        <v>118</v>
      </c>
      <c r="G121" s="25"/>
      <c r="H121" s="25"/>
      <c r="J121" t="e">
        <f t="shared" ca="1" si="20"/>
        <v>#NAME?</v>
      </c>
      <c r="K121" t="e">
        <f t="shared" ca="1" si="21"/>
        <v>#NAME?</v>
      </c>
      <c r="L121" t="e">
        <f t="shared" ca="1" si="22"/>
        <v>#NAME?</v>
      </c>
      <c r="M121" t="e">
        <f t="shared" ca="1" si="23"/>
        <v>#NAME?</v>
      </c>
      <c r="N121" t="e">
        <f t="shared" ca="1" si="24"/>
        <v>#NAME?</v>
      </c>
      <c r="O121" t="e">
        <f t="shared" ca="1" si="25"/>
        <v>#NAME?</v>
      </c>
      <c r="P121" t="e">
        <f t="shared" ca="1" si="26"/>
        <v>#NAME?</v>
      </c>
      <c r="R121" t="e">
        <f t="shared" ca="1" si="27"/>
        <v>#NAME?</v>
      </c>
      <c r="S121" t="e">
        <f t="shared" ca="1" si="28"/>
        <v>#NAME?</v>
      </c>
      <c r="T121" t="e">
        <f t="shared" ca="1" si="29"/>
        <v>#NAME?</v>
      </c>
      <c r="U121" t="e">
        <f t="shared" ca="1" si="30"/>
        <v>#NAME?</v>
      </c>
      <c r="V121" t="e">
        <f t="shared" ca="1" si="31"/>
        <v>#NAME?</v>
      </c>
      <c r="W121" t="e">
        <f t="shared" ca="1" si="32"/>
        <v>#NAME?</v>
      </c>
      <c r="X121" t="e">
        <f t="shared" ca="1" si="33"/>
        <v>#NAME?</v>
      </c>
      <c r="Z121" s="15">
        <v>0.5</v>
      </c>
    </row>
    <row r="122" spans="1:26">
      <c r="A122" s="22" t="s">
        <v>208</v>
      </c>
      <c r="B122" s="25"/>
      <c r="C122" s="90" t="s">
        <v>118</v>
      </c>
      <c r="D122" s="91" t="s">
        <v>116</v>
      </c>
      <c r="E122" s="25"/>
      <c r="F122" s="25"/>
      <c r="G122" s="25"/>
      <c r="H122" s="25"/>
      <c r="J122" t="e">
        <f t="shared" ca="1" si="20"/>
        <v>#NAME?</v>
      </c>
      <c r="K122" t="e">
        <f t="shared" ca="1" si="21"/>
        <v>#NAME?</v>
      </c>
      <c r="L122" t="e">
        <f t="shared" ca="1" si="22"/>
        <v>#NAME?</v>
      </c>
      <c r="M122" t="e">
        <f t="shared" ca="1" si="23"/>
        <v>#NAME?</v>
      </c>
      <c r="N122" t="e">
        <f t="shared" ca="1" si="24"/>
        <v>#NAME?</v>
      </c>
      <c r="O122" t="e">
        <f t="shared" ca="1" si="25"/>
        <v>#NAME?</v>
      </c>
      <c r="P122" t="e">
        <f t="shared" ca="1" si="26"/>
        <v>#NAME?</v>
      </c>
      <c r="R122" t="e">
        <f t="shared" ca="1" si="27"/>
        <v>#NAME?</v>
      </c>
      <c r="S122" t="e">
        <f t="shared" ca="1" si="28"/>
        <v>#NAME?</v>
      </c>
      <c r="T122" t="e">
        <f t="shared" ca="1" si="29"/>
        <v>#NAME?</v>
      </c>
      <c r="U122" t="e">
        <f t="shared" ca="1" si="30"/>
        <v>#NAME?</v>
      </c>
      <c r="V122" t="e">
        <f t="shared" ca="1" si="31"/>
        <v>#NAME?</v>
      </c>
      <c r="W122" t="e">
        <f t="shared" ca="1" si="32"/>
        <v>#NAME?</v>
      </c>
      <c r="X122" t="e">
        <f t="shared" ca="1" si="33"/>
        <v>#NAME?</v>
      </c>
      <c r="Z122" s="15">
        <v>0.5</v>
      </c>
    </row>
    <row r="123" spans="1:26">
      <c r="A123" s="22" t="s">
        <v>209</v>
      </c>
      <c r="B123" s="25"/>
      <c r="C123" s="25"/>
      <c r="D123" s="25"/>
      <c r="E123" s="25"/>
      <c r="F123" s="25"/>
      <c r="G123" s="109" t="s">
        <v>73</v>
      </c>
      <c r="H123" s="91" t="s">
        <v>118</v>
      </c>
      <c r="J123" t="e">
        <f t="shared" ca="1" si="20"/>
        <v>#NAME?</v>
      </c>
      <c r="K123" t="e">
        <f t="shared" ca="1" si="21"/>
        <v>#NAME?</v>
      </c>
      <c r="L123" t="e">
        <f t="shared" ca="1" si="22"/>
        <v>#NAME?</v>
      </c>
      <c r="M123" t="e">
        <f t="shared" ca="1" si="23"/>
        <v>#NAME?</v>
      </c>
      <c r="N123" t="e">
        <f t="shared" ca="1" si="24"/>
        <v>#NAME?</v>
      </c>
      <c r="O123" t="e">
        <f t="shared" ca="1" si="25"/>
        <v>#NAME?</v>
      </c>
      <c r="P123" t="e">
        <f t="shared" ca="1" si="26"/>
        <v>#NAME?</v>
      </c>
      <c r="R123" t="e">
        <f t="shared" ca="1" si="27"/>
        <v>#NAME?</v>
      </c>
      <c r="S123" t="e">
        <f t="shared" ca="1" si="28"/>
        <v>#NAME?</v>
      </c>
      <c r="T123" t="e">
        <f t="shared" ca="1" si="29"/>
        <v>#NAME?</v>
      </c>
      <c r="U123" t="e">
        <f t="shared" ca="1" si="30"/>
        <v>#NAME?</v>
      </c>
      <c r="V123" t="e">
        <f t="shared" ca="1" si="31"/>
        <v>#NAME?</v>
      </c>
      <c r="W123" t="e">
        <f t="shared" ca="1" si="32"/>
        <v>#NAME?</v>
      </c>
      <c r="X123" t="e">
        <f t="shared" ca="1" si="33"/>
        <v>#NAME?</v>
      </c>
      <c r="Z123" s="15">
        <v>0.5</v>
      </c>
    </row>
    <row r="124" spans="1:26">
      <c r="A124" s="22" t="s">
        <v>210</v>
      </c>
      <c r="B124" s="25"/>
      <c r="C124" s="25"/>
      <c r="D124" s="25"/>
      <c r="E124" s="25"/>
      <c r="F124" s="25"/>
      <c r="G124" s="25" t="s">
        <v>152</v>
      </c>
      <c r="H124" s="25" t="s">
        <v>152</v>
      </c>
      <c r="J124" t="e">
        <f t="shared" ca="1" si="20"/>
        <v>#NAME?</v>
      </c>
      <c r="K124" t="e">
        <f t="shared" ca="1" si="21"/>
        <v>#NAME?</v>
      </c>
      <c r="L124" t="e">
        <f t="shared" ca="1" si="22"/>
        <v>#NAME?</v>
      </c>
      <c r="M124" t="e">
        <f t="shared" ca="1" si="23"/>
        <v>#NAME?</v>
      </c>
      <c r="N124" t="e">
        <f t="shared" ca="1" si="24"/>
        <v>#NAME?</v>
      </c>
      <c r="O124" t="e">
        <f t="shared" ca="1" si="25"/>
        <v>#NAME?</v>
      </c>
      <c r="P124" t="e">
        <f t="shared" ca="1" si="26"/>
        <v>#NAME?</v>
      </c>
      <c r="R124" t="e">
        <f t="shared" ca="1" si="27"/>
        <v>#NAME?</v>
      </c>
      <c r="S124" t="e">
        <f t="shared" ca="1" si="28"/>
        <v>#NAME?</v>
      </c>
      <c r="T124" t="e">
        <f t="shared" ca="1" si="29"/>
        <v>#NAME?</v>
      </c>
      <c r="U124" t="e">
        <f t="shared" ca="1" si="30"/>
        <v>#NAME?</v>
      </c>
      <c r="V124" t="e">
        <f t="shared" ca="1" si="31"/>
        <v>#NAME?</v>
      </c>
      <c r="W124" t="e">
        <f t="shared" ca="1" si="32"/>
        <v>#NAME?</v>
      </c>
      <c r="X124" t="e">
        <f t="shared" ca="1" si="33"/>
        <v>#NAME?</v>
      </c>
      <c r="Z124" s="15">
        <v>0.5</v>
      </c>
    </row>
    <row r="125" spans="1:26">
      <c r="A125" s="22" t="s">
        <v>212</v>
      </c>
      <c r="B125" s="90" t="s">
        <v>118</v>
      </c>
      <c r="C125" s="110" t="s">
        <v>142</v>
      </c>
      <c r="D125" s="28" t="s">
        <v>119</v>
      </c>
      <c r="E125" s="25"/>
      <c r="F125" s="25"/>
      <c r="G125" s="25" t="s">
        <v>152</v>
      </c>
      <c r="H125" s="25" t="s">
        <v>152</v>
      </c>
      <c r="J125" t="e">
        <f t="shared" ca="1" si="20"/>
        <v>#NAME?</v>
      </c>
      <c r="K125" t="e">
        <f t="shared" ca="1" si="21"/>
        <v>#NAME?</v>
      </c>
      <c r="L125" t="e">
        <f t="shared" ca="1" si="22"/>
        <v>#NAME?</v>
      </c>
      <c r="M125" t="e">
        <f t="shared" ca="1" si="23"/>
        <v>#NAME?</v>
      </c>
      <c r="N125" t="e">
        <f t="shared" ca="1" si="24"/>
        <v>#NAME?</v>
      </c>
      <c r="O125" t="e">
        <f t="shared" ca="1" si="25"/>
        <v>#NAME?</v>
      </c>
      <c r="P125" t="e">
        <f t="shared" ca="1" si="26"/>
        <v>#NAME?</v>
      </c>
      <c r="R125" t="e">
        <f t="shared" ca="1" si="27"/>
        <v>#NAME?</v>
      </c>
      <c r="S125" t="e">
        <f t="shared" ca="1" si="28"/>
        <v>#NAME?</v>
      </c>
      <c r="T125" t="e">
        <f t="shared" ca="1" si="29"/>
        <v>#NAME?</v>
      </c>
      <c r="U125" t="e">
        <f t="shared" ca="1" si="30"/>
        <v>#NAME?</v>
      </c>
      <c r="V125" t="e">
        <f t="shared" ca="1" si="31"/>
        <v>#NAME?</v>
      </c>
      <c r="W125" t="e">
        <f t="shared" ca="1" si="32"/>
        <v>#NAME?</v>
      </c>
      <c r="X125" t="e">
        <f t="shared" ca="1" si="33"/>
        <v>#NAME?</v>
      </c>
      <c r="Z125" s="15">
        <v>1</v>
      </c>
    </row>
    <row r="126" spans="1:26">
      <c r="A126" s="22" t="s">
        <v>213</v>
      </c>
      <c r="B126" s="25"/>
      <c r="C126" s="25"/>
      <c r="D126" s="90" t="s">
        <v>118</v>
      </c>
      <c r="E126" s="91" t="s">
        <v>118</v>
      </c>
      <c r="F126" s="109" t="s">
        <v>73</v>
      </c>
      <c r="G126" s="25"/>
      <c r="H126" s="25"/>
      <c r="J126" t="e">
        <f t="shared" ca="1" si="20"/>
        <v>#NAME?</v>
      </c>
      <c r="K126" t="e">
        <f t="shared" ca="1" si="21"/>
        <v>#NAME?</v>
      </c>
      <c r="L126" t="e">
        <f t="shared" ca="1" si="22"/>
        <v>#NAME?</v>
      </c>
      <c r="M126" t="e">
        <f t="shared" ca="1" si="23"/>
        <v>#NAME?</v>
      </c>
      <c r="N126" t="e">
        <f t="shared" ca="1" si="24"/>
        <v>#NAME?</v>
      </c>
      <c r="O126" t="e">
        <f t="shared" ca="1" si="25"/>
        <v>#NAME?</v>
      </c>
      <c r="P126" t="e">
        <f t="shared" ca="1" si="26"/>
        <v>#NAME?</v>
      </c>
      <c r="R126" t="e">
        <f t="shared" ca="1" si="27"/>
        <v>#NAME?</v>
      </c>
      <c r="S126" t="e">
        <f t="shared" ca="1" si="28"/>
        <v>#NAME?</v>
      </c>
      <c r="T126" t="e">
        <f t="shared" ca="1" si="29"/>
        <v>#NAME?</v>
      </c>
      <c r="U126" t="e">
        <f t="shared" ca="1" si="30"/>
        <v>#NAME?</v>
      </c>
      <c r="V126" t="e">
        <f t="shared" ca="1" si="31"/>
        <v>#NAME?</v>
      </c>
      <c r="W126" t="e">
        <f t="shared" ca="1" si="32"/>
        <v>#NAME?</v>
      </c>
      <c r="X126" t="e">
        <f t="shared" ca="1" si="33"/>
        <v>#NAME?</v>
      </c>
      <c r="Z126" s="15">
        <v>1</v>
      </c>
    </row>
    <row r="127" spans="1:26">
      <c r="A127" s="106" t="s">
        <v>329</v>
      </c>
      <c r="B127" s="107" t="str">
        <f t="shared" ref="B127:H127" si="36">B58</f>
        <v>Mon 25 May</v>
      </c>
      <c r="C127" s="107" t="str">
        <f t="shared" si="36"/>
        <v>Tues 26 May</v>
      </c>
      <c r="D127" s="107" t="str">
        <f t="shared" si="36"/>
        <v>Wed 27 May</v>
      </c>
      <c r="E127" s="107" t="str">
        <f t="shared" si="36"/>
        <v>Thu 28 May</v>
      </c>
      <c r="F127" s="107" t="str">
        <f t="shared" si="36"/>
        <v>Fri 29 May</v>
      </c>
      <c r="G127" s="107" t="str">
        <f t="shared" si="36"/>
        <v>Sat 30 May</v>
      </c>
      <c r="H127" s="107" t="str">
        <f t="shared" si="36"/>
        <v>Sun 31 May</v>
      </c>
      <c r="J127" t="e">
        <f t="shared" ca="1" si="20"/>
        <v>#NAME?</v>
      </c>
      <c r="K127" t="e">
        <f t="shared" ca="1" si="21"/>
        <v>#NAME?</v>
      </c>
      <c r="L127" t="e">
        <f t="shared" ca="1" si="22"/>
        <v>#NAME?</v>
      </c>
      <c r="M127" t="e">
        <f t="shared" ca="1" si="23"/>
        <v>#NAME?</v>
      </c>
      <c r="N127" t="e">
        <f t="shared" ca="1" si="24"/>
        <v>#NAME?</v>
      </c>
      <c r="O127" t="e">
        <f t="shared" ca="1" si="25"/>
        <v>#NAME?</v>
      </c>
      <c r="P127" t="e">
        <f t="shared" ca="1" si="26"/>
        <v>#NAME?</v>
      </c>
      <c r="R127" t="e">
        <f t="shared" ca="1" si="27"/>
        <v>#NAME?</v>
      </c>
      <c r="S127" t="e">
        <f t="shared" ca="1" si="28"/>
        <v>#NAME?</v>
      </c>
      <c r="T127" t="e">
        <f t="shared" ca="1" si="29"/>
        <v>#NAME?</v>
      </c>
      <c r="U127" t="e">
        <f t="shared" ca="1" si="30"/>
        <v>#NAME?</v>
      </c>
      <c r="V127" t="e">
        <f t="shared" ca="1" si="31"/>
        <v>#NAME?</v>
      </c>
      <c r="W127" t="e">
        <f t="shared" ca="1" si="32"/>
        <v>#NAME?</v>
      </c>
      <c r="X127" t="e">
        <f t="shared" ca="1" si="33"/>
        <v>#NAME?</v>
      </c>
      <c r="Z127" s="53"/>
    </row>
    <row r="128" spans="1:26">
      <c r="A128" s="22" t="s">
        <v>215</v>
      </c>
      <c r="B128" s="25" t="s">
        <v>152</v>
      </c>
      <c r="C128" s="25"/>
      <c r="D128" s="25"/>
      <c r="E128" s="25" t="s">
        <v>308</v>
      </c>
      <c r="F128" s="90" t="s">
        <v>118</v>
      </c>
      <c r="G128" s="25"/>
      <c r="H128" s="25"/>
      <c r="J128" t="e">
        <f t="shared" ca="1" si="20"/>
        <v>#NAME?</v>
      </c>
      <c r="K128" t="e">
        <f t="shared" ca="1" si="21"/>
        <v>#NAME?</v>
      </c>
      <c r="L128" t="e">
        <f t="shared" ca="1" si="22"/>
        <v>#NAME?</v>
      </c>
      <c r="M128" t="e">
        <f t="shared" ca="1" si="23"/>
        <v>#NAME?</v>
      </c>
      <c r="N128" t="e">
        <f t="shared" ca="1" si="24"/>
        <v>#NAME?</v>
      </c>
      <c r="O128" t="e">
        <f t="shared" ca="1" si="25"/>
        <v>#NAME?</v>
      </c>
      <c r="P128" t="e">
        <f t="shared" ca="1" si="26"/>
        <v>#NAME?</v>
      </c>
      <c r="R128" t="e">
        <f t="shared" ca="1" si="27"/>
        <v>#NAME?</v>
      </c>
      <c r="S128" t="e">
        <f t="shared" ca="1" si="28"/>
        <v>#NAME?</v>
      </c>
      <c r="T128" t="e">
        <f t="shared" ca="1" si="29"/>
        <v>#NAME?</v>
      </c>
      <c r="U128" t="e">
        <f t="shared" ca="1" si="30"/>
        <v>#NAME?</v>
      </c>
      <c r="V128" t="e">
        <f t="shared" ca="1" si="31"/>
        <v>#NAME?</v>
      </c>
      <c r="W128" t="e">
        <f t="shared" ca="1" si="32"/>
        <v>#NAME?</v>
      </c>
      <c r="X128" t="e">
        <f t="shared" ca="1" si="33"/>
        <v>#NAME?</v>
      </c>
      <c r="Z128" s="15">
        <v>1</v>
      </c>
    </row>
    <row r="129" spans="1:34">
      <c r="A129" s="22" t="s">
        <v>216</v>
      </c>
      <c r="B129" s="90" t="s">
        <v>116</v>
      </c>
      <c r="C129" s="110" t="s">
        <v>139</v>
      </c>
      <c r="D129" s="25"/>
      <c r="E129" s="101" t="s">
        <v>116</v>
      </c>
      <c r="F129" s="91" t="s">
        <v>116</v>
      </c>
      <c r="G129" s="25"/>
      <c r="H129" s="25"/>
      <c r="J129" t="e">
        <f t="shared" ca="1" si="20"/>
        <v>#NAME?</v>
      </c>
      <c r="K129" t="e">
        <f t="shared" ca="1" si="21"/>
        <v>#NAME?</v>
      </c>
      <c r="L129" t="e">
        <f t="shared" ca="1" si="22"/>
        <v>#NAME?</v>
      </c>
      <c r="M129" t="e">
        <f t="shared" ca="1" si="23"/>
        <v>#NAME?</v>
      </c>
      <c r="N129" t="e">
        <f t="shared" ca="1" si="24"/>
        <v>#NAME?</v>
      </c>
      <c r="O129" t="e">
        <f t="shared" ca="1" si="25"/>
        <v>#NAME?</v>
      </c>
      <c r="P129" t="e">
        <f t="shared" ca="1" si="26"/>
        <v>#NAME?</v>
      </c>
      <c r="R129" t="e">
        <f t="shared" ca="1" si="27"/>
        <v>#NAME?</v>
      </c>
      <c r="S129" t="e">
        <f t="shared" ca="1" si="28"/>
        <v>#NAME?</v>
      </c>
      <c r="T129" t="e">
        <f t="shared" ca="1" si="29"/>
        <v>#NAME?</v>
      </c>
      <c r="U129" t="e">
        <f t="shared" ca="1" si="30"/>
        <v>#NAME?</v>
      </c>
      <c r="V129" t="e">
        <f t="shared" ca="1" si="31"/>
        <v>#NAME?</v>
      </c>
      <c r="W129" t="e">
        <f t="shared" ca="1" si="32"/>
        <v>#NAME?</v>
      </c>
      <c r="X129" t="e">
        <f t="shared" ca="1" si="33"/>
        <v>#NAME?</v>
      </c>
      <c r="Z129" s="15">
        <v>1</v>
      </c>
    </row>
    <row r="130" spans="1:34">
      <c r="A130" s="22" t="s">
        <v>217</v>
      </c>
      <c r="B130" s="44" t="s">
        <v>189</v>
      </c>
      <c r="C130" s="25" t="s">
        <v>152</v>
      </c>
      <c r="D130" s="25" t="s">
        <v>152</v>
      </c>
      <c r="E130" s="25"/>
      <c r="F130" s="25"/>
      <c r="G130" s="25"/>
      <c r="H130" s="25"/>
      <c r="J130" t="e">
        <f t="shared" ca="1" si="20"/>
        <v>#NAME?</v>
      </c>
      <c r="K130" t="e">
        <f t="shared" ca="1" si="21"/>
        <v>#NAME?</v>
      </c>
      <c r="L130" t="e">
        <f t="shared" ca="1" si="22"/>
        <v>#NAME?</v>
      </c>
      <c r="M130" t="e">
        <f t="shared" ca="1" si="23"/>
        <v>#NAME?</v>
      </c>
      <c r="N130" t="e">
        <f t="shared" ca="1" si="24"/>
        <v>#NAME?</v>
      </c>
      <c r="O130" t="e">
        <f t="shared" ca="1" si="25"/>
        <v>#NAME?</v>
      </c>
      <c r="P130" t="e">
        <f t="shared" ca="1" si="26"/>
        <v>#NAME?</v>
      </c>
      <c r="R130" t="e">
        <f t="shared" ca="1" si="27"/>
        <v>#NAME?</v>
      </c>
      <c r="S130" t="e">
        <f t="shared" ca="1" si="28"/>
        <v>#NAME?</v>
      </c>
      <c r="T130" t="e">
        <f t="shared" ca="1" si="29"/>
        <v>#NAME?</v>
      </c>
      <c r="U130" t="e">
        <f t="shared" ca="1" si="30"/>
        <v>#NAME?</v>
      </c>
      <c r="V130" t="e">
        <f t="shared" ca="1" si="31"/>
        <v>#NAME?</v>
      </c>
      <c r="W130" t="e">
        <f t="shared" ca="1" si="32"/>
        <v>#NAME?</v>
      </c>
      <c r="X130" t="e">
        <f t="shared" ca="1" si="33"/>
        <v>#NAME?</v>
      </c>
      <c r="Z130" s="15">
        <v>1</v>
      </c>
    </row>
    <row r="131" spans="1:34">
      <c r="A131" s="22" t="s">
        <v>218</v>
      </c>
      <c r="B131" s="25"/>
      <c r="C131" s="101" t="s">
        <v>116</v>
      </c>
      <c r="D131" s="91" t="s">
        <v>116</v>
      </c>
      <c r="E131" s="25"/>
      <c r="F131" s="44" t="s">
        <v>186</v>
      </c>
      <c r="G131" s="90" t="s">
        <v>118</v>
      </c>
      <c r="H131" s="25"/>
      <c r="J131" t="e">
        <f t="shared" ca="1" si="20"/>
        <v>#NAME?</v>
      </c>
      <c r="K131" t="e">
        <f t="shared" ca="1" si="21"/>
        <v>#NAME?</v>
      </c>
      <c r="L131" t="e">
        <f t="shared" ca="1" si="22"/>
        <v>#NAME?</v>
      </c>
      <c r="M131" t="e">
        <f t="shared" ca="1" si="23"/>
        <v>#NAME?</v>
      </c>
      <c r="N131" t="e">
        <f t="shared" ca="1" si="24"/>
        <v>#NAME?</v>
      </c>
      <c r="O131" t="e">
        <f t="shared" ca="1" si="25"/>
        <v>#NAME?</v>
      </c>
      <c r="P131" t="e">
        <f t="shared" ca="1" si="26"/>
        <v>#NAME?</v>
      </c>
      <c r="R131" t="e">
        <f t="shared" ca="1" si="27"/>
        <v>#NAME?</v>
      </c>
      <c r="S131" t="e">
        <f t="shared" ca="1" si="28"/>
        <v>#NAME?</v>
      </c>
      <c r="T131" t="e">
        <f t="shared" ca="1" si="29"/>
        <v>#NAME?</v>
      </c>
      <c r="U131" t="e">
        <f t="shared" ca="1" si="30"/>
        <v>#NAME?</v>
      </c>
      <c r="V131" t="e">
        <f t="shared" ca="1" si="31"/>
        <v>#NAME?</v>
      </c>
      <c r="W131" t="e">
        <f t="shared" ca="1" si="32"/>
        <v>#NAME?</v>
      </c>
      <c r="X131" t="e">
        <f t="shared" ca="1" si="33"/>
        <v>#NAME?</v>
      </c>
      <c r="Z131" s="15">
        <v>1</v>
      </c>
    </row>
    <row r="132" spans="1:34">
      <c r="A132" s="22" t="s">
        <v>219</v>
      </c>
      <c r="B132" s="127" t="s">
        <v>18</v>
      </c>
      <c r="C132" s="128"/>
      <c r="D132" s="128"/>
      <c r="E132" s="128"/>
      <c r="F132" s="128"/>
      <c r="G132" s="128"/>
      <c r="H132" s="129"/>
      <c r="J132" t="e">
        <f t="shared" ref="J132:J141" ca="1" si="37">colorindex(B132)</f>
        <v>#NAME?</v>
      </c>
      <c r="K132" t="e">
        <f t="shared" ref="K132:K141" ca="1" si="38">colorindex(C132)</f>
        <v>#NAME?</v>
      </c>
      <c r="L132" t="e">
        <f t="shared" ref="L132:L141" ca="1" si="39">colorindex(D132)</f>
        <v>#NAME?</v>
      </c>
      <c r="M132" t="e">
        <f t="shared" ref="M132:M141" ca="1" si="40">colorindex(E132)</f>
        <v>#NAME?</v>
      </c>
      <c r="N132" t="e">
        <f t="shared" ref="N132:N141" ca="1" si="41">colorindex(F132)</f>
        <v>#NAME?</v>
      </c>
      <c r="O132" t="e">
        <f t="shared" ref="O132:O141" ca="1" si="42">colorindex(G132)</f>
        <v>#NAME?</v>
      </c>
      <c r="P132" t="e">
        <f t="shared" ref="P132:P141" ca="1" si="43">colorindex(H132)</f>
        <v>#NAME?</v>
      </c>
      <c r="R132" t="e">
        <f t="shared" ref="R132:R141" ca="1" si="44">ShiftIndex(B132)</f>
        <v>#NAME?</v>
      </c>
      <c r="S132" t="e">
        <f t="shared" ref="S132:S141" ca="1" si="45">ShiftIndex(C132)</f>
        <v>#NAME?</v>
      </c>
      <c r="T132" t="e">
        <f t="shared" ref="T132:T141" ca="1" si="46">ShiftIndex(D132)</f>
        <v>#NAME?</v>
      </c>
      <c r="U132" t="e">
        <f t="shared" ref="U132:U141" ca="1" si="47">ShiftIndex(E132)</f>
        <v>#NAME?</v>
      </c>
      <c r="V132" t="e">
        <f t="shared" ref="V132:V141" ca="1" si="48">ShiftIndex(F132)</f>
        <v>#NAME?</v>
      </c>
      <c r="W132" t="e">
        <f t="shared" ref="W132:W141" ca="1" si="49">ShiftIndex(G132)</f>
        <v>#NAME?</v>
      </c>
      <c r="X132" t="e">
        <f t="shared" ref="X132:X141" ca="1" si="50">ShiftIndex(H132)</f>
        <v>#NAME?</v>
      </c>
      <c r="Z132" s="15">
        <v>1</v>
      </c>
    </row>
    <row r="133" spans="1:34">
      <c r="A133" s="22" t="s">
        <v>220</v>
      </c>
      <c r="B133" s="25"/>
      <c r="C133" s="44" t="s">
        <v>189</v>
      </c>
      <c r="D133" s="90" t="s">
        <v>116</v>
      </c>
      <c r="E133" s="25" t="s">
        <v>152</v>
      </c>
      <c r="F133" s="25" t="s">
        <v>152</v>
      </c>
      <c r="G133" s="25"/>
      <c r="H133" s="25"/>
      <c r="J133" t="e">
        <f t="shared" ca="1" si="37"/>
        <v>#NAME?</v>
      </c>
      <c r="K133" t="e">
        <f t="shared" ca="1" si="38"/>
        <v>#NAME?</v>
      </c>
      <c r="L133" t="e">
        <f t="shared" ca="1" si="39"/>
        <v>#NAME?</v>
      </c>
      <c r="M133" t="e">
        <f t="shared" ca="1" si="40"/>
        <v>#NAME?</v>
      </c>
      <c r="N133" t="e">
        <f t="shared" ca="1" si="41"/>
        <v>#NAME?</v>
      </c>
      <c r="O133" t="e">
        <f t="shared" ca="1" si="42"/>
        <v>#NAME?</v>
      </c>
      <c r="P133" t="e">
        <f t="shared" ca="1" si="43"/>
        <v>#NAME?</v>
      </c>
      <c r="R133" t="e">
        <f t="shared" ca="1" si="44"/>
        <v>#NAME?</v>
      </c>
      <c r="S133" t="e">
        <f t="shared" ca="1" si="45"/>
        <v>#NAME?</v>
      </c>
      <c r="T133" t="e">
        <f t="shared" ca="1" si="46"/>
        <v>#NAME?</v>
      </c>
      <c r="U133" t="e">
        <f t="shared" ca="1" si="47"/>
        <v>#NAME?</v>
      </c>
      <c r="V133" t="e">
        <f t="shared" ca="1" si="48"/>
        <v>#NAME?</v>
      </c>
      <c r="W133" t="e">
        <f t="shared" ca="1" si="49"/>
        <v>#NAME?</v>
      </c>
      <c r="X133" t="e">
        <f t="shared" ca="1" si="50"/>
        <v>#NAME?</v>
      </c>
      <c r="Z133" s="15">
        <v>1</v>
      </c>
    </row>
    <row r="134" spans="1:34">
      <c r="A134" s="22" t="s">
        <v>221</v>
      </c>
      <c r="B134" s="127" t="s">
        <v>18</v>
      </c>
      <c r="C134" s="128"/>
      <c r="D134" s="128"/>
      <c r="E134" s="128"/>
      <c r="F134" s="128"/>
      <c r="G134" s="128"/>
      <c r="H134" s="129"/>
      <c r="J134" t="e">
        <f t="shared" ca="1" si="37"/>
        <v>#NAME?</v>
      </c>
      <c r="K134" t="e">
        <f t="shared" ca="1" si="38"/>
        <v>#NAME?</v>
      </c>
      <c r="L134" t="e">
        <f t="shared" ca="1" si="39"/>
        <v>#NAME?</v>
      </c>
      <c r="M134" t="e">
        <f t="shared" ca="1" si="40"/>
        <v>#NAME?</v>
      </c>
      <c r="N134" t="e">
        <f t="shared" ca="1" si="41"/>
        <v>#NAME?</v>
      </c>
      <c r="O134" t="e">
        <f t="shared" ca="1" si="42"/>
        <v>#NAME?</v>
      </c>
      <c r="P134" t="e">
        <f t="shared" ca="1" si="43"/>
        <v>#NAME?</v>
      </c>
      <c r="R134" t="e">
        <f t="shared" ca="1" si="44"/>
        <v>#NAME?</v>
      </c>
      <c r="S134" t="e">
        <f t="shared" ca="1" si="45"/>
        <v>#NAME?</v>
      </c>
      <c r="T134" t="e">
        <f t="shared" ca="1" si="46"/>
        <v>#NAME?</v>
      </c>
      <c r="U134" t="e">
        <f t="shared" ca="1" si="47"/>
        <v>#NAME?</v>
      </c>
      <c r="V134" t="e">
        <f t="shared" ca="1" si="48"/>
        <v>#NAME?</v>
      </c>
      <c r="W134" t="e">
        <f t="shared" ca="1" si="49"/>
        <v>#NAME?</v>
      </c>
      <c r="X134" t="e">
        <f t="shared" ca="1" si="50"/>
        <v>#NAME?</v>
      </c>
      <c r="Z134" s="15">
        <v>1</v>
      </c>
    </row>
    <row r="135" spans="1:34">
      <c r="A135" s="22" t="s">
        <v>222</v>
      </c>
      <c r="B135" s="101" t="s">
        <v>116</v>
      </c>
      <c r="C135" s="25"/>
      <c r="D135" s="44" t="s">
        <v>186</v>
      </c>
      <c r="E135" s="90" t="s">
        <v>118</v>
      </c>
      <c r="F135" s="91" t="s">
        <v>118</v>
      </c>
      <c r="G135" s="25"/>
      <c r="H135" s="25"/>
      <c r="J135" t="e">
        <f t="shared" ca="1" si="37"/>
        <v>#NAME?</v>
      </c>
      <c r="K135" t="e">
        <f t="shared" ca="1" si="38"/>
        <v>#NAME?</v>
      </c>
      <c r="L135" t="e">
        <f t="shared" ca="1" si="39"/>
        <v>#NAME?</v>
      </c>
      <c r="M135" t="e">
        <f t="shared" ca="1" si="40"/>
        <v>#NAME?</v>
      </c>
      <c r="N135" t="e">
        <f t="shared" ca="1" si="41"/>
        <v>#NAME?</v>
      </c>
      <c r="O135" t="e">
        <f t="shared" ca="1" si="42"/>
        <v>#NAME?</v>
      </c>
      <c r="P135" t="e">
        <f t="shared" ca="1" si="43"/>
        <v>#NAME?</v>
      </c>
      <c r="R135" t="e">
        <f t="shared" ca="1" si="44"/>
        <v>#NAME?</v>
      </c>
      <c r="S135" t="e">
        <f t="shared" ca="1" si="45"/>
        <v>#NAME?</v>
      </c>
      <c r="T135" t="e">
        <f t="shared" ca="1" si="46"/>
        <v>#NAME?</v>
      </c>
      <c r="U135" t="e">
        <f t="shared" ca="1" si="47"/>
        <v>#NAME?</v>
      </c>
      <c r="V135" t="e">
        <f t="shared" ca="1" si="48"/>
        <v>#NAME?</v>
      </c>
      <c r="W135" t="e">
        <f t="shared" ca="1" si="49"/>
        <v>#NAME?</v>
      </c>
      <c r="X135" t="e">
        <f t="shared" ca="1" si="50"/>
        <v>#NAME?</v>
      </c>
      <c r="Z135" s="15">
        <v>1</v>
      </c>
    </row>
    <row r="136" spans="1:34">
      <c r="A136" s="106" t="s">
        <v>223</v>
      </c>
      <c r="B136" s="107" t="str">
        <f t="shared" ref="B136:H136" si="51">B101</f>
        <v>Mon 25 May</v>
      </c>
      <c r="C136" s="107" t="str">
        <f t="shared" si="51"/>
        <v>Tues 26 May</v>
      </c>
      <c r="D136" s="107" t="str">
        <f t="shared" si="51"/>
        <v>Wed 27 May</v>
      </c>
      <c r="E136" s="107" t="str">
        <f t="shared" si="51"/>
        <v>Thu 28 May</v>
      </c>
      <c r="F136" s="107" t="str">
        <f t="shared" si="51"/>
        <v>Fri 29 May</v>
      </c>
      <c r="G136" s="107" t="str">
        <f t="shared" si="51"/>
        <v>Sat 30 May</v>
      </c>
      <c r="H136" s="107" t="str">
        <f t="shared" si="51"/>
        <v>Sun 31 May</v>
      </c>
      <c r="J136" t="e">
        <f t="shared" ca="1" si="37"/>
        <v>#NAME?</v>
      </c>
      <c r="K136" t="e">
        <f t="shared" ca="1" si="38"/>
        <v>#NAME?</v>
      </c>
      <c r="L136" t="e">
        <f t="shared" ca="1" si="39"/>
        <v>#NAME?</v>
      </c>
      <c r="M136" t="e">
        <f t="shared" ca="1" si="40"/>
        <v>#NAME?</v>
      </c>
      <c r="N136" t="e">
        <f t="shared" ca="1" si="41"/>
        <v>#NAME?</v>
      </c>
      <c r="O136" t="e">
        <f t="shared" ca="1" si="42"/>
        <v>#NAME?</v>
      </c>
      <c r="P136" t="e">
        <f t="shared" ca="1" si="43"/>
        <v>#NAME?</v>
      </c>
      <c r="R136" t="e">
        <f t="shared" ca="1" si="44"/>
        <v>#NAME?</v>
      </c>
      <c r="S136" t="e">
        <f t="shared" ca="1" si="45"/>
        <v>#NAME?</v>
      </c>
      <c r="T136" t="e">
        <f t="shared" ca="1" si="46"/>
        <v>#NAME?</v>
      </c>
      <c r="U136" t="e">
        <f t="shared" ca="1" si="47"/>
        <v>#NAME?</v>
      </c>
      <c r="V136" t="e">
        <f t="shared" ca="1" si="48"/>
        <v>#NAME?</v>
      </c>
      <c r="W136" t="e">
        <f t="shared" ca="1" si="49"/>
        <v>#NAME?</v>
      </c>
      <c r="X136" t="e">
        <f t="shared" ca="1" si="50"/>
        <v>#NAME?</v>
      </c>
      <c r="Z136" s="53">
        <f>SUM(Z128:Z135)</f>
        <v>8</v>
      </c>
      <c r="AA136" s="55"/>
      <c r="AB136" s="55"/>
      <c r="AC136" s="55"/>
    </row>
    <row r="137" spans="1:34">
      <c r="A137" s="21" t="s">
        <v>330</v>
      </c>
      <c r="B137" s="25"/>
      <c r="C137" s="25"/>
      <c r="D137" s="25"/>
      <c r="E137" s="25"/>
      <c r="F137" s="25"/>
      <c r="G137" s="101" t="s">
        <v>118</v>
      </c>
      <c r="H137" s="25"/>
      <c r="J137" t="e">
        <f t="shared" ca="1" si="37"/>
        <v>#NAME?</v>
      </c>
      <c r="K137" t="e">
        <f t="shared" ca="1" si="38"/>
        <v>#NAME?</v>
      </c>
      <c r="L137" t="e">
        <f t="shared" ca="1" si="39"/>
        <v>#NAME?</v>
      </c>
      <c r="M137" t="e">
        <f t="shared" ca="1" si="40"/>
        <v>#NAME?</v>
      </c>
      <c r="N137" t="e">
        <f t="shared" ca="1" si="41"/>
        <v>#NAME?</v>
      </c>
      <c r="O137" t="e">
        <f t="shared" ca="1" si="42"/>
        <v>#NAME?</v>
      </c>
      <c r="P137" t="e">
        <f t="shared" ca="1" si="43"/>
        <v>#NAME?</v>
      </c>
      <c r="R137" t="e">
        <f t="shared" ca="1" si="44"/>
        <v>#NAME?</v>
      </c>
      <c r="S137" t="e">
        <f t="shared" ca="1" si="45"/>
        <v>#NAME?</v>
      </c>
      <c r="T137" t="e">
        <f t="shared" ca="1" si="46"/>
        <v>#NAME?</v>
      </c>
      <c r="U137" t="e">
        <f t="shared" ca="1" si="47"/>
        <v>#NAME?</v>
      </c>
      <c r="V137" t="e">
        <f t="shared" ca="1" si="48"/>
        <v>#NAME?</v>
      </c>
      <c r="W137" t="e">
        <f t="shared" ca="1" si="49"/>
        <v>#NAME?</v>
      </c>
      <c r="X137" t="e">
        <f t="shared" ca="1" si="50"/>
        <v>#NAME?</v>
      </c>
      <c r="AA137" s="56"/>
      <c r="AB137" s="55"/>
      <c r="AC137" s="56"/>
    </row>
    <row r="138" spans="1:34">
      <c r="A138" s="21" t="s">
        <v>331</v>
      </c>
      <c r="B138" s="25"/>
      <c r="C138" s="25"/>
      <c r="D138" s="110" t="s">
        <v>139</v>
      </c>
      <c r="E138" s="91" t="s">
        <v>116</v>
      </c>
      <c r="F138" s="90" t="s">
        <v>116</v>
      </c>
      <c r="G138" s="25"/>
      <c r="H138" s="25"/>
      <c r="J138" t="e">
        <f t="shared" ca="1" si="37"/>
        <v>#NAME?</v>
      </c>
      <c r="K138" t="e">
        <f t="shared" ca="1" si="38"/>
        <v>#NAME?</v>
      </c>
      <c r="L138" t="e">
        <f t="shared" ca="1" si="39"/>
        <v>#NAME?</v>
      </c>
      <c r="M138" t="e">
        <f t="shared" ca="1" si="40"/>
        <v>#NAME?</v>
      </c>
      <c r="N138" t="e">
        <f t="shared" ca="1" si="41"/>
        <v>#NAME?</v>
      </c>
      <c r="O138" t="e">
        <f t="shared" ca="1" si="42"/>
        <v>#NAME?</v>
      </c>
      <c r="P138" t="e">
        <f t="shared" ca="1" si="43"/>
        <v>#NAME?</v>
      </c>
      <c r="R138" t="e">
        <f t="shared" ca="1" si="44"/>
        <v>#NAME?</v>
      </c>
      <c r="S138" t="e">
        <f t="shared" ca="1" si="45"/>
        <v>#NAME?</v>
      </c>
      <c r="T138" t="e">
        <f t="shared" ca="1" si="46"/>
        <v>#NAME?</v>
      </c>
      <c r="U138" t="e">
        <f t="shared" ca="1" si="47"/>
        <v>#NAME?</v>
      </c>
      <c r="V138" t="e">
        <f t="shared" ca="1" si="48"/>
        <v>#NAME?</v>
      </c>
      <c r="W138" t="e">
        <f t="shared" ca="1" si="49"/>
        <v>#NAME?</v>
      </c>
      <c r="X138" t="e">
        <f t="shared" ca="1" si="50"/>
        <v>#NAME?</v>
      </c>
      <c r="AA138" s="56"/>
      <c r="AB138" s="55"/>
      <c r="AC138" s="56"/>
    </row>
    <row r="139" spans="1:34">
      <c r="A139" s="124" t="s">
        <v>332</v>
      </c>
      <c r="B139" s="25"/>
      <c r="C139" s="25" t="s">
        <v>152</v>
      </c>
      <c r="D139" s="25" t="s">
        <v>152</v>
      </c>
      <c r="E139" s="25" t="s">
        <v>152</v>
      </c>
      <c r="F139" s="25" t="s">
        <v>152</v>
      </c>
      <c r="G139" s="25"/>
      <c r="H139" s="25"/>
      <c r="J139" t="e">
        <f t="shared" ca="1" si="37"/>
        <v>#NAME?</v>
      </c>
      <c r="K139" t="e">
        <f t="shared" ca="1" si="38"/>
        <v>#NAME?</v>
      </c>
      <c r="L139" t="e">
        <f t="shared" ca="1" si="39"/>
        <v>#NAME?</v>
      </c>
      <c r="M139" t="e">
        <f t="shared" ca="1" si="40"/>
        <v>#NAME?</v>
      </c>
      <c r="N139" t="e">
        <f t="shared" ca="1" si="41"/>
        <v>#NAME?</v>
      </c>
      <c r="O139" t="e">
        <f t="shared" ca="1" si="42"/>
        <v>#NAME?</v>
      </c>
      <c r="P139" t="e">
        <f t="shared" ca="1" si="43"/>
        <v>#NAME?</v>
      </c>
      <c r="R139" t="e">
        <f t="shared" ca="1" si="44"/>
        <v>#NAME?</v>
      </c>
      <c r="S139" t="e">
        <f t="shared" ca="1" si="45"/>
        <v>#NAME?</v>
      </c>
      <c r="T139" t="e">
        <f t="shared" ca="1" si="46"/>
        <v>#NAME?</v>
      </c>
      <c r="U139" t="e">
        <f t="shared" ca="1" si="47"/>
        <v>#NAME?</v>
      </c>
      <c r="V139" t="e">
        <f t="shared" ca="1" si="48"/>
        <v>#NAME?</v>
      </c>
      <c r="W139" t="e">
        <f t="shared" ca="1" si="49"/>
        <v>#NAME?</v>
      </c>
      <c r="X139" t="e">
        <f t="shared" ca="1" si="50"/>
        <v>#NAME?</v>
      </c>
      <c r="Z139" s="15">
        <v>1</v>
      </c>
    </row>
    <row r="140" spans="1:34" s="6" customFormat="1" ht="15" customHeight="1">
      <c r="A140" s="106" t="s">
        <v>235</v>
      </c>
      <c r="B140" s="107" t="str">
        <f t="shared" ref="B140:H140" si="52">B136</f>
        <v>Mon 25 May</v>
      </c>
      <c r="C140" s="107" t="str">
        <f t="shared" si="52"/>
        <v>Tues 26 May</v>
      </c>
      <c r="D140" s="107" t="str">
        <f t="shared" si="52"/>
        <v>Wed 27 May</v>
      </c>
      <c r="E140" s="107" t="str">
        <f t="shared" si="52"/>
        <v>Thu 28 May</v>
      </c>
      <c r="F140" s="107" t="str">
        <f t="shared" si="52"/>
        <v>Fri 29 May</v>
      </c>
      <c r="G140" s="107" t="str">
        <f t="shared" si="52"/>
        <v>Sat 30 May</v>
      </c>
      <c r="H140" s="107" t="str">
        <f t="shared" si="52"/>
        <v>Sun 31 May</v>
      </c>
      <c r="J140" t="e">
        <f t="shared" ca="1" si="37"/>
        <v>#NAME?</v>
      </c>
      <c r="K140" t="e">
        <f t="shared" ca="1" si="38"/>
        <v>#NAME?</v>
      </c>
      <c r="L140" t="e">
        <f t="shared" ca="1" si="39"/>
        <v>#NAME?</v>
      </c>
      <c r="M140" t="e">
        <f t="shared" ca="1" si="40"/>
        <v>#NAME?</v>
      </c>
      <c r="N140" t="e">
        <f t="shared" ca="1" si="41"/>
        <v>#NAME?</v>
      </c>
      <c r="O140" t="e">
        <f t="shared" ca="1" si="42"/>
        <v>#NAME?</v>
      </c>
      <c r="P140" t="e">
        <f t="shared" ca="1" si="43"/>
        <v>#NAME?</v>
      </c>
      <c r="Q140"/>
      <c r="R140" t="e">
        <f t="shared" ca="1" si="44"/>
        <v>#NAME?</v>
      </c>
      <c r="S140" t="e">
        <f t="shared" ca="1" si="45"/>
        <v>#NAME?</v>
      </c>
      <c r="T140" t="e">
        <f t="shared" ca="1" si="46"/>
        <v>#NAME?</v>
      </c>
      <c r="U140" t="e">
        <f t="shared" ca="1" si="47"/>
        <v>#NAME?</v>
      </c>
      <c r="V140" t="e">
        <f t="shared" ca="1" si="48"/>
        <v>#NAME?</v>
      </c>
      <c r="W140" t="e">
        <f t="shared" ca="1" si="49"/>
        <v>#NAME?</v>
      </c>
      <c r="X140" t="e">
        <f t="shared" ca="1" si="50"/>
        <v>#NAME?</v>
      </c>
      <c r="Y140" s="11"/>
      <c r="Z140" s="14"/>
      <c r="AA140" s="11"/>
      <c r="AB140" s="11"/>
      <c r="AC140" s="11"/>
      <c r="AD140" s="11"/>
      <c r="AE140" s="11"/>
      <c r="AF140" s="11"/>
      <c r="AG140" s="11"/>
      <c r="AH140" s="11"/>
    </row>
    <row r="141" spans="1:34" s="11" customFormat="1" ht="15" customHeight="1">
      <c r="A141" s="13" t="s">
        <v>236</v>
      </c>
      <c r="B141" s="28" t="s">
        <v>238</v>
      </c>
      <c r="C141" s="28" t="s">
        <v>310</v>
      </c>
      <c r="D141" s="28" t="s">
        <v>239</v>
      </c>
      <c r="E141" s="28" t="s">
        <v>333</v>
      </c>
      <c r="F141" s="28" t="s">
        <v>239</v>
      </c>
      <c r="G141" s="28" t="s">
        <v>239</v>
      </c>
      <c r="H141" s="28" t="s">
        <v>239</v>
      </c>
      <c r="J141" t="e">
        <f t="shared" ca="1" si="37"/>
        <v>#NAME?</v>
      </c>
      <c r="K141" t="e">
        <f t="shared" ca="1" si="38"/>
        <v>#NAME?</v>
      </c>
      <c r="L141" t="e">
        <f t="shared" ca="1" si="39"/>
        <v>#NAME?</v>
      </c>
      <c r="M141" t="e">
        <f t="shared" ca="1" si="40"/>
        <v>#NAME?</v>
      </c>
      <c r="N141" t="e">
        <f t="shared" ca="1" si="41"/>
        <v>#NAME?</v>
      </c>
      <c r="O141" t="e">
        <f t="shared" ca="1" si="42"/>
        <v>#NAME?</v>
      </c>
      <c r="P141" t="e">
        <f t="shared" ca="1" si="43"/>
        <v>#NAME?</v>
      </c>
      <c r="Q141"/>
      <c r="R141" t="e">
        <f t="shared" ca="1" si="44"/>
        <v>#NAME?</v>
      </c>
      <c r="S141" t="e">
        <f t="shared" ca="1" si="45"/>
        <v>#NAME?</v>
      </c>
      <c r="T141" t="e">
        <f t="shared" ca="1" si="46"/>
        <v>#NAME?</v>
      </c>
      <c r="U141" t="e">
        <f t="shared" ca="1" si="47"/>
        <v>#NAME?</v>
      </c>
      <c r="V141" t="e">
        <f t="shared" ca="1" si="48"/>
        <v>#NAME?</v>
      </c>
      <c r="W141" t="e">
        <f t="shared" ca="1" si="49"/>
        <v>#NAME?</v>
      </c>
      <c r="X141" t="e">
        <f t="shared" ca="1" si="50"/>
        <v>#NAME?</v>
      </c>
      <c r="Z141" s="12"/>
      <c r="AA141"/>
    </row>
    <row r="142" spans="1:34">
      <c r="A142" s="106" t="s">
        <v>242</v>
      </c>
      <c r="B142" s="107" t="str">
        <f t="shared" ref="B142:H142" si="53">B58</f>
        <v>Mon 25 May</v>
      </c>
      <c r="C142" s="107" t="str">
        <f t="shared" si="53"/>
        <v>Tues 26 May</v>
      </c>
      <c r="D142" s="107" t="str">
        <f t="shared" si="53"/>
        <v>Wed 27 May</v>
      </c>
      <c r="E142" s="107" t="str">
        <f t="shared" si="53"/>
        <v>Thu 28 May</v>
      </c>
      <c r="F142" s="107" t="str">
        <f t="shared" si="53"/>
        <v>Fri 29 May</v>
      </c>
      <c r="G142" s="107" t="str">
        <f t="shared" si="53"/>
        <v>Sat 30 May</v>
      </c>
      <c r="H142" s="107" t="str">
        <f t="shared" si="53"/>
        <v>Sun 31 May</v>
      </c>
    </row>
    <row r="143" spans="1:34">
      <c r="A143" s="27" t="s">
        <v>243</v>
      </c>
      <c r="B143" s="17">
        <f t="shared" ref="B143:H143" ca="1" si="54">COUNTIFS(J:J,"Red",R:R,"AM")</f>
        <v>0</v>
      </c>
      <c r="C143" s="17">
        <f t="shared" ca="1" si="54"/>
        <v>0</v>
      </c>
      <c r="D143" s="17">
        <f t="shared" ca="1" si="54"/>
        <v>0</v>
      </c>
      <c r="E143" s="17">
        <f t="shared" ca="1" si="54"/>
        <v>0</v>
      </c>
      <c r="F143" s="17">
        <f t="shared" ca="1" si="54"/>
        <v>0</v>
      </c>
      <c r="G143" s="17">
        <f t="shared" ca="1" si="54"/>
        <v>0</v>
      </c>
      <c r="H143" s="17">
        <f t="shared" ca="1" si="54"/>
        <v>0</v>
      </c>
    </row>
    <row r="144" spans="1:34">
      <c r="A144" s="2" t="s">
        <v>244</v>
      </c>
      <c r="B144" s="17">
        <f t="shared" ref="B144:H144" ca="1" si="55">COUNTIFS(J:J,"Green",R:R,"AM")</f>
        <v>0</v>
      </c>
      <c r="C144" s="17">
        <f t="shared" ca="1" si="55"/>
        <v>0</v>
      </c>
      <c r="D144" s="17">
        <f t="shared" ca="1" si="55"/>
        <v>0</v>
      </c>
      <c r="E144" s="17">
        <f t="shared" ca="1" si="55"/>
        <v>0</v>
      </c>
      <c r="F144" s="17">
        <f t="shared" ca="1" si="55"/>
        <v>0</v>
      </c>
      <c r="G144" s="17">
        <f t="shared" ca="1" si="55"/>
        <v>0</v>
      </c>
      <c r="H144" s="17">
        <f t="shared" ca="1" si="55"/>
        <v>0</v>
      </c>
    </row>
    <row r="145" spans="1:26">
      <c r="A145" s="26" t="s">
        <v>245</v>
      </c>
      <c r="B145" s="17">
        <f t="shared" ref="B145:H145" ca="1" si="56">COUNTIFS(J:J,"Gold",R:R,"AM")</f>
        <v>0</v>
      </c>
      <c r="C145" s="17">
        <f t="shared" ca="1" si="56"/>
        <v>0</v>
      </c>
      <c r="D145" s="17">
        <f t="shared" ca="1" si="56"/>
        <v>0</v>
      </c>
      <c r="E145" s="17">
        <f t="shared" ca="1" si="56"/>
        <v>0</v>
      </c>
      <c r="F145" s="17">
        <f t="shared" ca="1" si="56"/>
        <v>0</v>
      </c>
      <c r="G145" s="17">
        <f t="shared" ca="1" si="56"/>
        <v>0</v>
      </c>
      <c r="H145" s="17">
        <f t="shared" ca="1" si="56"/>
        <v>0</v>
      </c>
    </row>
    <row r="146" spans="1:26">
      <c r="A146" s="29" t="s">
        <v>246</v>
      </c>
      <c r="B146" s="17">
        <f t="shared" ref="B146:H146" ca="1" si="57">COUNTIFS(J:J,"LGreen",R:R,"AM")</f>
        <v>0</v>
      </c>
      <c r="C146" s="17">
        <f t="shared" ca="1" si="57"/>
        <v>0</v>
      </c>
      <c r="D146" s="17">
        <f t="shared" ca="1" si="57"/>
        <v>0</v>
      </c>
      <c r="E146" s="17">
        <f t="shared" ca="1" si="57"/>
        <v>0</v>
      </c>
      <c r="F146" s="17">
        <f t="shared" ca="1" si="57"/>
        <v>0</v>
      </c>
      <c r="G146" s="17">
        <f t="shared" ca="1" si="57"/>
        <v>0</v>
      </c>
      <c r="H146" s="17">
        <f t="shared" ca="1" si="57"/>
        <v>0</v>
      </c>
    </row>
    <row r="147" spans="1:26">
      <c r="A147" s="43" t="s">
        <v>26</v>
      </c>
      <c r="B147" s="17">
        <f t="shared" ref="B147:H147" ca="1" si="58">COUNTIFS(J:J,"Blue",R:R,"AM")</f>
        <v>0</v>
      </c>
      <c r="C147" s="17">
        <f t="shared" ca="1" si="58"/>
        <v>0</v>
      </c>
      <c r="D147" s="17">
        <f t="shared" ca="1" si="58"/>
        <v>0</v>
      </c>
      <c r="E147" s="17">
        <f t="shared" ca="1" si="58"/>
        <v>0</v>
      </c>
      <c r="F147" s="17">
        <f t="shared" ca="1" si="58"/>
        <v>0</v>
      </c>
      <c r="G147" s="17">
        <f t="shared" ca="1" si="58"/>
        <v>0</v>
      </c>
      <c r="H147" s="17">
        <f t="shared" ca="1" si="58"/>
        <v>0</v>
      </c>
    </row>
    <row r="148" spans="1:26">
      <c r="A148" s="3" t="s">
        <v>16</v>
      </c>
      <c r="B148" s="17">
        <f t="shared" ref="B148:H148" ca="1" si="59">COUNTIFS(J:J,"Pink",R:R,"AM")</f>
        <v>0</v>
      </c>
      <c r="C148" s="17">
        <f t="shared" ca="1" si="59"/>
        <v>0</v>
      </c>
      <c r="D148" s="17">
        <f t="shared" ca="1" si="59"/>
        <v>0</v>
      </c>
      <c r="E148" s="17">
        <f t="shared" ca="1" si="59"/>
        <v>0</v>
      </c>
      <c r="F148" s="17">
        <f t="shared" ca="1" si="59"/>
        <v>0</v>
      </c>
      <c r="G148" s="17">
        <f t="shared" ca="1" si="59"/>
        <v>0</v>
      </c>
      <c r="H148" s="17">
        <f t="shared" ca="1" si="59"/>
        <v>0</v>
      </c>
    </row>
    <row r="149" spans="1:26">
      <c r="A149" s="5" t="s">
        <v>247</v>
      </c>
      <c r="B149" s="17">
        <f t="shared" ref="B149:H149" ca="1" si="60">COUNTIFS(R:R,"AM") - B143-B144-B145-B146-B147-B148</f>
        <v>0</v>
      </c>
      <c r="C149" s="17">
        <f t="shared" ca="1" si="60"/>
        <v>0</v>
      </c>
      <c r="D149" s="17">
        <f t="shared" ca="1" si="60"/>
        <v>0</v>
      </c>
      <c r="E149" s="17">
        <f t="shared" ca="1" si="60"/>
        <v>0</v>
      </c>
      <c r="F149" s="17">
        <f t="shared" ca="1" si="60"/>
        <v>0</v>
      </c>
      <c r="G149" s="17">
        <f t="shared" ca="1" si="60"/>
        <v>0</v>
      </c>
      <c r="H149" s="17">
        <f t="shared" ca="1" si="60"/>
        <v>0</v>
      </c>
    </row>
    <row r="150" spans="1:26" s="46" customFormat="1">
      <c r="A150" s="45" t="s">
        <v>248</v>
      </c>
      <c r="B150" s="47">
        <f ca="1">SUM(B143:B148)</f>
        <v>0</v>
      </c>
      <c r="C150" s="47">
        <f t="shared" ref="C150:H150" ca="1" si="61">SUM(C143:C148)</f>
        <v>0</v>
      </c>
      <c r="D150" s="47">
        <f t="shared" ca="1" si="61"/>
        <v>0</v>
      </c>
      <c r="E150" s="47">
        <f t="shared" ca="1" si="61"/>
        <v>0</v>
      </c>
      <c r="F150" s="47">
        <f t="shared" ca="1" si="61"/>
        <v>0</v>
      </c>
      <c r="G150" s="47">
        <f t="shared" ca="1" si="61"/>
        <v>0</v>
      </c>
      <c r="H150" s="47">
        <f t="shared" ca="1" si="61"/>
        <v>0</v>
      </c>
      <c r="Z150" s="48"/>
    </row>
    <row r="151" spans="1:26">
      <c r="A151" s="27" t="s">
        <v>249</v>
      </c>
      <c r="B151" s="17">
        <f t="shared" ref="B151:H151" ca="1" si="62">COUNTIFS(J:J,"Red",R:R,"PM")</f>
        <v>0</v>
      </c>
      <c r="C151" s="17">
        <f t="shared" ca="1" si="62"/>
        <v>0</v>
      </c>
      <c r="D151" s="17">
        <f t="shared" ca="1" si="62"/>
        <v>0</v>
      </c>
      <c r="E151" s="17">
        <f t="shared" ca="1" si="62"/>
        <v>0</v>
      </c>
      <c r="F151" s="17">
        <f t="shared" ca="1" si="62"/>
        <v>0</v>
      </c>
      <c r="G151" s="17">
        <f t="shared" ca="1" si="62"/>
        <v>0</v>
      </c>
      <c r="H151" s="17">
        <f t="shared" ca="1" si="62"/>
        <v>0</v>
      </c>
    </row>
    <row r="152" spans="1:26">
      <c r="A152" s="2" t="s">
        <v>250</v>
      </c>
      <c r="B152" s="17">
        <f t="shared" ref="B152:H152" ca="1" si="63">COUNTIFS(J:J,"Green",R:R,"PM")</f>
        <v>0</v>
      </c>
      <c r="C152" s="17">
        <f t="shared" ca="1" si="63"/>
        <v>0</v>
      </c>
      <c r="D152" s="17">
        <f t="shared" ca="1" si="63"/>
        <v>0</v>
      </c>
      <c r="E152" s="17">
        <f t="shared" ca="1" si="63"/>
        <v>0</v>
      </c>
      <c r="F152" s="17">
        <f t="shared" ca="1" si="63"/>
        <v>0</v>
      </c>
      <c r="G152" s="17">
        <f t="shared" ca="1" si="63"/>
        <v>0</v>
      </c>
      <c r="H152" s="17">
        <f t="shared" ca="1" si="63"/>
        <v>0</v>
      </c>
    </row>
    <row r="153" spans="1:26">
      <c r="A153" s="26" t="s">
        <v>251</v>
      </c>
      <c r="B153" s="17">
        <f t="shared" ref="B153:H153" ca="1" si="64">COUNTIFS(J:J,"Gold",R:R,"PM")</f>
        <v>0</v>
      </c>
      <c r="C153" s="17">
        <f t="shared" ca="1" si="64"/>
        <v>0</v>
      </c>
      <c r="D153" s="17">
        <f t="shared" ca="1" si="64"/>
        <v>0</v>
      </c>
      <c r="E153" s="17">
        <f t="shared" ca="1" si="64"/>
        <v>0</v>
      </c>
      <c r="F153" s="17">
        <f t="shared" ca="1" si="64"/>
        <v>0</v>
      </c>
      <c r="G153" s="17">
        <f t="shared" ca="1" si="64"/>
        <v>0</v>
      </c>
      <c r="H153" s="17">
        <f t="shared" ca="1" si="64"/>
        <v>0</v>
      </c>
    </row>
    <row r="154" spans="1:26">
      <c r="A154" s="29" t="s">
        <v>252</v>
      </c>
      <c r="B154" s="17">
        <f t="shared" ref="B154:H154" ca="1" si="65">COUNTIFS(J:J,"LGreen",R:R,"PM")</f>
        <v>0</v>
      </c>
      <c r="C154" s="17">
        <f t="shared" ca="1" si="65"/>
        <v>0</v>
      </c>
      <c r="D154" s="17">
        <f t="shared" ca="1" si="65"/>
        <v>0</v>
      </c>
      <c r="E154" s="17">
        <f t="shared" ca="1" si="65"/>
        <v>0</v>
      </c>
      <c r="F154" s="17">
        <f t="shared" ca="1" si="65"/>
        <v>0</v>
      </c>
      <c r="G154" s="17">
        <f t="shared" ca="1" si="65"/>
        <v>0</v>
      </c>
      <c r="H154" s="17">
        <f t="shared" ca="1" si="65"/>
        <v>0</v>
      </c>
    </row>
    <row r="155" spans="1:26">
      <c r="A155" s="10" t="s">
        <v>253</v>
      </c>
      <c r="B155" s="17">
        <f t="shared" ref="B155:H155" ca="1" si="66">COUNTIFS(J:J,"Blue",R:R,"PM")</f>
        <v>0</v>
      </c>
      <c r="C155" s="17">
        <f t="shared" ca="1" si="66"/>
        <v>0</v>
      </c>
      <c r="D155" s="17">
        <f t="shared" ca="1" si="66"/>
        <v>0</v>
      </c>
      <c r="E155" s="17">
        <f t="shared" ca="1" si="66"/>
        <v>0</v>
      </c>
      <c r="F155" s="17">
        <f t="shared" ca="1" si="66"/>
        <v>0</v>
      </c>
      <c r="G155" s="17">
        <f t="shared" ca="1" si="66"/>
        <v>0</v>
      </c>
      <c r="H155" s="17">
        <f t="shared" ca="1" si="66"/>
        <v>0</v>
      </c>
    </row>
    <row r="156" spans="1:26">
      <c r="A156" s="3" t="s">
        <v>59</v>
      </c>
      <c r="B156" s="17">
        <f t="shared" ref="B156:H156" ca="1" si="67">COUNTIFS(J:J,"Pink",R:R,"PM")</f>
        <v>0</v>
      </c>
      <c r="C156" s="17">
        <f t="shared" ca="1" si="67"/>
        <v>0</v>
      </c>
      <c r="D156" s="17">
        <f t="shared" ca="1" si="67"/>
        <v>0</v>
      </c>
      <c r="E156" s="17">
        <f t="shared" ca="1" si="67"/>
        <v>0</v>
      </c>
      <c r="F156" s="17">
        <f t="shared" ca="1" si="67"/>
        <v>0</v>
      </c>
      <c r="G156" s="17">
        <f t="shared" ca="1" si="67"/>
        <v>0</v>
      </c>
      <c r="H156" s="17">
        <f t="shared" ca="1" si="67"/>
        <v>0</v>
      </c>
    </row>
    <row r="157" spans="1:26">
      <c r="A157" s="5" t="s">
        <v>254</v>
      </c>
      <c r="B157" s="17">
        <f t="shared" ref="B157:H157" ca="1" si="68">COUNTIFS(R:R,"PM") -B152-B153-B156-B155-B151-B154</f>
        <v>0</v>
      </c>
      <c r="C157" s="17">
        <f t="shared" ca="1" si="68"/>
        <v>0</v>
      </c>
      <c r="D157" s="17">
        <f t="shared" ca="1" si="68"/>
        <v>0</v>
      </c>
      <c r="E157" s="17">
        <f t="shared" ca="1" si="68"/>
        <v>0</v>
      </c>
      <c r="F157" s="17">
        <f t="shared" ca="1" si="68"/>
        <v>0</v>
      </c>
      <c r="G157" s="17">
        <f t="shared" ca="1" si="68"/>
        <v>0</v>
      </c>
      <c r="H157" s="17">
        <f t="shared" ca="1" si="68"/>
        <v>0</v>
      </c>
    </row>
    <row r="158" spans="1:26" s="46" customFormat="1">
      <c r="A158" s="45" t="s">
        <v>255</v>
      </c>
      <c r="B158" s="47">
        <f ca="1">SUM(B151:B156)</f>
        <v>0</v>
      </c>
      <c r="C158" s="47">
        <f t="shared" ref="C158:H158" ca="1" si="69">SUM(C151:C156)</f>
        <v>0</v>
      </c>
      <c r="D158" s="47">
        <f t="shared" ca="1" si="69"/>
        <v>0</v>
      </c>
      <c r="E158" s="47">
        <f t="shared" ca="1" si="69"/>
        <v>0</v>
      </c>
      <c r="F158" s="47">
        <f t="shared" ca="1" si="69"/>
        <v>0</v>
      </c>
      <c r="G158" s="47">
        <f t="shared" ca="1" si="69"/>
        <v>0</v>
      </c>
      <c r="H158" s="47">
        <f t="shared" ca="1" si="69"/>
        <v>0</v>
      </c>
      <c r="Z158" s="48"/>
    </row>
    <row r="159" spans="1:26">
      <c r="A159" s="4" t="s">
        <v>256</v>
      </c>
      <c r="B159" s="17">
        <f t="shared" ref="B159:H159" ca="1" si="70">COUNTIFS(R:R,"ND")</f>
        <v>0</v>
      </c>
      <c r="C159" s="17">
        <f t="shared" ca="1" si="70"/>
        <v>0</v>
      </c>
      <c r="D159" s="17">
        <f t="shared" ca="1" si="70"/>
        <v>0</v>
      </c>
      <c r="E159" s="17">
        <f t="shared" ca="1" si="70"/>
        <v>0</v>
      </c>
      <c r="F159" s="17">
        <f t="shared" ca="1" si="70"/>
        <v>0</v>
      </c>
      <c r="G159" s="17">
        <f t="shared" ca="1" si="70"/>
        <v>0</v>
      </c>
      <c r="H159" s="17">
        <f t="shared" ca="1" si="70"/>
        <v>0</v>
      </c>
    </row>
    <row r="160" spans="1:26">
      <c r="I160" s="9"/>
    </row>
    <row r="161" spans="1:26">
      <c r="A161" s="8"/>
      <c r="B161" s="18"/>
      <c r="C161" s="18"/>
      <c r="D161" s="19"/>
      <c r="E161" s="18"/>
      <c r="F161" s="18"/>
      <c r="G161" s="18"/>
      <c r="H161" s="20"/>
      <c r="Z161" s="23"/>
    </row>
    <row r="162" spans="1:26">
      <c r="D162" s="19"/>
    </row>
  </sheetData>
  <sortState xmlns:xlrd2="http://schemas.microsoft.com/office/spreadsheetml/2017/richdata2" ref="A48:AI52">
    <sortCondition ref="A48"/>
  </sortState>
  <mergeCells count="23">
    <mergeCell ref="B132:H132"/>
    <mergeCell ref="B134:H134"/>
    <mergeCell ref="B12:H12"/>
    <mergeCell ref="B13:H13"/>
    <mergeCell ref="B14:H14"/>
    <mergeCell ref="B20:H20"/>
    <mergeCell ref="B23:H23"/>
    <mergeCell ref="B28:H28"/>
    <mergeCell ref="B32:H32"/>
    <mergeCell ref="B34:H34"/>
    <mergeCell ref="B38:H38"/>
    <mergeCell ref="B40:H40"/>
    <mergeCell ref="B42:H42"/>
    <mergeCell ref="B45:H45"/>
    <mergeCell ref="B119:H119"/>
    <mergeCell ref="B116:H116"/>
    <mergeCell ref="B49:H49"/>
    <mergeCell ref="B96:H96"/>
    <mergeCell ref="B47:H47"/>
    <mergeCell ref="B66:H66"/>
    <mergeCell ref="B76:H76"/>
    <mergeCell ref="B87:H87"/>
    <mergeCell ref="B92:H92"/>
  </mergeCells>
  <conditionalFormatting sqref="B146:H146 B148:H148 B154:H154 B156:H156">
    <cfRule type="cellIs" dxfId="59" priority="4" operator="lessThan">
      <formula>2</formula>
    </cfRule>
  </conditionalFormatting>
  <conditionalFormatting sqref="B147:H147">
    <cfRule type="cellIs" dxfId="58" priority="2" operator="lessThan">
      <formula>2</formula>
    </cfRule>
  </conditionalFormatting>
  <conditionalFormatting sqref="B144:H145 B152:H153">
    <cfRule type="cellIs" dxfId="57" priority="5" operator="lessThan">
      <formula>4</formula>
    </cfRule>
  </conditionalFormatting>
  <conditionalFormatting sqref="B143:H143 B151:H151">
    <cfRule type="cellIs" dxfId="56" priority="6" operator="lessThan">
      <formula>2</formula>
    </cfRule>
  </conditionalFormatting>
  <conditionalFormatting sqref="B159:H159">
    <cfRule type="cellIs" dxfId="55" priority="3" operator="lessThan">
      <formula>7</formula>
    </cfRule>
  </conditionalFormatting>
  <conditionalFormatting sqref="B155:H155">
    <cfRule type="cellIs" dxfId="54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>
    <tabColor rgb="FFCCFFCC"/>
    <pageSetUpPr fitToPage="1"/>
  </sheetPr>
  <dimension ref="A1:AH161"/>
  <sheetViews>
    <sheetView zoomScaleNormal="100" workbookViewId="0">
      <selection activeCell="B33" sqref="B33"/>
    </sheetView>
  </sheetViews>
  <sheetFormatPr defaultColWidth="9.140625" defaultRowHeight="15"/>
  <cols>
    <col min="1" max="1" width="31.42578125" style="16" bestFit="1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46174</v>
      </c>
      <c r="C2" s="105">
        <f>B2+1</f>
        <v>46175</v>
      </c>
      <c r="D2" s="105">
        <f t="shared" ref="D2:H2" si="0">C2+1</f>
        <v>46176</v>
      </c>
      <c r="E2" s="105">
        <f t="shared" si="0"/>
        <v>46177</v>
      </c>
      <c r="F2" s="105">
        <f t="shared" si="0"/>
        <v>46178</v>
      </c>
      <c r="G2" s="105">
        <f t="shared" si="0"/>
        <v>46179</v>
      </c>
      <c r="H2" s="105">
        <f t="shared" si="0"/>
        <v>46180</v>
      </c>
    </row>
    <row r="3" spans="1:26" ht="14.45" customHeight="1">
      <c r="A3" s="21" t="s">
        <v>15</v>
      </c>
      <c r="B3" s="25"/>
      <c r="C3" s="110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6" t="s">
        <v>45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5" t="s">
        <v>24</v>
      </c>
      <c r="D7" s="25" t="s">
        <v>24</v>
      </c>
      <c r="E7" s="25"/>
      <c r="F7" s="118" t="s">
        <v>288</v>
      </c>
      <c r="G7" s="110" t="s">
        <v>59</v>
      </c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110" t="s">
        <v>59</v>
      </c>
      <c r="F8" s="115" t="s">
        <v>287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25"/>
      <c r="C9" s="25"/>
      <c r="D9" s="25"/>
      <c r="E9" s="25" t="s">
        <v>24</v>
      </c>
      <c r="F9" s="28" t="s">
        <v>25</v>
      </c>
      <c r="G9" s="25"/>
      <c r="H9" s="117" t="s">
        <v>36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 t="s">
        <v>24</v>
      </c>
      <c r="C10" s="25"/>
      <c r="D10" s="44" t="s">
        <v>26</v>
      </c>
      <c r="E10" s="25"/>
      <c r="F10" s="25"/>
      <c r="G10" s="110" t="s">
        <v>16</v>
      </c>
      <c r="H10" s="116" t="s">
        <v>32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28" t="s">
        <v>25</v>
      </c>
      <c r="D11" s="25"/>
      <c r="E11" s="25"/>
      <c r="F11" s="117" t="s">
        <v>31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25"/>
      <c r="C12" s="117" t="s">
        <v>31</v>
      </c>
      <c r="D12" s="25" t="s">
        <v>24</v>
      </c>
      <c r="E12" s="110" t="s">
        <v>16</v>
      </c>
      <c r="F12" s="28" t="s">
        <v>34</v>
      </c>
      <c r="G12" s="25"/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27" t="s">
        <v>38</v>
      </c>
      <c r="C13" s="128"/>
      <c r="D13" s="128"/>
      <c r="E13" s="128"/>
      <c r="F13" s="128"/>
      <c r="G13" s="128"/>
      <c r="H13" s="129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 t="s">
        <v>24</v>
      </c>
      <c r="C15" s="44" t="s">
        <v>26</v>
      </c>
      <c r="D15" s="117" t="s">
        <v>31</v>
      </c>
      <c r="E15" s="28" t="s">
        <v>34</v>
      </c>
      <c r="F15" s="25"/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110" t="s">
        <v>59</v>
      </c>
      <c r="E16" s="25" t="s">
        <v>24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15" t="s">
        <v>287</v>
      </c>
      <c r="C17" s="25" t="s">
        <v>24</v>
      </c>
      <c r="D17" s="109" t="s">
        <v>334</v>
      </c>
      <c r="E17" s="25"/>
      <c r="F17" s="25"/>
      <c r="G17" s="25"/>
      <c r="H17" s="44" t="s">
        <v>26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117" t="s">
        <v>36</v>
      </c>
      <c r="C18" s="25"/>
      <c r="D18" s="25"/>
      <c r="E18" s="25"/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8" t="s">
        <v>31</v>
      </c>
      <c r="G19" s="25"/>
      <c r="H19" s="28" t="s">
        <v>34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25"/>
      <c r="C20" s="25"/>
      <c r="D20" s="25"/>
      <c r="E20" s="25" t="s">
        <v>24</v>
      </c>
      <c r="F20" s="44" t="s">
        <v>26</v>
      </c>
      <c r="G20" s="117" t="s">
        <v>31</v>
      </c>
      <c r="H20" s="118" t="s">
        <v>335</v>
      </c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8" t="s">
        <v>36</v>
      </c>
      <c r="C22" s="110" t="s">
        <v>59</v>
      </c>
      <c r="D22" s="25" t="s">
        <v>24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10" t="s">
        <v>59</v>
      </c>
      <c r="C23" s="116" t="s">
        <v>32</v>
      </c>
      <c r="D23" s="25" t="s">
        <v>24</v>
      </c>
      <c r="E23" s="117" t="s">
        <v>31</v>
      </c>
      <c r="F23" s="25"/>
      <c r="G23" s="25"/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116" t="s">
        <v>45</v>
      </c>
      <c r="E24" s="25"/>
      <c r="F24" s="110" t="s">
        <v>59</v>
      </c>
      <c r="G24" s="25"/>
      <c r="H24" s="25" t="s">
        <v>336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25"/>
      <c r="E25" s="25"/>
      <c r="F25" s="25" t="s">
        <v>24</v>
      </c>
      <c r="G25" s="118" t="s">
        <v>36</v>
      </c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28" t="s">
        <v>25</v>
      </c>
      <c r="E26" s="25"/>
      <c r="F26" s="116" t="s">
        <v>32</v>
      </c>
      <c r="G26" s="117" t="s">
        <v>36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25"/>
      <c r="C27" s="116" t="s">
        <v>45</v>
      </c>
      <c r="D27" s="118" t="s">
        <v>337</v>
      </c>
      <c r="E27" s="25"/>
      <c r="F27" s="25" t="s">
        <v>24</v>
      </c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8" t="s">
        <v>25</v>
      </c>
      <c r="C29" s="117" t="s">
        <v>36</v>
      </c>
      <c r="D29" s="25" t="s">
        <v>24</v>
      </c>
      <c r="E29" s="25"/>
      <c r="F29" s="25"/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25"/>
      <c r="C30" s="25"/>
      <c r="D30" s="28" t="s">
        <v>34</v>
      </c>
      <c r="E30" s="115" t="s">
        <v>287</v>
      </c>
      <c r="F30" s="25"/>
      <c r="G30" s="28" t="s">
        <v>25</v>
      </c>
      <c r="H30" s="117" t="s">
        <v>31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28" t="s">
        <v>34</v>
      </c>
      <c r="C32" s="118" t="s">
        <v>31</v>
      </c>
      <c r="D32" s="25" t="s">
        <v>24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116" t="s">
        <v>45</v>
      </c>
      <c r="C33" s="118" t="s">
        <v>337</v>
      </c>
      <c r="D33" s="25" t="s">
        <v>24</v>
      </c>
      <c r="E33" s="118" t="s">
        <v>31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25"/>
      <c r="G34" s="25"/>
      <c r="H34" s="110" t="s">
        <v>16</v>
      </c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25"/>
      <c r="D35" s="25" t="s">
        <v>24</v>
      </c>
      <c r="E35" s="117" t="s">
        <v>36</v>
      </c>
      <c r="F35" s="25"/>
      <c r="G35" s="25"/>
      <c r="H35" s="116" t="s">
        <v>45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18" t="s">
        <v>31</v>
      </c>
      <c r="C36" s="25" t="s">
        <v>24</v>
      </c>
      <c r="D36" s="116" t="s">
        <v>32</v>
      </c>
      <c r="E36" s="118" t="s">
        <v>36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 t="s">
        <v>24</v>
      </c>
      <c r="C37" s="117" t="s">
        <v>288</v>
      </c>
      <c r="D37" s="115" t="s">
        <v>287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289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25"/>
      <c r="C39" s="118" t="s">
        <v>36</v>
      </c>
      <c r="D39" s="25" t="s">
        <v>24</v>
      </c>
      <c r="E39" s="28" t="s">
        <v>25</v>
      </c>
      <c r="F39" s="117" t="s">
        <v>36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25"/>
      <c r="C40" s="25" t="s">
        <v>24</v>
      </c>
      <c r="D40" s="110" t="s">
        <v>16</v>
      </c>
      <c r="E40" s="116" t="s">
        <v>32</v>
      </c>
      <c r="F40" s="118" t="s">
        <v>36</v>
      </c>
      <c r="G40" s="25"/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8" t="s">
        <v>31</v>
      </c>
      <c r="E41" s="25"/>
      <c r="F41" s="25" t="s">
        <v>24</v>
      </c>
      <c r="G41" s="28" t="s">
        <v>34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311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25"/>
      <c r="C43" s="25" t="s">
        <v>24</v>
      </c>
      <c r="D43" s="25"/>
      <c r="E43" s="25"/>
      <c r="F43" s="25"/>
      <c r="G43" s="116" t="s">
        <v>32</v>
      </c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25"/>
      <c r="C44" s="28" t="s">
        <v>34</v>
      </c>
      <c r="D44" s="25" t="s">
        <v>24</v>
      </c>
      <c r="E44" s="116" t="s">
        <v>45</v>
      </c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25"/>
      <c r="E45" s="25"/>
      <c r="F45" s="25"/>
      <c r="G45" s="118" t="s">
        <v>31</v>
      </c>
      <c r="H45" s="110" t="s">
        <v>59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44" t="s">
        <v>26</v>
      </c>
      <c r="C46" s="25"/>
      <c r="D46" s="118" t="s">
        <v>36</v>
      </c>
      <c r="E46" s="25" t="s">
        <v>24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5"/>
      <c r="C47" s="25"/>
      <c r="D47" s="25" t="s">
        <v>24</v>
      </c>
      <c r="E47" s="25"/>
      <c r="F47" s="117" t="s">
        <v>288</v>
      </c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  <c r="Z47" s="15">
        <v>0.5</v>
      </c>
    </row>
    <row r="48" spans="1:26">
      <c r="A48" s="21" t="s">
        <v>82</v>
      </c>
      <c r="B48" s="25"/>
      <c r="C48" s="25"/>
      <c r="D48" s="115" t="s">
        <v>287</v>
      </c>
      <c r="E48" s="25"/>
      <c r="F48" s="110" t="s">
        <v>16</v>
      </c>
      <c r="G48" s="44" t="s">
        <v>26</v>
      </c>
      <c r="H48" s="118" t="s">
        <v>31</v>
      </c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25" t="s">
        <v>24</v>
      </c>
      <c r="C49" s="25"/>
      <c r="D49" s="117" t="s">
        <v>36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16" t="s">
        <v>32</v>
      </c>
      <c r="C50" s="115" t="s">
        <v>287</v>
      </c>
      <c r="D50" s="25"/>
      <c r="E50" s="44" t="s">
        <v>26</v>
      </c>
      <c r="F50" s="25"/>
      <c r="G50" s="116" t="s">
        <v>45</v>
      </c>
      <c r="H50" s="25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266</v>
      </c>
      <c r="B51" s="118" t="s">
        <v>337</v>
      </c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339</v>
      </c>
      <c r="C53" s="51" t="s">
        <v>340</v>
      </c>
      <c r="D53" s="51" t="s">
        <v>341</v>
      </c>
      <c r="E53" s="51" t="s">
        <v>342</v>
      </c>
      <c r="F53" s="51" t="s">
        <v>343</v>
      </c>
      <c r="G53" s="51" t="s">
        <v>267</v>
      </c>
      <c r="H53" s="51" t="s">
        <v>96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29.25</v>
      </c>
    </row>
    <row r="54" spans="1:26" ht="15" customHeight="1">
      <c r="A54" s="106" t="s">
        <v>99</v>
      </c>
      <c r="B54" s="107" t="str">
        <f>B58</f>
        <v>Mon 1 Jun</v>
      </c>
      <c r="C54" s="107" t="str">
        <f>C58</f>
        <v>Tues 2 Jun</v>
      </c>
      <c r="D54" s="107" t="str">
        <f t="shared" ref="D54:H54" si="11">D58</f>
        <v>Wed 3 Jun</v>
      </c>
      <c r="E54" s="107" t="str">
        <f t="shared" si="11"/>
        <v>Thu 4 Jun</v>
      </c>
      <c r="F54" s="107" t="str">
        <f t="shared" si="11"/>
        <v>Fri 5 Jun</v>
      </c>
      <c r="G54" s="107" t="str">
        <f t="shared" si="11"/>
        <v>Sat 6 Jun</v>
      </c>
      <c r="H54" s="107" t="str">
        <f t="shared" si="11"/>
        <v>Sun 7 Jun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/>
      <c r="D55" s="25" t="s">
        <v>108</v>
      </c>
      <c r="E55" s="25" t="s">
        <v>108</v>
      </c>
      <c r="F55" s="25"/>
      <c r="G55" s="25"/>
      <c r="H55" s="25"/>
      <c r="J55" t="e">
        <f t="shared" ref="J55:P56" ca="1" si="12">colorindex(B55)</f>
        <v>#NAME?</v>
      </c>
      <c r="K55" t="e">
        <f t="shared" ca="1" si="12"/>
        <v>#NAME?</v>
      </c>
      <c r="L55" t="e">
        <f t="shared" ca="1" si="12"/>
        <v>#NAME?</v>
      </c>
      <c r="M55" t="e">
        <f t="shared" ca="1" si="12"/>
        <v>#NAME?</v>
      </c>
      <c r="N55" t="e">
        <f t="shared" ca="1" si="12"/>
        <v>#NAME?</v>
      </c>
      <c r="O55" t="e">
        <f t="shared" ca="1" si="12"/>
        <v>#NAME?</v>
      </c>
      <c r="P55" t="e">
        <f t="shared" ca="1" si="12"/>
        <v>#NAME?</v>
      </c>
      <c r="R55" t="e">
        <f t="shared" ref="R55:X56" ca="1" si="13">ShiftIndex(B55)</f>
        <v>#NAME?</v>
      </c>
      <c r="S55" t="e">
        <f t="shared" ca="1" si="13"/>
        <v>#NAME?</v>
      </c>
      <c r="T55" t="e">
        <f t="shared" ca="1" si="13"/>
        <v>#NAME?</v>
      </c>
      <c r="U55" t="e">
        <f t="shared" ca="1" si="13"/>
        <v>#NAME?</v>
      </c>
      <c r="V55" t="e">
        <f t="shared" ca="1" si="13"/>
        <v>#NAME?</v>
      </c>
      <c r="W55" t="e">
        <f t="shared" ca="1" si="13"/>
        <v>#NAME?</v>
      </c>
      <c r="X55" t="e">
        <f t="shared" ca="1" si="13"/>
        <v>#NAME?</v>
      </c>
    </row>
    <row r="56" spans="1:26" ht="15" customHeight="1">
      <c r="A56" s="22" t="s">
        <v>109</v>
      </c>
      <c r="B56" s="25" t="s">
        <v>108</v>
      </c>
      <c r="C56" s="25"/>
      <c r="D56" s="25" t="s">
        <v>24</v>
      </c>
      <c r="E56" s="25"/>
      <c r="F56" s="25" t="s">
        <v>108</v>
      </c>
      <c r="G56" s="25"/>
      <c r="H56" s="25"/>
      <c r="J56" t="e">
        <f t="shared" ca="1" si="12"/>
        <v>#NAME?</v>
      </c>
      <c r="K56" t="e">
        <f t="shared" ca="1" si="12"/>
        <v>#NAME?</v>
      </c>
      <c r="L56" t="e">
        <f t="shared" ca="1" si="12"/>
        <v>#NAME?</v>
      </c>
      <c r="M56" t="e">
        <f t="shared" ca="1" si="12"/>
        <v>#NAME?</v>
      </c>
      <c r="N56" t="e">
        <f t="shared" ca="1" si="12"/>
        <v>#NAME?</v>
      </c>
      <c r="O56" t="e">
        <f t="shared" ca="1" si="12"/>
        <v>#NAME?</v>
      </c>
      <c r="P56" t="e">
        <f t="shared" ca="1" si="12"/>
        <v>#NAME?</v>
      </c>
      <c r="R56" t="e">
        <f t="shared" ca="1" si="13"/>
        <v>#NAME?</v>
      </c>
      <c r="S56" t="e">
        <f t="shared" ca="1" si="13"/>
        <v>#NAME?</v>
      </c>
      <c r="T56" t="e">
        <f t="shared" ca="1" si="13"/>
        <v>#NAME?</v>
      </c>
      <c r="U56" t="e">
        <f t="shared" ca="1" si="13"/>
        <v>#NAME?</v>
      </c>
      <c r="V56" t="e">
        <f t="shared" ca="1" si="13"/>
        <v>#NAME?</v>
      </c>
      <c r="W56" t="e">
        <f t="shared" ca="1" si="13"/>
        <v>#NAME?</v>
      </c>
      <c r="X56" t="e">
        <f t="shared" ca="1" si="13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/>
      <c r="H57" s="25"/>
      <c r="J57" t="s">
        <v>296</v>
      </c>
      <c r="K57" t="s">
        <v>296</v>
      </c>
      <c r="L57" t="s">
        <v>296</v>
      </c>
      <c r="M57" t="s">
        <v>296</v>
      </c>
      <c r="N57" t="s">
        <v>296</v>
      </c>
      <c r="O57" t="s">
        <v>296</v>
      </c>
      <c r="P57" t="s">
        <v>296</v>
      </c>
      <c r="R57" t="s">
        <v>296</v>
      </c>
      <c r="S57" t="s">
        <v>288</v>
      </c>
      <c r="T57" t="s">
        <v>296</v>
      </c>
      <c r="U57" t="s">
        <v>296</v>
      </c>
      <c r="V57" t="s">
        <v>296</v>
      </c>
      <c r="W57" t="s">
        <v>288</v>
      </c>
      <c r="X57" t="s">
        <v>296</v>
      </c>
    </row>
    <row r="58" spans="1:26" ht="15" customHeight="1">
      <c r="A58" s="106" t="s">
        <v>113</v>
      </c>
      <c r="B58" s="107" t="s">
        <v>344</v>
      </c>
      <c r="C58" s="107" t="s">
        <v>345</v>
      </c>
      <c r="D58" s="107" t="s">
        <v>346</v>
      </c>
      <c r="E58" s="107" t="s">
        <v>347</v>
      </c>
      <c r="F58" s="107" t="s">
        <v>348</v>
      </c>
      <c r="G58" s="107" t="s">
        <v>349</v>
      </c>
      <c r="H58" s="107" t="s">
        <v>350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28" t="s">
        <v>115</v>
      </c>
      <c r="C59" s="120" t="s">
        <v>116</v>
      </c>
      <c r="D59" s="25"/>
      <c r="E59" s="25"/>
      <c r="F59" s="25"/>
      <c r="G59" s="120" t="s">
        <v>118</v>
      </c>
      <c r="H59" s="120" t="s">
        <v>118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120" t="s">
        <v>118</v>
      </c>
      <c r="D60" s="121" t="s">
        <v>118</v>
      </c>
      <c r="E60" s="28" t="s">
        <v>115</v>
      </c>
      <c r="F60" s="121" t="s">
        <v>116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0" t="s">
        <v>122</v>
      </c>
      <c r="C62" s="28" t="s">
        <v>351</v>
      </c>
      <c r="D62" s="25"/>
      <c r="E62" s="25"/>
      <c r="F62" s="25"/>
      <c r="G62" s="25" t="s">
        <v>123</v>
      </c>
      <c r="H62" s="25" t="s">
        <v>152</v>
      </c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4">colorindex(E62)</f>
        <v>#NAME?</v>
      </c>
      <c r="N62" t="e">
        <f t="shared" ca="1" si="14"/>
        <v>#NAME?</v>
      </c>
      <c r="O62" t="e">
        <f t="shared" ca="1" si="14"/>
        <v>#NAME?</v>
      </c>
      <c r="P62" t="e">
        <f t="shared" ca="1" si="14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5">ShiftIndex(E62)</f>
        <v>#NAME?</v>
      </c>
      <c r="V62" t="e">
        <f t="shared" ca="1" si="15"/>
        <v>#NAME?</v>
      </c>
      <c r="W62" t="e">
        <f t="shared" ca="1" si="15"/>
        <v>#NAME?</v>
      </c>
      <c r="X62" t="e">
        <f t="shared" ca="1" si="15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1 Jun</v>
      </c>
      <c r="C63" s="107" t="str">
        <f t="shared" ref="C63:H63" si="16">C58</f>
        <v>Tues 2 Jun</v>
      </c>
      <c r="D63" s="107" t="str">
        <f t="shared" si="16"/>
        <v>Wed 3 Jun</v>
      </c>
      <c r="E63" s="107" t="str">
        <f t="shared" si="16"/>
        <v>Thu 4 Jun</v>
      </c>
      <c r="F63" s="107" t="str">
        <f t="shared" si="16"/>
        <v>Fri 5 Jun</v>
      </c>
      <c r="G63" s="107" t="str">
        <f t="shared" si="16"/>
        <v>Sat 6 Jun</v>
      </c>
      <c r="H63" s="107" t="str">
        <f t="shared" si="16"/>
        <v>Sun 7 Jun</v>
      </c>
      <c r="J63" t="e">
        <f t="shared" ref="J63:P101" ca="1" si="17">colorindex(B63)</f>
        <v>#NAME?</v>
      </c>
      <c r="K63" t="e">
        <f t="shared" ca="1" si="17"/>
        <v>#NAME?</v>
      </c>
      <c r="L63" t="e">
        <f t="shared" ca="1" si="17"/>
        <v>#NAME?</v>
      </c>
      <c r="M63" t="e">
        <f t="shared" ca="1" si="14"/>
        <v>#NAME?</v>
      </c>
      <c r="N63" t="e">
        <f t="shared" ca="1" si="14"/>
        <v>#NAME?</v>
      </c>
      <c r="O63" t="e">
        <f t="shared" ca="1" si="14"/>
        <v>#NAME?</v>
      </c>
      <c r="P63" t="e">
        <f t="shared" ca="1" si="14"/>
        <v>#NAME?</v>
      </c>
      <c r="R63" t="e">
        <f t="shared" ref="R63:X101" ca="1" si="18">ShiftIndex(B63)</f>
        <v>#NAME?</v>
      </c>
      <c r="S63" t="e">
        <f t="shared" ca="1" si="18"/>
        <v>#NAME?</v>
      </c>
      <c r="T63" t="e">
        <f t="shared" ca="1" si="18"/>
        <v>#NAME?</v>
      </c>
      <c r="U63" t="e">
        <f t="shared" ca="1" si="15"/>
        <v>#NAME?</v>
      </c>
      <c r="V63" t="e">
        <f t="shared" ca="1" si="15"/>
        <v>#NAME?</v>
      </c>
      <c r="W63" t="e">
        <f t="shared" ca="1" si="15"/>
        <v>#NAME?</v>
      </c>
      <c r="X63" t="e">
        <f t="shared" ca="1" si="15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1" t="s">
        <v>118</v>
      </c>
      <c r="F64" s="25"/>
      <c r="G64" s="25" t="s">
        <v>352</v>
      </c>
      <c r="H64" s="28" t="s">
        <v>119</v>
      </c>
      <c r="J64" t="e">
        <f t="shared" ca="1" si="17"/>
        <v>#NAME?</v>
      </c>
      <c r="K64" t="e">
        <f t="shared" ca="1" si="17"/>
        <v>#NAME?</v>
      </c>
      <c r="L64" t="e">
        <f t="shared" ca="1" si="17"/>
        <v>#NAME?</v>
      </c>
      <c r="M64" t="e">
        <f t="shared" ca="1" si="14"/>
        <v>#NAME?</v>
      </c>
      <c r="N64" t="e">
        <f t="shared" ca="1" si="14"/>
        <v>#NAME?</v>
      </c>
      <c r="O64" t="e">
        <f t="shared" ca="1" si="14"/>
        <v>#NAME?</v>
      </c>
      <c r="P64" t="e">
        <f t="shared" ca="1" si="14"/>
        <v>#NAME?</v>
      </c>
      <c r="R64" t="e">
        <f t="shared" ca="1" si="18"/>
        <v>#NAME?</v>
      </c>
      <c r="S64" t="e">
        <f t="shared" ca="1" si="18"/>
        <v>#NAME?</v>
      </c>
      <c r="T64" t="e">
        <f t="shared" ca="1" si="18"/>
        <v>#NAME?</v>
      </c>
      <c r="U64" t="e">
        <f t="shared" ca="1" si="15"/>
        <v>#NAME?</v>
      </c>
      <c r="V64" t="e">
        <f t="shared" ca="1" si="15"/>
        <v>#NAME?</v>
      </c>
      <c r="W64" t="e">
        <f t="shared" ca="1" si="15"/>
        <v>#NAME?</v>
      </c>
      <c r="X64" t="e">
        <f t="shared" ca="1" si="15"/>
        <v>#NAME?</v>
      </c>
      <c r="Z64" s="15">
        <v>1</v>
      </c>
    </row>
    <row r="65" spans="1:26" ht="15" customHeight="1">
      <c r="A65" s="22" t="s">
        <v>128</v>
      </c>
      <c r="B65" s="25"/>
      <c r="C65" s="121" t="s">
        <v>118</v>
      </c>
      <c r="D65" s="25"/>
      <c r="E65" s="25"/>
      <c r="F65" s="25"/>
      <c r="G65" s="25"/>
      <c r="H65" s="25"/>
      <c r="J65" t="e">
        <f t="shared" ca="1" si="17"/>
        <v>#NAME?</v>
      </c>
      <c r="K65" t="e">
        <f t="shared" ca="1" si="17"/>
        <v>#NAME?</v>
      </c>
      <c r="L65" t="e">
        <f t="shared" ca="1" si="17"/>
        <v>#NAME?</v>
      </c>
      <c r="M65" t="e">
        <f t="shared" ca="1" si="14"/>
        <v>#NAME?</v>
      </c>
      <c r="N65" t="e">
        <f t="shared" ca="1" si="14"/>
        <v>#NAME?</v>
      </c>
      <c r="O65" t="e">
        <f t="shared" ca="1" si="14"/>
        <v>#NAME?</v>
      </c>
      <c r="P65" t="e">
        <f t="shared" ca="1" si="14"/>
        <v>#NAME?</v>
      </c>
      <c r="R65" t="e">
        <f t="shared" ca="1" si="18"/>
        <v>#NAME?</v>
      </c>
      <c r="S65" t="e">
        <f t="shared" ca="1" si="18"/>
        <v>#NAME?</v>
      </c>
      <c r="T65" t="e">
        <f t="shared" ca="1" si="18"/>
        <v>#NAME?</v>
      </c>
      <c r="U65" t="e">
        <f t="shared" ca="1" si="15"/>
        <v>#NAME?</v>
      </c>
      <c r="V65" t="e">
        <f t="shared" ca="1" si="15"/>
        <v>#NAME?</v>
      </c>
      <c r="W65" t="e">
        <f t="shared" ca="1" si="15"/>
        <v>#NAME?</v>
      </c>
      <c r="X65" t="e">
        <f t="shared" ca="1" si="15"/>
        <v>#NAME?</v>
      </c>
      <c r="Z65" s="15">
        <v>0.25</v>
      </c>
    </row>
    <row r="66" spans="1:26" ht="15" customHeight="1">
      <c r="A66" s="22" t="s">
        <v>129</v>
      </c>
      <c r="B66" s="28" t="s">
        <v>119</v>
      </c>
      <c r="C66" s="25"/>
      <c r="D66" s="25"/>
      <c r="E66" s="25"/>
      <c r="F66" s="25"/>
      <c r="G66" s="25"/>
      <c r="H66" s="28" t="s">
        <v>119</v>
      </c>
      <c r="J66" t="e">
        <f t="shared" ca="1" si="17"/>
        <v>#NAME?</v>
      </c>
      <c r="K66" t="e">
        <f t="shared" ca="1" si="17"/>
        <v>#NAME?</v>
      </c>
      <c r="L66" t="e">
        <f t="shared" ca="1" si="17"/>
        <v>#NAME?</v>
      </c>
      <c r="M66" t="e">
        <f t="shared" ca="1" si="14"/>
        <v>#NAME?</v>
      </c>
      <c r="N66" t="e">
        <f t="shared" ca="1" si="14"/>
        <v>#NAME?</v>
      </c>
      <c r="O66" t="e">
        <f t="shared" ca="1" si="14"/>
        <v>#NAME?</v>
      </c>
      <c r="P66" t="e">
        <f t="shared" ca="1" si="14"/>
        <v>#NAME?</v>
      </c>
      <c r="R66" t="e">
        <f t="shared" ca="1" si="18"/>
        <v>#NAME?</v>
      </c>
      <c r="S66" t="e">
        <f t="shared" ca="1" si="18"/>
        <v>#NAME?</v>
      </c>
      <c r="T66" t="e">
        <f t="shared" ca="1" si="18"/>
        <v>#NAME?</v>
      </c>
      <c r="U66" t="e">
        <f t="shared" ca="1" si="15"/>
        <v>#NAME?</v>
      </c>
      <c r="V66" t="e">
        <f t="shared" ca="1" si="15"/>
        <v>#NAME?</v>
      </c>
      <c r="W66" t="e">
        <f t="shared" ca="1" si="15"/>
        <v>#NAME?</v>
      </c>
      <c r="X66" t="e">
        <f t="shared" ca="1" si="15"/>
        <v>#NAME?</v>
      </c>
      <c r="Z66" s="15">
        <v>0.5</v>
      </c>
    </row>
    <row r="67" spans="1:26" ht="26.25">
      <c r="A67" s="106" t="s">
        <v>130</v>
      </c>
      <c r="B67" s="108" t="str">
        <f>B58</f>
        <v>Mon 1 Jun</v>
      </c>
      <c r="C67" s="107" t="str">
        <f t="shared" ref="C67:H67" si="19">C58</f>
        <v>Tues 2 Jun</v>
      </c>
      <c r="D67" s="108" t="s">
        <v>353</v>
      </c>
      <c r="E67" s="107" t="str">
        <f t="shared" si="19"/>
        <v>Thu 4 Jun</v>
      </c>
      <c r="F67" s="107" t="str">
        <f t="shared" si="19"/>
        <v>Fri 5 Jun</v>
      </c>
      <c r="G67" s="107" t="str">
        <f t="shared" si="19"/>
        <v>Sat 6 Jun</v>
      </c>
      <c r="H67" s="107" t="str">
        <f t="shared" si="19"/>
        <v>Sun 7 Jun</v>
      </c>
      <c r="J67" t="e">
        <f t="shared" ca="1" si="17"/>
        <v>#NAME?</v>
      </c>
      <c r="K67" t="e">
        <f t="shared" ca="1" si="17"/>
        <v>#NAME?</v>
      </c>
      <c r="L67" t="e">
        <f t="shared" ca="1" si="17"/>
        <v>#NAME?</v>
      </c>
      <c r="M67" t="e">
        <f t="shared" ca="1" si="14"/>
        <v>#NAME?</v>
      </c>
      <c r="N67" t="e">
        <f t="shared" ca="1" si="14"/>
        <v>#NAME?</v>
      </c>
      <c r="O67" t="e">
        <f t="shared" ca="1" si="14"/>
        <v>#NAME?</v>
      </c>
      <c r="P67" t="e">
        <f t="shared" ca="1" si="14"/>
        <v>#NAME?</v>
      </c>
      <c r="R67" t="e">
        <f t="shared" ca="1" si="18"/>
        <v>#NAME?</v>
      </c>
      <c r="S67" t="e">
        <f t="shared" ca="1" si="18"/>
        <v>#NAME?</v>
      </c>
      <c r="T67" t="e">
        <f t="shared" ca="1" si="18"/>
        <v>#NAME?</v>
      </c>
      <c r="U67" t="e">
        <f t="shared" ca="1" si="15"/>
        <v>#NAME?</v>
      </c>
      <c r="V67" t="e">
        <f t="shared" ca="1" si="15"/>
        <v>#NAME?</v>
      </c>
      <c r="W67" t="e">
        <f t="shared" ca="1" si="15"/>
        <v>#NAME?</v>
      </c>
      <c r="X67" t="e">
        <f t="shared" ca="1" si="15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25" t="s">
        <v>141</v>
      </c>
      <c r="E68" s="25"/>
      <c r="F68" s="25"/>
      <c r="G68" s="121" t="s">
        <v>118</v>
      </c>
      <c r="H68" s="25"/>
      <c r="J68" t="e">
        <f t="shared" ca="1" si="17"/>
        <v>#NAME?</v>
      </c>
      <c r="K68" t="e">
        <f t="shared" ca="1" si="17"/>
        <v>#NAME?</v>
      </c>
      <c r="L68" t="e">
        <f t="shared" ca="1" si="17"/>
        <v>#NAME?</v>
      </c>
      <c r="M68" t="e">
        <f t="shared" ca="1" si="14"/>
        <v>#NAME?</v>
      </c>
      <c r="N68" t="e">
        <f t="shared" ca="1" si="14"/>
        <v>#NAME?</v>
      </c>
      <c r="O68" t="e">
        <f t="shared" ca="1" si="14"/>
        <v>#NAME?</v>
      </c>
      <c r="P68" t="e">
        <f t="shared" ca="1" si="14"/>
        <v>#NAME?</v>
      </c>
      <c r="R68" t="e">
        <f t="shared" ca="1" si="18"/>
        <v>#NAME?</v>
      </c>
      <c r="S68" t="e">
        <f t="shared" ca="1" si="18"/>
        <v>#NAME?</v>
      </c>
      <c r="T68" t="e">
        <f t="shared" ca="1" si="18"/>
        <v>#NAME?</v>
      </c>
      <c r="U68" t="e">
        <f t="shared" ca="1" si="15"/>
        <v>#NAME?</v>
      </c>
      <c r="V68" t="e">
        <f t="shared" ca="1" si="15"/>
        <v>#NAME?</v>
      </c>
      <c r="W68" t="e">
        <f t="shared" ca="1" si="15"/>
        <v>#NAME?</v>
      </c>
      <c r="X68" t="e">
        <f t="shared" ca="1" si="15"/>
        <v>#NAME?</v>
      </c>
      <c r="Z68" s="15">
        <v>0.5</v>
      </c>
    </row>
    <row r="69" spans="1:26" ht="14.45" customHeight="1">
      <c r="A69" s="22" t="s">
        <v>135</v>
      </c>
      <c r="B69" s="25" t="s">
        <v>123</v>
      </c>
      <c r="C69" s="25"/>
      <c r="D69" s="25" t="s">
        <v>141</v>
      </c>
      <c r="E69" s="25"/>
      <c r="F69" s="25"/>
      <c r="G69" s="110" t="s">
        <v>142</v>
      </c>
      <c r="H69" s="121" t="s">
        <v>118</v>
      </c>
      <c r="J69" t="e">
        <f t="shared" ca="1" si="17"/>
        <v>#NAME?</v>
      </c>
      <c r="K69" t="e">
        <f t="shared" ca="1" si="17"/>
        <v>#NAME?</v>
      </c>
      <c r="L69" t="e">
        <f t="shared" ca="1" si="17"/>
        <v>#NAME?</v>
      </c>
      <c r="M69" t="e">
        <f t="shared" ca="1" si="14"/>
        <v>#NAME?</v>
      </c>
      <c r="N69" t="e">
        <f t="shared" ca="1" si="14"/>
        <v>#NAME?</v>
      </c>
      <c r="O69" t="e">
        <f t="shared" ca="1" si="14"/>
        <v>#NAME?</v>
      </c>
      <c r="P69" t="e">
        <f t="shared" ca="1" si="14"/>
        <v>#NAME?</v>
      </c>
      <c r="R69" t="e">
        <f t="shared" ca="1" si="18"/>
        <v>#NAME?</v>
      </c>
      <c r="S69" t="e">
        <f t="shared" ca="1" si="18"/>
        <v>#NAME?</v>
      </c>
      <c r="T69" t="e">
        <f t="shared" ca="1" si="18"/>
        <v>#NAME?</v>
      </c>
      <c r="U69" t="e">
        <f t="shared" ca="1" si="15"/>
        <v>#NAME?</v>
      </c>
      <c r="V69" t="e">
        <f t="shared" ca="1" si="15"/>
        <v>#NAME?</v>
      </c>
      <c r="W69" t="e">
        <f t="shared" ca="1" si="15"/>
        <v>#NAME?</v>
      </c>
      <c r="X69" t="e">
        <f t="shared" ca="1" si="15"/>
        <v>#NAME?</v>
      </c>
      <c r="Z69" s="15">
        <v>0.5</v>
      </c>
    </row>
    <row r="70" spans="1:26" ht="15" customHeight="1">
      <c r="A70" s="22" t="s">
        <v>136</v>
      </c>
      <c r="B70" s="121" t="s">
        <v>118</v>
      </c>
      <c r="C70" s="25"/>
      <c r="D70" s="25" t="s">
        <v>141</v>
      </c>
      <c r="E70" s="110" t="s">
        <v>142</v>
      </c>
      <c r="F70" s="121" t="s">
        <v>118</v>
      </c>
      <c r="G70" s="25"/>
      <c r="H70" s="110" t="s">
        <v>142</v>
      </c>
      <c r="J70" t="e">
        <f t="shared" ca="1" si="17"/>
        <v>#NAME?</v>
      </c>
      <c r="K70" t="e">
        <f t="shared" ca="1" si="17"/>
        <v>#NAME?</v>
      </c>
      <c r="L70" t="e">
        <f t="shared" ca="1" si="17"/>
        <v>#NAME?</v>
      </c>
      <c r="M70" t="e">
        <f t="shared" ca="1" si="14"/>
        <v>#NAME?</v>
      </c>
      <c r="N70" t="e">
        <f t="shared" ca="1" si="14"/>
        <v>#NAME?</v>
      </c>
      <c r="O70" t="e">
        <f t="shared" ca="1" si="14"/>
        <v>#NAME?</v>
      </c>
      <c r="P70" t="e">
        <f t="shared" ca="1" si="14"/>
        <v>#NAME?</v>
      </c>
      <c r="R70" t="e">
        <f t="shared" ca="1" si="18"/>
        <v>#NAME?</v>
      </c>
      <c r="S70" t="e">
        <f t="shared" ca="1" si="18"/>
        <v>#NAME?</v>
      </c>
      <c r="T70" t="e">
        <f t="shared" ca="1" si="18"/>
        <v>#NAME?</v>
      </c>
      <c r="U70" t="e">
        <f t="shared" ca="1" si="15"/>
        <v>#NAME?</v>
      </c>
      <c r="V70" t="e">
        <f t="shared" ca="1" si="15"/>
        <v>#NAME?</v>
      </c>
      <c r="W70" t="e">
        <f t="shared" ca="1" si="15"/>
        <v>#NAME?</v>
      </c>
      <c r="X70" t="e">
        <f t="shared" ca="1" si="15"/>
        <v>#NAME?</v>
      </c>
      <c r="Z70" s="24">
        <v>1</v>
      </c>
    </row>
    <row r="71" spans="1:26" ht="15" customHeight="1">
      <c r="A71" s="22" t="s">
        <v>137</v>
      </c>
      <c r="B71" s="25"/>
      <c r="C71" s="25"/>
      <c r="D71" s="25" t="s">
        <v>141</v>
      </c>
      <c r="E71" s="110" t="s">
        <v>139</v>
      </c>
      <c r="F71" s="110" t="s">
        <v>139</v>
      </c>
      <c r="G71" s="25"/>
      <c r="H71" s="25"/>
      <c r="J71" t="e">
        <f t="shared" ca="1" si="17"/>
        <v>#NAME?</v>
      </c>
      <c r="K71" t="e">
        <f t="shared" ca="1" si="17"/>
        <v>#NAME?</v>
      </c>
      <c r="L71" t="e">
        <f t="shared" ca="1" si="17"/>
        <v>#NAME?</v>
      </c>
      <c r="M71" t="e">
        <f t="shared" ca="1" si="14"/>
        <v>#NAME?</v>
      </c>
      <c r="N71" t="e">
        <f t="shared" ca="1" si="14"/>
        <v>#NAME?</v>
      </c>
      <c r="O71" t="e">
        <f t="shared" ca="1" si="14"/>
        <v>#NAME?</v>
      </c>
      <c r="P71" t="e">
        <f t="shared" ca="1" si="14"/>
        <v>#NAME?</v>
      </c>
      <c r="R71" t="e">
        <f t="shared" ca="1" si="18"/>
        <v>#NAME?</v>
      </c>
      <c r="S71" t="e">
        <f t="shared" ca="1" si="18"/>
        <v>#NAME?</v>
      </c>
      <c r="T71" t="e">
        <f t="shared" ca="1" si="18"/>
        <v>#NAME?</v>
      </c>
      <c r="U71" t="e">
        <f t="shared" ca="1" si="15"/>
        <v>#NAME?</v>
      </c>
      <c r="V71" t="e">
        <f t="shared" ca="1" si="15"/>
        <v>#NAME?</v>
      </c>
      <c r="W71" t="e">
        <f t="shared" ca="1" si="15"/>
        <v>#NAME?</v>
      </c>
      <c r="X71" t="e">
        <f t="shared" ca="1" si="15"/>
        <v>#NAME?</v>
      </c>
      <c r="Z71" s="24">
        <v>1</v>
      </c>
    </row>
    <row r="72" spans="1:26" ht="15" customHeight="1">
      <c r="A72" s="22" t="s">
        <v>140</v>
      </c>
      <c r="B72" s="110" t="s">
        <v>142</v>
      </c>
      <c r="C72" s="25"/>
      <c r="D72" s="121" t="s">
        <v>116</v>
      </c>
      <c r="E72" s="120" t="s">
        <v>116</v>
      </c>
      <c r="F72" s="25" t="s">
        <v>123</v>
      </c>
      <c r="G72" s="25" t="s">
        <v>152</v>
      </c>
      <c r="H72" s="25" t="s">
        <v>123</v>
      </c>
      <c r="J72" t="e">
        <f t="shared" ca="1" si="17"/>
        <v>#NAME?</v>
      </c>
      <c r="K72" t="e">
        <f t="shared" ca="1" si="17"/>
        <v>#NAME?</v>
      </c>
      <c r="L72" t="e">
        <f t="shared" ca="1" si="17"/>
        <v>#NAME?</v>
      </c>
      <c r="M72" t="e">
        <f t="shared" ca="1" si="14"/>
        <v>#NAME?</v>
      </c>
      <c r="N72" t="e">
        <f t="shared" ca="1" si="14"/>
        <v>#NAME?</v>
      </c>
      <c r="O72" t="e">
        <f t="shared" ca="1" si="14"/>
        <v>#NAME?</v>
      </c>
      <c r="P72" t="e">
        <f t="shared" ca="1" si="14"/>
        <v>#NAME?</v>
      </c>
      <c r="R72" t="e">
        <f t="shared" ca="1" si="18"/>
        <v>#NAME?</v>
      </c>
      <c r="S72" t="e">
        <f t="shared" ca="1" si="18"/>
        <v>#NAME?</v>
      </c>
      <c r="T72" t="e">
        <f t="shared" ca="1" si="18"/>
        <v>#NAME?</v>
      </c>
      <c r="U72" t="e">
        <f t="shared" ca="1" si="15"/>
        <v>#NAME?</v>
      </c>
      <c r="V72" t="e">
        <f t="shared" ca="1" si="15"/>
        <v>#NAME?</v>
      </c>
      <c r="W72" t="e">
        <f t="shared" ca="1" si="15"/>
        <v>#NAME?</v>
      </c>
      <c r="X72" t="e">
        <f t="shared" ca="1" si="15"/>
        <v>#NAME?</v>
      </c>
      <c r="Z72" s="24">
        <v>1</v>
      </c>
    </row>
    <row r="73" spans="1:26" ht="15" customHeight="1">
      <c r="A73" s="22" t="s">
        <v>143</v>
      </c>
      <c r="B73" s="25" t="s">
        <v>152</v>
      </c>
      <c r="C73" s="25" t="s">
        <v>123</v>
      </c>
      <c r="D73" s="25" t="s">
        <v>123</v>
      </c>
      <c r="E73" s="25" t="s">
        <v>123</v>
      </c>
      <c r="F73" s="25"/>
      <c r="G73" s="25"/>
      <c r="H73" s="25"/>
      <c r="J73" t="e">
        <f t="shared" ca="1" si="17"/>
        <v>#NAME?</v>
      </c>
      <c r="K73" t="e">
        <f t="shared" ca="1" si="17"/>
        <v>#NAME?</v>
      </c>
      <c r="L73" t="e">
        <f t="shared" ca="1" si="17"/>
        <v>#NAME?</v>
      </c>
      <c r="M73" t="e">
        <f t="shared" ca="1" si="17"/>
        <v>#NAME?</v>
      </c>
      <c r="N73" t="e">
        <f t="shared" ca="1" si="17"/>
        <v>#NAME?</v>
      </c>
      <c r="O73" t="e">
        <f t="shared" ca="1" si="17"/>
        <v>#NAME?</v>
      </c>
      <c r="P73" t="e">
        <f t="shared" ca="1" si="17"/>
        <v>#NAME?</v>
      </c>
      <c r="R73" t="e">
        <f t="shared" ca="1" si="18"/>
        <v>#NAME?</v>
      </c>
      <c r="S73" t="e">
        <f t="shared" ca="1" si="18"/>
        <v>#NAME?</v>
      </c>
      <c r="T73" t="e">
        <f t="shared" ca="1" si="18"/>
        <v>#NAME?</v>
      </c>
      <c r="U73" t="e">
        <f t="shared" ca="1" si="18"/>
        <v>#NAME?</v>
      </c>
      <c r="V73" t="e">
        <f t="shared" ca="1" si="18"/>
        <v>#NAME?</v>
      </c>
      <c r="W73" t="e">
        <f t="shared" ca="1" si="18"/>
        <v>#NAME?</v>
      </c>
      <c r="X73" t="e">
        <f t="shared" ca="1" si="18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120" t="s">
        <v>116</v>
      </c>
      <c r="G74" s="121" t="s">
        <v>116</v>
      </c>
      <c r="H74" s="121" t="s">
        <v>116</v>
      </c>
      <c r="J74" t="e">
        <f t="shared" ca="1" si="17"/>
        <v>#NAME?</v>
      </c>
      <c r="K74" t="e">
        <f t="shared" ca="1" si="17"/>
        <v>#NAME?</v>
      </c>
      <c r="L74" t="e">
        <f t="shared" ca="1" si="17"/>
        <v>#NAME?</v>
      </c>
      <c r="M74" t="e">
        <f t="shared" ca="1" si="17"/>
        <v>#NAME?</v>
      </c>
      <c r="N74" t="e">
        <f t="shared" ca="1" si="17"/>
        <v>#NAME?</v>
      </c>
      <c r="O74" t="e">
        <f t="shared" ca="1" si="17"/>
        <v>#NAME?</v>
      </c>
      <c r="P74" t="e">
        <f t="shared" ca="1" si="17"/>
        <v>#NAME?</v>
      </c>
      <c r="R74" t="e">
        <f t="shared" ca="1" si="18"/>
        <v>#NAME?</v>
      </c>
      <c r="S74" t="e">
        <f t="shared" ca="1" si="18"/>
        <v>#NAME?</v>
      </c>
      <c r="T74" t="e">
        <f t="shared" ca="1" si="18"/>
        <v>#NAME?</v>
      </c>
      <c r="U74" t="e">
        <f t="shared" ca="1" si="18"/>
        <v>#NAME?</v>
      </c>
      <c r="V74" t="e">
        <f t="shared" ca="1" si="18"/>
        <v>#NAME?</v>
      </c>
      <c r="W74" t="e">
        <f t="shared" ca="1" si="18"/>
        <v>#NAME?</v>
      </c>
      <c r="X74" t="e">
        <f t="shared" ca="1" si="18"/>
        <v>#NAME?</v>
      </c>
      <c r="Z74" s="24">
        <v>1</v>
      </c>
    </row>
    <row r="75" spans="1:26" ht="26.25">
      <c r="A75" s="106" t="s">
        <v>146</v>
      </c>
      <c r="B75" s="108" t="str">
        <f>B58</f>
        <v>Mon 1 Jun</v>
      </c>
      <c r="C75" s="107" t="str">
        <f>C67</f>
        <v>Tues 2 Jun</v>
      </c>
      <c r="D75" s="108" t="s">
        <v>353</v>
      </c>
      <c r="E75" s="107" t="str">
        <f>E67</f>
        <v>Thu 4 Jun</v>
      </c>
      <c r="F75" s="107" t="str">
        <f>F67</f>
        <v>Fri 5 Jun</v>
      </c>
      <c r="G75" s="107" t="str">
        <f>G67</f>
        <v>Sat 6 Jun</v>
      </c>
      <c r="H75" s="107" t="str">
        <f>H67</f>
        <v>Sun 7 Jun</v>
      </c>
      <c r="J75" t="e">
        <f t="shared" ca="1" si="17"/>
        <v>#NAME?</v>
      </c>
      <c r="K75" t="e">
        <f t="shared" ca="1" si="17"/>
        <v>#NAME?</v>
      </c>
      <c r="L75" t="e">
        <f t="shared" ca="1" si="17"/>
        <v>#NAME?</v>
      </c>
      <c r="M75" t="e">
        <f t="shared" ca="1" si="17"/>
        <v>#NAME?</v>
      </c>
      <c r="N75" t="e">
        <f t="shared" ca="1" si="17"/>
        <v>#NAME?</v>
      </c>
      <c r="O75" t="e">
        <f t="shared" ca="1" si="17"/>
        <v>#NAME?</v>
      </c>
      <c r="P75" t="e">
        <f t="shared" ca="1" si="17"/>
        <v>#NAME?</v>
      </c>
      <c r="R75" t="e">
        <f t="shared" ca="1" si="18"/>
        <v>#NAME?</v>
      </c>
      <c r="S75" t="e">
        <f t="shared" ca="1" si="18"/>
        <v>#NAME?</v>
      </c>
      <c r="T75" t="e">
        <f t="shared" ca="1" si="18"/>
        <v>#NAME?</v>
      </c>
      <c r="U75" t="e">
        <f t="shared" ca="1" si="18"/>
        <v>#NAME?</v>
      </c>
      <c r="V75" t="e">
        <f t="shared" ca="1" si="18"/>
        <v>#NAME?</v>
      </c>
      <c r="W75" t="e">
        <f t="shared" ca="1" si="18"/>
        <v>#NAME?</v>
      </c>
      <c r="X75" t="e">
        <f t="shared" ca="1" si="18"/>
        <v>#NAME?</v>
      </c>
      <c r="Z75" s="53">
        <f>SUM(Z68:Z74)</f>
        <v>6</v>
      </c>
    </row>
    <row r="76" spans="1:26" ht="15" customHeight="1">
      <c r="A76" s="22" t="s">
        <v>147</v>
      </c>
      <c r="B76" s="127" t="s">
        <v>18</v>
      </c>
      <c r="C76" s="128"/>
      <c r="D76" s="128"/>
      <c r="E76" s="128"/>
      <c r="F76" s="128"/>
      <c r="G76" s="128"/>
      <c r="H76" s="129"/>
      <c r="J76" t="e">
        <f t="shared" ca="1" si="17"/>
        <v>#NAME?</v>
      </c>
      <c r="K76" t="e">
        <f t="shared" ca="1" si="17"/>
        <v>#NAME?</v>
      </c>
      <c r="L76" t="e">
        <f t="shared" ca="1" si="17"/>
        <v>#NAME?</v>
      </c>
      <c r="M76" t="e">
        <f t="shared" ca="1" si="17"/>
        <v>#NAME?</v>
      </c>
      <c r="N76" t="e">
        <f t="shared" ca="1" si="17"/>
        <v>#NAME?</v>
      </c>
      <c r="O76" t="e">
        <f t="shared" ca="1" si="17"/>
        <v>#NAME?</v>
      </c>
      <c r="P76" t="e">
        <f t="shared" ca="1" si="17"/>
        <v>#NAME?</v>
      </c>
      <c r="R76" t="e">
        <f t="shared" ca="1" si="18"/>
        <v>#NAME?</v>
      </c>
      <c r="S76" t="e">
        <f t="shared" ca="1" si="18"/>
        <v>#NAME?</v>
      </c>
      <c r="T76" t="e">
        <f t="shared" ca="1" si="18"/>
        <v>#NAME?</v>
      </c>
      <c r="U76" t="e">
        <f t="shared" ca="1" si="18"/>
        <v>#NAME?</v>
      </c>
      <c r="V76" t="e">
        <f t="shared" ca="1" si="18"/>
        <v>#NAME?</v>
      </c>
      <c r="W76" t="e">
        <f t="shared" ca="1" si="18"/>
        <v>#NAME?</v>
      </c>
      <c r="X76" t="e">
        <f t="shared" ca="1" si="18"/>
        <v>#NAME?</v>
      </c>
      <c r="Z76" s="24">
        <v>1</v>
      </c>
    </row>
    <row r="77" spans="1:26" ht="15" customHeight="1">
      <c r="A77" s="22" t="s">
        <v>151</v>
      </c>
      <c r="B77" s="25" t="s">
        <v>152</v>
      </c>
      <c r="C77" s="25" t="s">
        <v>152</v>
      </c>
      <c r="D77" s="25"/>
      <c r="E77" s="25"/>
      <c r="F77" s="25"/>
      <c r="G77" s="25"/>
      <c r="H77" s="120" t="s">
        <v>116</v>
      </c>
      <c r="J77" t="e">
        <f t="shared" ca="1" si="17"/>
        <v>#NAME?</v>
      </c>
      <c r="K77" t="e">
        <f t="shared" ca="1" si="17"/>
        <v>#NAME?</v>
      </c>
      <c r="L77" t="e">
        <f t="shared" ca="1" si="17"/>
        <v>#NAME?</v>
      </c>
      <c r="M77" t="e">
        <f t="shared" ca="1" si="17"/>
        <v>#NAME?</v>
      </c>
      <c r="N77" t="e">
        <f t="shared" ca="1" si="17"/>
        <v>#NAME?</v>
      </c>
      <c r="O77" t="e">
        <f t="shared" ca="1" si="17"/>
        <v>#NAME?</v>
      </c>
      <c r="P77" t="e">
        <f t="shared" ca="1" si="17"/>
        <v>#NAME?</v>
      </c>
      <c r="R77" t="e">
        <f t="shared" ca="1" si="18"/>
        <v>#NAME?</v>
      </c>
      <c r="S77" t="e">
        <f t="shared" ca="1" si="18"/>
        <v>#NAME?</v>
      </c>
      <c r="T77" t="e">
        <f t="shared" ca="1" si="18"/>
        <v>#NAME?</v>
      </c>
      <c r="U77" t="e">
        <f t="shared" ca="1" si="18"/>
        <v>#NAME?</v>
      </c>
      <c r="V77" t="e">
        <f t="shared" ca="1" si="18"/>
        <v>#NAME?</v>
      </c>
      <c r="W77" t="e">
        <f t="shared" ca="1" si="18"/>
        <v>#NAME?</v>
      </c>
      <c r="X77" t="e">
        <f t="shared" ca="1" si="18"/>
        <v>#NAME?</v>
      </c>
      <c r="Z77" s="15">
        <v>1</v>
      </c>
    </row>
    <row r="78" spans="1:26" ht="15" customHeight="1">
      <c r="A78" s="22" t="s">
        <v>153</v>
      </c>
      <c r="B78" s="25"/>
      <c r="C78" s="25"/>
      <c r="D78" s="25" t="s">
        <v>141</v>
      </c>
      <c r="E78" s="25"/>
      <c r="F78" s="120" t="s">
        <v>116</v>
      </c>
      <c r="G78" s="28" t="s">
        <v>115</v>
      </c>
      <c r="H78" s="25"/>
      <c r="J78" t="e">
        <f t="shared" ca="1" si="17"/>
        <v>#NAME?</v>
      </c>
      <c r="K78" t="e">
        <f t="shared" ca="1" si="17"/>
        <v>#NAME?</v>
      </c>
      <c r="L78" t="e">
        <f t="shared" ca="1" si="17"/>
        <v>#NAME?</v>
      </c>
      <c r="M78" t="e">
        <f t="shared" ca="1" si="17"/>
        <v>#NAME?</v>
      </c>
      <c r="N78" t="e">
        <f t="shared" ca="1" si="17"/>
        <v>#NAME?</v>
      </c>
      <c r="O78" t="e">
        <f t="shared" ca="1" si="17"/>
        <v>#NAME?</v>
      </c>
      <c r="P78" t="e">
        <f t="shared" ca="1" si="17"/>
        <v>#NAME?</v>
      </c>
      <c r="R78" t="e">
        <f t="shared" ca="1" si="18"/>
        <v>#NAME?</v>
      </c>
      <c r="S78" t="e">
        <f t="shared" ca="1" si="18"/>
        <v>#NAME?</v>
      </c>
      <c r="T78" t="e">
        <f t="shared" ca="1" si="18"/>
        <v>#NAME?</v>
      </c>
      <c r="U78" t="e">
        <f t="shared" ca="1" si="18"/>
        <v>#NAME?</v>
      </c>
      <c r="V78" t="e">
        <f t="shared" ca="1" si="18"/>
        <v>#NAME?</v>
      </c>
      <c r="W78" t="e">
        <f t="shared" ca="1" si="18"/>
        <v>#NAME?</v>
      </c>
      <c r="X78" t="e">
        <f t="shared" ca="1" si="18"/>
        <v>#NAME?</v>
      </c>
      <c r="Z78" s="15">
        <v>0.5</v>
      </c>
    </row>
    <row r="79" spans="1:26">
      <c r="A79" s="22" t="s">
        <v>154</v>
      </c>
      <c r="B79" s="25"/>
      <c r="C79" s="25" t="s">
        <v>152</v>
      </c>
      <c r="D79" s="25" t="s">
        <v>152</v>
      </c>
      <c r="E79" s="25" t="s">
        <v>152</v>
      </c>
      <c r="F79" s="25"/>
      <c r="G79" s="25"/>
      <c r="H79" s="25"/>
      <c r="J79" t="e">
        <f t="shared" ref="J79:P97" ca="1" si="20">colorindex(B79)</f>
        <v>#NAME?</v>
      </c>
      <c r="K79" t="e">
        <f t="shared" ca="1" si="20"/>
        <v>#NAME?</v>
      </c>
      <c r="L79" t="e">
        <f t="shared" ca="1" si="20"/>
        <v>#NAME?</v>
      </c>
      <c r="M79" t="e">
        <f t="shared" ca="1" si="20"/>
        <v>#NAME?</v>
      </c>
      <c r="N79" t="e">
        <f t="shared" ca="1" si="20"/>
        <v>#NAME?</v>
      </c>
      <c r="O79" t="e">
        <f t="shared" ca="1" si="20"/>
        <v>#NAME?</v>
      </c>
      <c r="P79" t="e">
        <f t="shared" ca="1" si="20"/>
        <v>#NAME?</v>
      </c>
      <c r="R79" t="e">
        <f t="shared" ref="R79:X97" ca="1" si="21">ShiftIndex(B79)</f>
        <v>#NAME?</v>
      </c>
      <c r="S79" t="e">
        <f t="shared" ca="1" si="21"/>
        <v>#NAME?</v>
      </c>
      <c r="T79" t="e">
        <f t="shared" ca="1" si="21"/>
        <v>#NAME?</v>
      </c>
      <c r="U79" t="e">
        <f t="shared" ca="1" si="21"/>
        <v>#NAME?</v>
      </c>
      <c r="V79" t="e">
        <f t="shared" ca="1" si="21"/>
        <v>#NAME?</v>
      </c>
      <c r="W79" t="e">
        <f t="shared" ca="1" si="21"/>
        <v>#NAME?</v>
      </c>
      <c r="X79" t="e">
        <f t="shared" ca="1" si="21"/>
        <v>#NAME?</v>
      </c>
      <c r="Z79" s="15">
        <v>1</v>
      </c>
    </row>
    <row r="80" spans="1:26">
      <c r="A80" s="22" t="s">
        <v>155</v>
      </c>
      <c r="B80" s="25"/>
      <c r="C80" s="121" t="s">
        <v>116</v>
      </c>
      <c r="D80" s="25"/>
      <c r="E80" s="25"/>
      <c r="F80" s="25"/>
      <c r="G80" s="25"/>
      <c r="H80" s="110" t="s">
        <v>139</v>
      </c>
      <c r="J80" t="e">
        <f t="shared" ca="1" si="20"/>
        <v>#NAME?</v>
      </c>
      <c r="K80" t="e">
        <f t="shared" ca="1" si="20"/>
        <v>#NAME?</v>
      </c>
      <c r="L80" t="e">
        <f t="shared" ca="1" si="20"/>
        <v>#NAME?</v>
      </c>
      <c r="M80" t="e">
        <f t="shared" ca="1" si="20"/>
        <v>#NAME?</v>
      </c>
      <c r="N80" t="e">
        <f t="shared" ca="1" si="20"/>
        <v>#NAME?</v>
      </c>
      <c r="O80" t="e">
        <f t="shared" ca="1" si="20"/>
        <v>#NAME?</v>
      </c>
      <c r="P80" t="e">
        <f t="shared" ca="1" si="20"/>
        <v>#NAME?</v>
      </c>
      <c r="R80" t="e">
        <f t="shared" ca="1" si="21"/>
        <v>#NAME?</v>
      </c>
      <c r="S80" t="e">
        <f t="shared" ca="1" si="21"/>
        <v>#NAME?</v>
      </c>
      <c r="T80" t="e">
        <f t="shared" ca="1" si="21"/>
        <v>#NAME?</v>
      </c>
      <c r="U80" t="e">
        <f t="shared" ca="1" si="21"/>
        <v>#NAME?</v>
      </c>
      <c r="V80" t="e">
        <f t="shared" ca="1" si="21"/>
        <v>#NAME?</v>
      </c>
      <c r="W80" t="e">
        <f t="shared" ca="1" si="21"/>
        <v>#NAME?</v>
      </c>
      <c r="X80" t="e">
        <f t="shared" ca="1" si="21"/>
        <v>#NAME?</v>
      </c>
      <c r="Z80" s="15">
        <v>0.5</v>
      </c>
    </row>
    <row r="81" spans="1:26" ht="15" customHeight="1">
      <c r="A81" s="22" t="s">
        <v>156</v>
      </c>
      <c r="B81" s="120" t="s">
        <v>116</v>
      </c>
      <c r="C81" s="120" t="s">
        <v>116</v>
      </c>
      <c r="D81" s="121" t="s">
        <v>116</v>
      </c>
      <c r="E81" s="121" t="s">
        <v>116</v>
      </c>
      <c r="F81" s="25"/>
      <c r="G81" s="25"/>
      <c r="H81" s="25"/>
      <c r="J81" t="e">
        <f t="shared" ca="1" si="20"/>
        <v>#NAME?</v>
      </c>
      <c r="K81" t="e">
        <f t="shared" ca="1" si="20"/>
        <v>#NAME?</v>
      </c>
      <c r="L81" t="e">
        <f t="shared" ca="1" si="20"/>
        <v>#NAME?</v>
      </c>
      <c r="M81" t="e">
        <f t="shared" ca="1" si="20"/>
        <v>#NAME?</v>
      </c>
      <c r="N81" t="e">
        <f t="shared" ca="1" si="20"/>
        <v>#NAME?</v>
      </c>
      <c r="O81" t="e">
        <f t="shared" ca="1" si="20"/>
        <v>#NAME?</v>
      </c>
      <c r="P81" t="e">
        <f t="shared" ca="1" si="20"/>
        <v>#NAME?</v>
      </c>
      <c r="R81" t="e">
        <f t="shared" ca="1" si="21"/>
        <v>#NAME?</v>
      </c>
      <c r="S81" t="e">
        <f t="shared" ca="1" si="21"/>
        <v>#NAME?</v>
      </c>
      <c r="T81" t="e">
        <f t="shared" ca="1" si="21"/>
        <v>#NAME?</v>
      </c>
      <c r="U81" t="e">
        <f t="shared" ca="1" si="21"/>
        <v>#NAME?</v>
      </c>
      <c r="V81" t="e">
        <f t="shared" ca="1" si="21"/>
        <v>#NAME?</v>
      </c>
      <c r="W81" t="e">
        <f t="shared" ca="1" si="21"/>
        <v>#NAME?</v>
      </c>
      <c r="X81" t="e">
        <f t="shared" ca="1" si="21"/>
        <v>#NAME?</v>
      </c>
      <c r="Z81" s="15">
        <v>1</v>
      </c>
    </row>
    <row r="82" spans="1:26" ht="15" customHeight="1">
      <c r="A82" s="22" t="s">
        <v>158</v>
      </c>
      <c r="B82" s="25"/>
      <c r="C82" s="28" t="s">
        <v>119</v>
      </c>
      <c r="D82" s="25" t="s">
        <v>141</v>
      </c>
      <c r="E82" s="121" t="s">
        <v>118</v>
      </c>
      <c r="F82" s="121" t="s">
        <v>118</v>
      </c>
      <c r="G82" s="25"/>
      <c r="H82" s="25"/>
      <c r="J82" t="e">
        <f t="shared" ca="1" si="20"/>
        <v>#NAME?</v>
      </c>
      <c r="K82" t="e">
        <f t="shared" ca="1" si="20"/>
        <v>#NAME?</v>
      </c>
      <c r="L82" t="e">
        <f t="shared" ca="1" si="20"/>
        <v>#NAME?</v>
      </c>
      <c r="M82" t="e">
        <f t="shared" ca="1" si="20"/>
        <v>#NAME?</v>
      </c>
      <c r="N82" t="e">
        <f t="shared" ca="1" si="20"/>
        <v>#NAME?</v>
      </c>
      <c r="O82" t="e">
        <f t="shared" ca="1" si="20"/>
        <v>#NAME?</v>
      </c>
      <c r="P82" t="e">
        <f t="shared" ca="1" si="20"/>
        <v>#NAME?</v>
      </c>
      <c r="R82" t="e">
        <f t="shared" ca="1" si="21"/>
        <v>#NAME?</v>
      </c>
      <c r="S82" t="e">
        <f t="shared" ca="1" si="21"/>
        <v>#NAME?</v>
      </c>
      <c r="T82" t="e">
        <f t="shared" ca="1" si="21"/>
        <v>#NAME?</v>
      </c>
      <c r="U82" t="e">
        <f t="shared" ca="1" si="21"/>
        <v>#NAME?</v>
      </c>
      <c r="V82" t="e">
        <f t="shared" ca="1" si="21"/>
        <v>#NAME?</v>
      </c>
      <c r="W82" t="e">
        <f t="shared" ca="1" si="21"/>
        <v>#NAME?</v>
      </c>
      <c r="X82" t="e">
        <f t="shared" ca="1" si="21"/>
        <v>#NAME?</v>
      </c>
      <c r="Z82" s="15">
        <v>1</v>
      </c>
    </row>
    <row r="83" spans="1:26" ht="15" customHeight="1">
      <c r="A83" s="22" t="s">
        <v>159</v>
      </c>
      <c r="B83" s="25"/>
      <c r="C83" s="121" t="s">
        <v>118</v>
      </c>
      <c r="D83" s="25" t="s">
        <v>141</v>
      </c>
      <c r="E83" s="28" t="s">
        <v>119</v>
      </c>
      <c r="F83" s="120" t="s">
        <v>118</v>
      </c>
      <c r="G83" s="25"/>
      <c r="H83" s="25"/>
      <c r="J83" t="e">
        <f t="shared" ca="1" si="20"/>
        <v>#NAME?</v>
      </c>
      <c r="K83" t="e">
        <f t="shared" ca="1" si="20"/>
        <v>#NAME?</v>
      </c>
      <c r="L83" t="e">
        <f t="shared" ca="1" si="20"/>
        <v>#NAME?</v>
      </c>
      <c r="M83" t="e">
        <f t="shared" ca="1" si="20"/>
        <v>#NAME?</v>
      </c>
      <c r="N83" t="e">
        <f t="shared" ca="1" si="20"/>
        <v>#NAME?</v>
      </c>
      <c r="O83" t="e">
        <f t="shared" ca="1" si="20"/>
        <v>#NAME?</v>
      </c>
      <c r="P83" t="e">
        <f t="shared" ca="1" si="20"/>
        <v>#NAME?</v>
      </c>
      <c r="R83" t="e">
        <f t="shared" ca="1" si="21"/>
        <v>#NAME?</v>
      </c>
      <c r="S83" t="e">
        <f t="shared" ca="1" si="21"/>
        <v>#NAME?</v>
      </c>
      <c r="T83" t="e">
        <f t="shared" ca="1" si="21"/>
        <v>#NAME?</v>
      </c>
      <c r="U83" t="e">
        <f t="shared" ca="1" si="21"/>
        <v>#NAME?</v>
      </c>
      <c r="V83" t="e">
        <f t="shared" ca="1" si="21"/>
        <v>#NAME?</v>
      </c>
      <c r="W83" t="e">
        <f t="shared" ca="1" si="21"/>
        <v>#NAME?</v>
      </c>
      <c r="X83" t="e">
        <f t="shared" ca="1" si="21"/>
        <v>#NAME?</v>
      </c>
      <c r="Z83" s="15">
        <v>1</v>
      </c>
    </row>
    <row r="84" spans="1:26" ht="15" customHeight="1">
      <c r="A84" s="22" t="s">
        <v>160</v>
      </c>
      <c r="B84" s="25" t="s">
        <v>152</v>
      </c>
      <c r="C84" s="25" t="s">
        <v>152</v>
      </c>
      <c r="D84" s="25" t="s">
        <v>152</v>
      </c>
      <c r="E84" s="25"/>
      <c r="F84" s="25"/>
      <c r="G84" s="25"/>
      <c r="H84" s="25"/>
      <c r="J84" t="e">
        <f t="shared" ca="1" si="20"/>
        <v>#NAME?</v>
      </c>
      <c r="K84" t="e">
        <f t="shared" ca="1" si="20"/>
        <v>#NAME?</v>
      </c>
      <c r="L84" t="e">
        <f t="shared" ca="1" si="20"/>
        <v>#NAME?</v>
      </c>
      <c r="M84" t="e">
        <f t="shared" ca="1" si="20"/>
        <v>#NAME?</v>
      </c>
      <c r="N84" t="e">
        <f t="shared" ca="1" si="20"/>
        <v>#NAME?</v>
      </c>
      <c r="O84" t="e">
        <f t="shared" ca="1" si="20"/>
        <v>#NAME?</v>
      </c>
      <c r="P84" t="e">
        <f t="shared" ca="1" si="20"/>
        <v>#NAME?</v>
      </c>
      <c r="R84" t="e">
        <f t="shared" ca="1" si="21"/>
        <v>#NAME?</v>
      </c>
      <c r="S84" t="e">
        <f t="shared" ca="1" si="21"/>
        <v>#NAME?</v>
      </c>
      <c r="T84" t="e">
        <f t="shared" ca="1" si="21"/>
        <v>#NAME?</v>
      </c>
      <c r="U84" t="e">
        <f t="shared" ca="1" si="21"/>
        <v>#NAME?</v>
      </c>
      <c r="V84" t="e">
        <f t="shared" ca="1" si="21"/>
        <v>#NAME?</v>
      </c>
      <c r="W84" t="e">
        <f t="shared" ca="1" si="21"/>
        <v>#NAME?</v>
      </c>
      <c r="X84" t="e">
        <f t="shared" ca="1" si="21"/>
        <v>#NAME?</v>
      </c>
      <c r="Z84" s="15">
        <v>1</v>
      </c>
    </row>
    <row r="85" spans="1:26">
      <c r="A85" s="22" t="s">
        <v>161</v>
      </c>
      <c r="B85" s="25"/>
      <c r="C85" s="25"/>
      <c r="D85" s="25" t="s">
        <v>141</v>
      </c>
      <c r="E85" s="25"/>
      <c r="F85" s="25"/>
      <c r="G85" s="25"/>
      <c r="H85" s="25"/>
      <c r="J85" t="e">
        <f t="shared" ca="1" si="20"/>
        <v>#NAME?</v>
      </c>
      <c r="K85" t="e">
        <f t="shared" ca="1" si="20"/>
        <v>#NAME?</v>
      </c>
      <c r="L85" t="e">
        <f t="shared" ca="1" si="20"/>
        <v>#NAME?</v>
      </c>
      <c r="M85" t="e">
        <f t="shared" ca="1" si="20"/>
        <v>#NAME?</v>
      </c>
      <c r="N85" t="e">
        <f t="shared" ca="1" si="20"/>
        <v>#NAME?</v>
      </c>
      <c r="O85" t="e">
        <f t="shared" ca="1" si="20"/>
        <v>#NAME?</v>
      </c>
      <c r="P85" t="e">
        <f t="shared" ca="1" si="20"/>
        <v>#NAME?</v>
      </c>
      <c r="R85" t="e">
        <f t="shared" ca="1" si="21"/>
        <v>#NAME?</v>
      </c>
      <c r="S85" t="e">
        <f t="shared" ca="1" si="21"/>
        <v>#NAME?</v>
      </c>
      <c r="T85" t="e">
        <f t="shared" ca="1" si="21"/>
        <v>#NAME?</v>
      </c>
      <c r="U85" t="e">
        <f t="shared" ca="1" si="21"/>
        <v>#NAME?</v>
      </c>
      <c r="V85" t="e">
        <f t="shared" ca="1" si="21"/>
        <v>#NAME?</v>
      </c>
      <c r="W85" t="e">
        <f t="shared" ca="1" si="21"/>
        <v>#NAME?</v>
      </c>
      <c r="X85" t="e">
        <f t="shared" ca="1" si="21"/>
        <v>#NAME?</v>
      </c>
      <c r="Z85" s="15">
        <v>0.25</v>
      </c>
    </row>
    <row r="86" spans="1:26">
      <c r="A86" s="22" t="s">
        <v>162</v>
      </c>
      <c r="B86" s="25"/>
      <c r="C86" s="25"/>
      <c r="D86" s="120" t="s">
        <v>116</v>
      </c>
      <c r="E86" s="25"/>
      <c r="F86" s="28" t="s">
        <v>119</v>
      </c>
      <c r="G86" s="121" t="s">
        <v>116</v>
      </c>
      <c r="H86" s="28" t="s">
        <v>115</v>
      </c>
      <c r="J86" t="e">
        <f t="shared" ca="1" si="20"/>
        <v>#NAME?</v>
      </c>
      <c r="K86" t="e">
        <f t="shared" ca="1" si="20"/>
        <v>#NAME?</v>
      </c>
      <c r="L86" t="e">
        <f t="shared" ca="1" si="20"/>
        <v>#NAME?</v>
      </c>
      <c r="M86" t="e">
        <f t="shared" ca="1" si="20"/>
        <v>#NAME?</v>
      </c>
      <c r="N86" t="e">
        <f t="shared" ca="1" si="20"/>
        <v>#NAME?</v>
      </c>
      <c r="O86" t="e">
        <f t="shared" ca="1" si="20"/>
        <v>#NAME?</v>
      </c>
      <c r="P86" t="e">
        <f t="shared" ca="1" si="20"/>
        <v>#NAME?</v>
      </c>
      <c r="R86" t="e">
        <f t="shared" ca="1" si="21"/>
        <v>#NAME?</v>
      </c>
      <c r="S86" t="e">
        <f t="shared" ca="1" si="21"/>
        <v>#NAME?</v>
      </c>
      <c r="T86" t="e">
        <f t="shared" ca="1" si="21"/>
        <v>#NAME?</v>
      </c>
      <c r="U86" t="e">
        <f t="shared" ca="1" si="21"/>
        <v>#NAME?</v>
      </c>
      <c r="V86" t="e">
        <f t="shared" ca="1" si="21"/>
        <v>#NAME?</v>
      </c>
      <c r="W86" t="e">
        <f t="shared" ca="1" si="21"/>
        <v>#NAME?</v>
      </c>
      <c r="X86" t="e">
        <f t="shared" ca="1" si="21"/>
        <v>#NAME?</v>
      </c>
      <c r="Z86" s="15">
        <v>1</v>
      </c>
    </row>
    <row r="87" spans="1:26" ht="15" customHeight="1">
      <c r="A87" s="22" t="s">
        <v>163</v>
      </c>
      <c r="B87" s="127" t="s">
        <v>18</v>
      </c>
      <c r="C87" s="128"/>
      <c r="D87" s="128"/>
      <c r="E87" s="128"/>
      <c r="F87" s="128"/>
      <c r="G87" s="128"/>
      <c r="H87" s="129"/>
      <c r="J87" t="e">
        <f t="shared" ca="1" si="20"/>
        <v>#NAME?</v>
      </c>
      <c r="K87" t="e">
        <f t="shared" ca="1" si="20"/>
        <v>#NAME?</v>
      </c>
      <c r="L87" t="e">
        <f t="shared" ca="1" si="20"/>
        <v>#NAME?</v>
      </c>
      <c r="M87" t="e">
        <f t="shared" ca="1" si="20"/>
        <v>#NAME?</v>
      </c>
      <c r="N87" t="e">
        <f t="shared" ca="1" si="20"/>
        <v>#NAME?</v>
      </c>
      <c r="O87" t="e">
        <f t="shared" ca="1" si="20"/>
        <v>#NAME?</v>
      </c>
      <c r="P87" t="e">
        <f t="shared" ca="1" si="20"/>
        <v>#NAME?</v>
      </c>
      <c r="R87" t="e">
        <f t="shared" ca="1" si="21"/>
        <v>#NAME?</v>
      </c>
      <c r="S87" t="e">
        <f t="shared" ca="1" si="21"/>
        <v>#NAME?</v>
      </c>
      <c r="T87" t="e">
        <f t="shared" ca="1" si="21"/>
        <v>#NAME?</v>
      </c>
      <c r="U87" t="e">
        <f t="shared" ca="1" si="21"/>
        <v>#NAME?</v>
      </c>
      <c r="V87" t="e">
        <f t="shared" ca="1" si="21"/>
        <v>#NAME?</v>
      </c>
      <c r="W87" t="e">
        <f t="shared" ca="1" si="21"/>
        <v>#NAME?</v>
      </c>
      <c r="X87" t="e">
        <f t="shared" ca="1" si="21"/>
        <v>#NAME?</v>
      </c>
      <c r="Z87" s="15">
        <v>1</v>
      </c>
    </row>
    <row r="88" spans="1:26" ht="15" customHeight="1">
      <c r="A88" s="22" t="s">
        <v>164</v>
      </c>
      <c r="B88" s="25"/>
      <c r="C88" s="25"/>
      <c r="D88" s="25" t="s">
        <v>141</v>
      </c>
      <c r="E88" s="120" t="s">
        <v>118</v>
      </c>
      <c r="F88" s="121" t="s">
        <v>116</v>
      </c>
      <c r="G88" s="110" t="s">
        <v>139</v>
      </c>
      <c r="H88" s="25"/>
      <c r="J88" t="e">
        <f t="shared" ca="1" si="20"/>
        <v>#NAME?</v>
      </c>
      <c r="K88" t="e">
        <f t="shared" ca="1" si="20"/>
        <v>#NAME?</v>
      </c>
      <c r="L88" t="e">
        <f t="shared" ca="1" si="20"/>
        <v>#NAME?</v>
      </c>
      <c r="M88" t="e">
        <f t="shared" ca="1" si="20"/>
        <v>#NAME?</v>
      </c>
      <c r="N88" t="e">
        <f t="shared" ca="1" si="20"/>
        <v>#NAME?</v>
      </c>
      <c r="O88" t="e">
        <f t="shared" ca="1" si="20"/>
        <v>#NAME?</v>
      </c>
      <c r="P88" t="e">
        <f t="shared" ca="1" si="20"/>
        <v>#NAME?</v>
      </c>
      <c r="R88" t="e">
        <f t="shared" ca="1" si="21"/>
        <v>#NAME?</v>
      </c>
      <c r="S88" t="e">
        <f t="shared" ca="1" si="21"/>
        <v>#NAME?</v>
      </c>
      <c r="T88" t="e">
        <f t="shared" ca="1" si="21"/>
        <v>#NAME?</v>
      </c>
      <c r="U88" t="e">
        <f t="shared" ca="1" si="21"/>
        <v>#NAME?</v>
      </c>
      <c r="V88" t="e">
        <f t="shared" ca="1" si="21"/>
        <v>#NAME?</v>
      </c>
      <c r="W88" t="e">
        <f t="shared" ca="1" si="21"/>
        <v>#NAME?</v>
      </c>
      <c r="X88" t="e">
        <f t="shared" ca="1" si="21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110" t="s">
        <v>139</v>
      </c>
      <c r="E89" s="25" t="s">
        <v>152</v>
      </c>
      <c r="F89" s="25" t="s">
        <v>152</v>
      </c>
      <c r="G89" s="25"/>
      <c r="H89" s="25"/>
      <c r="J89" t="e">
        <f t="shared" ca="1" si="20"/>
        <v>#NAME?</v>
      </c>
      <c r="K89" t="e">
        <f t="shared" ca="1" si="20"/>
        <v>#NAME?</v>
      </c>
      <c r="L89" t="e">
        <f t="shared" ca="1" si="20"/>
        <v>#NAME?</v>
      </c>
      <c r="M89" t="e">
        <f t="shared" ca="1" si="20"/>
        <v>#NAME?</v>
      </c>
      <c r="N89" t="e">
        <f t="shared" ca="1" si="20"/>
        <v>#NAME?</v>
      </c>
      <c r="O89" t="e">
        <f t="shared" ca="1" si="20"/>
        <v>#NAME?</v>
      </c>
      <c r="P89" t="e">
        <f t="shared" ca="1" si="20"/>
        <v>#NAME?</v>
      </c>
      <c r="R89" t="e">
        <f t="shared" ca="1" si="21"/>
        <v>#NAME?</v>
      </c>
      <c r="S89" t="e">
        <f t="shared" ca="1" si="21"/>
        <v>#NAME?</v>
      </c>
      <c r="T89" t="e">
        <f t="shared" ca="1" si="21"/>
        <v>#NAME?</v>
      </c>
      <c r="U89" t="e">
        <f t="shared" ca="1" si="21"/>
        <v>#NAME?</v>
      </c>
      <c r="V89" t="e">
        <f t="shared" ca="1" si="21"/>
        <v>#NAME?</v>
      </c>
      <c r="W89" t="e">
        <f t="shared" ca="1" si="21"/>
        <v>#NAME?</v>
      </c>
      <c r="X89" t="e">
        <f t="shared" ca="1" si="21"/>
        <v>#NAME?</v>
      </c>
      <c r="Z89" s="15">
        <v>0.75</v>
      </c>
    </row>
    <row r="90" spans="1:26" ht="15" customHeight="1">
      <c r="A90" s="22" t="s">
        <v>168</v>
      </c>
      <c r="B90" s="120" t="s">
        <v>118</v>
      </c>
      <c r="C90" s="120" t="s">
        <v>118</v>
      </c>
      <c r="D90" s="25" t="s">
        <v>141</v>
      </c>
      <c r="E90" s="25"/>
      <c r="F90" s="25" t="s">
        <v>152</v>
      </c>
      <c r="G90" s="25" t="s">
        <v>152</v>
      </c>
      <c r="H90" s="25" t="s">
        <v>152</v>
      </c>
      <c r="J90" t="e">
        <f t="shared" ca="1" si="20"/>
        <v>#NAME?</v>
      </c>
      <c r="K90" t="e">
        <f t="shared" ca="1" si="20"/>
        <v>#NAME?</v>
      </c>
      <c r="L90" t="e">
        <f t="shared" ca="1" si="20"/>
        <v>#NAME?</v>
      </c>
      <c r="M90" t="e">
        <f t="shared" ca="1" si="20"/>
        <v>#NAME?</v>
      </c>
      <c r="N90" t="e">
        <f t="shared" ca="1" si="20"/>
        <v>#NAME?</v>
      </c>
      <c r="O90" t="e">
        <f t="shared" ca="1" si="20"/>
        <v>#NAME?</v>
      </c>
      <c r="P90" t="e">
        <f t="shared" ca="1" si="20"/>
        <v>#NAME?</v>
      </c>
      <c r="R90" t="e">
        <f t="shared" ca="1" si="21"/>
        <v>#NAME?</v>
      </c>
      <c r="S90" t="e">
        <f t="shared" ca="1" si="21"/>
        <v>#NAME?</v>
      </c>
      <c r="T90" t="e">
        <f t="shared" ca="1" si="21"/>
        <v>#NAME?</v>
      </c>
      <c r="U90" t="e">
        <f t="shared" ca="1" si="21"/>
        <v>#NAME?</v>
      </c>
      <c r="V90" t="e">
        <f t="shared" ca="1" si="21"/>
        <v>#NAME?</v>
      </c>
      <c r="W90" t="e">
        <f t="shared" ca="1" si="21"/>
        <v>#NAME?</v>
      </c>
      <c r="X90" t="e">
        <f t="shared" ca="1" si="21"/>
        <v>#NAME?</v>
      </c>
      <c r="Z90" s="15">
        <v>1</v>
      </c>
    </row>
    <row r="91" spans="1:26" ht="15" customHeight="1">
      <c r="A91" s="22" t="s">
        <v>169</v>
      </c>
      <c r="B91" s="110" t="s">
        <v>139</v>
      </c>
      <c r="C91" s="110" t="s">
        <v>139</v>
      </c>
      <c r="D91" s="28" t="s">
        <v>115</v>
      </c>
      <c r="E91" s="120" t="s">
        <v>116</v>
      </c>
      <c r="F91" s="25"/>
      <c r="G91" s="25"/>
      <c r="H91" s="25"/>
      <c r="J91" t="e">
        <f t="shared" ca="1" si="20"/>
        <v>#NAME?</v>
      </c>
      <c r="K91" t="e">
        <f t="shared" ca="1" si="20"/>
        <v>#NAME?</v>
      </c>
      <c r="L91" t="e">
        <f t="shared" ca="1" si="20"/>
        <v>#NAME?</v>
      </c>
      <c r="M91" t="e">
        <f t="shared" ca="1" si="20"/>
        <v>#NAME?</v>
      </c>
      <c r="N91" t="e">
        <f t="shared" ca="1" si="20"/>
        <v>#NAME?</v>
      </c>
      <c r="O91" t="e">
        <f t="shared" ca="1" si="20"/>
        <v>#NAME?</v>
      </c>
      <c r="P91" t="e">
        <f t="shared" ca="1" si="20"/>
        <v>#NAME?</v>
      </c>
      <c r="R91" t="e">
        <f t="shared" ca="1" si="21"/>
        <v>#NAME?</v>
      </c>
      <c r="S91" t="e">
        <f t="shared" ca="1" si="21"/>
        <v>#NAME?</v>
      </c>
      <c r="T91" t="e">
        <f t="shared" ca="1" si="21"/>
        <v>#NAME?</v>
      </c>
      <c r="U91" t="e">
        <f t="shared" ca="1" si="21"/>
        <v>#NAME?</v>
      </c>
      <c r="V91" t="e">
        <f t="shared" ca="1" si="21"/>
        <v>#NAME?</v>
      </c>
      <c r="W91" t="e">
        <f t="shared" ca="1" si="21"/>
        <v>#NAME?</v>
      </c>
      <c r="X91" t="e">
        <f t="shared" ca="1" si="21"/>
        <v>#NAME?</v>
      </c>
      <c r="Z91" s="15">
        <v>1</v>
      </c>
    </row>
    <row r="92" spans="1:26" ht="15" customHeight="1">
      <c r="A92" s="22" t="s">
        <v>171</v>
      </c>
      <c r="B92" s="127" t="s">
        <v>18</v>
      </c>
      <c r="C92" s="128"/>
      <c r="D92" s="128"/>
      <c r="E92" s="128"/>
      <c r="F92" s="128"/>
      <c r="G92" s="128"/>
      <c r="H92" s="129"/>
      <c r="J92" t="e">
        <f t="shared" ca="1" si="20"/>
        <v>#NAME?</v>
      </c>
      <c r="K92" t="e">
        <f t="shared" ca="1" si="20"/>
        <v>#NAME?</v>
      </c>
      <c r="L92" t="e">
        <f t="shared" ca="1" si="20"/>
        <v>#NAME?</v>
      </c>
      <c r="M92" t="e">
        <f t="shared" ca="1" si="20"/>
        <v>#NAME?</v>
      </c>
      <c r="N92" t="e">
        <f t="shared" ca="1" si="20"/>
        <v>#NAME?</v>
      </c>
      <c r="O92" t="e">
        <f t="shared" ca="1" si="20"/>
        <v>#NAME?</v>
      </c>
      <c r="P92" t="e">
        <f t="shared" ca="1" si="20"/>
        <v>#NAME?</v>
      </c>
      <c r="R92" t="e">
        <f t="shared" ca="1" si="21"/>
        <v>#NAME?</v>
      </c>
      <c r="S92" t="e">
        <f t="shared" ca="1" si="21"/>
        <v>#NAME?</v>
      </c>
      <c r="T92" t="e">
        <f t="shared" ca="1" si="21"/>
        <v>#NAME?</v>
      </c>
      <c r="U92" t="e">
        <f t="shared" ca="1" si="21"/>
        <v>#NAME?</v>
      </c>
      <c r="V92" t="e">
        <f t="shared" ca="1" si="21"/>
        <v>#NAME?</v>
      </c>
      <c r="W92" t="e">
        <f t="shared" ca="1" si="21"/>
        <v>#NAME?</v>
      </c>
      <c r="X92" t="e">
        <f t="shared" ca="1" si="21"/>
        <v>#NAME?</v>
      </c>
      <c r="Z92" s="15">
        <v>0.75</v>
      </c>
    </row>
    <row r="93" spans="1:26">
      <c r="A93" s="22" t="s">
        <v>174</v>
      </c>
      <c r="B93" s="120" t="s">
        <v>116</v>
      </c>
      <c r="C93" s="25"/>
      <c r="D93" s="25" t="s">
        <v>152</v>
      </c>
      <c r="E93" s="25" t="s">
        <v>152</v>
      </c>
      <c r="F93" s="25" t="s">
        <v>152</v>
      </c>
      <c r="G93" s="25"/>
      <c r="H93" s="25"/>
      <c r="J93" t="e">
        <f t="shared" ca="1" si="20"/>
        <v>#NAME?</v>
      </c>
      <c r="K93" t="e">
        <f t="shared" ca="1" si="20"/>
        <v>#NAME?</v>
      </c>
      <c r="L93" t="e">
        <f t="shared" ca="1" si="20"/>
        <v>#NAME?</v>
      </c>
      <c r="M93" t="e">
        <f t="shared" ca="1" si="20"/>
        <v>#NAME?</v>
      </c>
      <c r="N93" t="e">
        <f t="shared" ca="1" si="20"/>
        <v>#NAME?</v>
      </c>
      <c r="O93" t="e">
        <f t="shared" ca="1" si="20"/>
        <v>#NAME?</v>
      </c>
      <c r="P93" t="e">
        <f t="shared" ca="1" si="20"/>
        <v>#NAME?</v>
      </c>
      <c r="R93" t="e">
        <f t="shared" ca="1" si="21"/>
        <v>#NAME?</v>
      </c>
      <c r="S93" t="e">
        <f t="shared" ca="1" si="21"/>
        <v>#NAME?</v>
      </c>
      <c r="T93" t="e">
        <f t="shared" ca="1" si="21"/>
        <v>#NAME?</v>
      </c>
      <c r="U93" t="e">
        <f t="shared" ca="1" si="21"/>
        <v>#NAME?</v>
      </c>
      <c r="V93" t="e">
        <f t="shared" ca="1" si="21"/>
        <v>#NAME?</v>
      </c>
      <c r="W93" t="e">
        <f t="shared" ca="1" si="21"/>
        <v>#NAME?</v>
      </c>
      <c r="X93" t="e">
        <f t="shared" ca="1" si="21"/>
        <v>#NAME?</v>
      </c>
      <c r="Z93" s="15">
        <v>0.75</v>
      </c>
    </row>
    <row r="94" spans="1:26">
      <c r="A94" s="22" t="s">
        <v>175</v>
      </c>
      <c r="B94" s="121" t="s">
        <v>116</v>
      </c>
      <c r="C94" s="120" t="s">
        <v>116</v>
      </c>
      <c r="D94" s="120" t="s">
        <v>116</v>
      </c>
      <c r="E94" s="25"/>
      <c r="F94" s="25"/>
      <c r="G94" s="25" t="s">
        <v>152</v>
      </c>
      <c r="H94" s="25" t="s">
        <v>152</v>
      </c>
      <c r="J94" t="e">
        <f t="shared" ca="1" si="20"/>
        <v>#NAME?</v>
      </c>
      <c r="K94" t="e">
        <f t="shared" ca="1" si="20"/>
        <v>#NAME?</v>
      </c>
      <c r="L94" t="e">
        <f t="shared" ca="1" si="20"/>
        <v>#NAME?</v>
      </c>
      <c r="M94" t="e">
        <f t="shared" ca="1" si="20"/>
        <v>#NAME?</v>
      </c>
      <c r="N94" t="e">
        <f t="shared" ca="1" si="20"/>
        <v>#NAME?</v>
      </c>
      <c r="O94" t="e">
        <f t="shared" ca="1" si="20"/>
        <v>#NAME?</v>
      </c>
      <c r="P94" t="e">
        <f t="shared" ca="1" si="20"/>
        <v>#NAME?</v>
      </c>
      <c r="R94" t="e">
        <f t="shared" ca="1" si="21"/>
        <v>#NAME?</v>
      </c>
      <c r="S94" t="e">
        <f t="shared" ca="1" si="21"/>
        <v>#NAME?</v>
      </c>
      <c r="T94" t="e">
        <f t="shared" ca="1" si="21"/>
        <v>#NAME?</v>
      </c>
      <c r="U94" t="e">
        <f t="shared" ca="1" si="21"/>
        <v>#NAME?</v>
      </c>
      <c r="V94" t="e">
        <f t="shared" ca="1" si="21"/>
        <v>#NAME?</v>
      </c>
      <c r="W94" t="e">
        <f t="shared" ca="1" si="21"/>
        <v>#NAME?</v>
      </c>
      <c r="X94" t="e">
        <f t="shared" ca="1" si="21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28" t="s">
        <v>119</v>
      </c>
      <c r="H95" s="25"/>
      <c r="J95" t="e">
        <f t="shared" ca="1" si="20"/>
        <v>#NAME?</v>
      </c>
      <c r="K95" t="e">
        <f t="shared" ca="1" si="20"/>
        <v>#NAME?</v>
      </c>
      <c r="L95" t="e">
        <f t="shared" ca="1" si="20"/>
        <v>#NAME?</v>
      </c>
      <c r="M95" t="e">
        <f t="shared" ca="1" si="20"/>
        <v>#NAME?</v>
      </c>
      <c r="N95" t="e">
        <f t="shared" ca="1" si="20"/>
        <v>#NAME?</v>
      </c>
      <c r="O95" t="e">
        <f t="shared" ca="1" si="20"/>
        <v>#NAME?</v>
      </c>
      <c r="P95" t="e">
        <f t="shared" ca="1" si="20"/>
        <v>#NAME?</v>
      </c>
      <c r="R95" t="e">
        <f t="shared" ca="1" si="21"/>
        <v>#NAME?</v>
      </c>
      <c r="S95" t="e">
        <f t="shared" ca="1" si="21"/>
        <v>#NAME?</v>
      </c>
      <c r="T95" t="e">
        <f t="shared" ca="1" si="21"/>
        <v>#NAME?</v>
      </c>
      <c r="U95" t="e">
        <f t="shared" ca="1" si="21"/>
        <v>#NAME?</v>
      </c>
      <c r="V95" t="e">
        <f t="shared" ca="1" si="21"/>
        <v>#NAME?</v>
      </c>
      <c r="W95" t="e">
        <f t="shared" ca="1" si="21"/>
        <v>#NAME?</v>
      </c>
      <c r="X95" t="e">
        <f t="shared" ca="1" si="21"/>
        <v>#NAME?</v>
      </c>
      <c r="Z95" s="15">
        <v>0.25</v>
      </c>
    </row>
    <row r="96" spans="1:26" ht="15" customHeight="1">
      <c r="A96" s="22" t="s">
        <v>177</v>
      </c>
      <c r="B96" s="127" t="s">
        <v>18</v>
      </c>
      <c r="C96" s="128"/>
      <c r="D96" s="128"/>
      <c r="E96" s="128"/>
      <c r="F96" s="128"/>
      <c r="G96" s="128"/>
      <c r="H96" s="129"/>
      <c r="J96" t="e">
        <f t="shared" ca="1" si="20"/>
        <v>#NAME?</v>
      </c>
      <c r="K96" t="e">
        <f t="shared" ca="1" si="20"/>
        <v>#NAME?</v>
      </c>
      <c r="L96" t="e">
        <f t="shared" ca="1" si="20"/>
        <v>#NAME?</v>
      </c>
      <c r="M96" t="e">
        <f t="shared" ca="1" si="20"/>
        <v>#NAME?</v>
      </c>
      <c r="N96" t="e">
        <f t="shared" ca="1" si="20"/>
        <v>#NAME?</v>
      </c>
      <c r="O96" t="e">
        <f t="shared" ca="1" si="20"/>
        <v>#NAME?</v>
      </c>
      <c r="P96" t="e">
        <f t="shared" ca="1" si="20"/>
        <v>#NAME?</v>
      </c>
      <c r="R96" t="e">
        <f t="shared" ca="1" si="21"/>
        <v>#NAME?</v>
      </c>
      <c r="S96" t="e">
        <f t="shared" ca="1" si="21"/>
        <v>#NAME?</v>
      </c>
      <c r="T96" t="e">
        <f t="shared" ca="1" si="21"/>
        <v>#NAME?</v>
      </c>
      <c r="U96" t="e">
        <f t="shared" ca="1" si="21"/>
        <v>#NAME?</v>
      </c>
      <c r="V96" t="e">
        <f t="shared" ca="1" si="21"/>
        <v>#NAME?</v>
      </c>
      <c r="W96" t="e">
        <f t="shared" ca="1" si="21"/>
        <v>#NAME?</v>
      </c>
      <c r="X96" t="e">
        <f t="shared" ca="1" si="21"/>
        <v>#NAME?</v>
      </c>
      <c r="Z96" s="15">
        <v>0.75</v>
      </c>
    </row>
    <row r="97" spans="1:26" ht="15" customHeight="1">
      <c r="A97" s="22" t="s">
        <v>178</v>
      </c>
      <c r="B97" s="25"/>
      <c r="C97" s="25"/>
      <c r="D97" s="25" t="s">
        <v>141</v>
      </c>
      <c r="E97" s="121" t="s">
        <v>116</v>
      </c>
      <c r="F97" s="28" t="s">
        <v>115</v>
      </c>
      <c r="G97" s="120" t="s">
        <v>116</v>
      </c>
      <c r="H97" s="121" t="s">
        <v>116</v>
      </c>
      <c r="J97" t="e">
        <f t="shared" ca="1" si="20"/>
        <v>#NAME?</v>
      </c>
      <c r="K97" t="e">
        <f t="shared" ca="1" si="20"/>
        <v>#NAME?</v>
      </c>
      <c r="L97" t="e">
        <f t="shared" ca="1" si="20"/>
        <v>#NAME?</v>
      </c>
      <c r="M97" t="e">
        <f t="shared" ca="1" si="20"/>
        <v>#NAME?</v>
      </c>
      <c r="N97" t="e">
        <f t="shared" ca="1" si="20"/>
        <v>#NAME?</v>
      </c>
      <c r="O97" t="e">
        <f t="shared" ca="1" si="20"/>
        <v>#NAME?</v>
      </c>
      <c r="P97" t="e">
        <f t="shared" ca="1" si="20"/>
        <v>#NAME?</v>
      </c>
      <c r="R97" t="e">
        <f t="shared" ca="1" si="21"/>
        <v>#NAME?</v>
      </c>
      <c r="S97" t="e">
        <f t="shared" ca="1" si="21"/>
        <v>#NAME?</v>
      </c>
      <c r="T97" t="e">
        <f t="shared" ca="1" si="21"/>
        <v>#NAME?</v>
      </c>
      <c r="U97" t="e">
        <f t="shared" ca="1" si="21"/>
        <v>#NAME?</v>
      </c>
      <c r="V97" t="e">
        <f t="shared" ca="1" si="21"/>
        <v>#NAME?</v>
      </c>
      <c r="W97" t="e">
        <f t="shared" ca="1" si="21"/>
        <v>#NAME?</v>
      </c>
      <c r="X97" t="e">
        <f t="shared" ca="1" si="21"/>
        <v>#NAME?</v>
      </c>
      <c r="Z97" s="15">
        <v>1</v>
      </c>
    </row>
    <row r="98" spans="1:26">
      <c r="A98" s="106" t="s">
        <v>179</v>
      </c>
      <c r="B98" s="107" t="str">
        <f t="shared" ref="B98:H98" si="22">B58</f>
        <v>Mon 1 Jun</v>
      </c>
      <c r="C98" s="107" t="str">
        <f t="shared" si="22"/>
        <v>Tues 2 Jun</v>
      </c>
      <c r="D98" s="107" t="str">
        <f t="shared" si="22"/>
        <v>Wed 3 Jun</v>
      </c>
      <c r="E98" s="107" t="str">
        <f t="shared" si="22"/>
        <v>Thu 4 Jun</v>
      </c>
      <c r="F98" s="107" t="str">
        <f t="shared" si="22"/>
        <v>Fri 5 Jun</v>
      </c>
      <c r="G98" s="107" t="str">
        <f t="shared" si="22"/>
        <v>Sat 6 Jun</v>
      </c>
      <c r="H98" s="107" t="str">
        <f t="shared" si="22"/>
        <v>Sun 7 Jun</v>
      </c>
      <c r="J98" t="e">
        <f t="shared" ca="1" si="17"/>
        <v>#NAME?</v>
      </c>
      <c r="K98" t="e">
        <f t="shared" ca="1" si="17"/>
        <v>#NAME?</v>
      </c>
      <c r="L98" t="e">
        <f t="shared" ca="1" si="17"/>
        <v>#NAME?</v>
      </c>
      <c r="M98" t="e">
        <f t="shared" ca="1" si="17"/>
        <v>#NAME?</v>
      </c>
      <c r="N98" t="e">
        <f t="shared" ca="1" si="17"/>
        <v>#NAME?</v>
      </c>
      <c r="O98" t="e">
        <f t="shared" ca="1" si="17"/>
        <v>#NAME?</v>
      </c>
      <c r="P98" t="e">
        <f t="shared" ca="1" si="17"/>
        <v>#NAME?</v>
      </c>
      <c r="R98" t="e">
        <f t="shared" ca="1" si="18"/>
        <v>#NAME?</v>
      </c>
      <c r="S98" t="e">
        <f t="shared" ca="1" si="18"/>
        <v>#NAME?</v>
      </c>
      <c r="T98" t="e">
        <f t="shared" ca="1" si="18"/>
        <v>#NAME?</v>
      </c>
      <c r="U98" t="e">
        <f t="shared" ca="1" si="18"/>
        <v>#NAME?</v>
      </c>
      <c r="V98" t="e">
        <f t="shared" ca="1" si="18"/>
        <v>#NAME?</v>
      </c>
      <c r="W98" t="e">
        <f t="shared" ca="1" si="18"/>
        <v>#NAME?</v>
      </c>
      <c r="X98" t="e">
        <f t="shared" ca="1" si="18"/>
        <v>#NAME?</v>
      </c>
      <c r="Z98" s="54">
        <f>SUM(Z76:Z97)</f>
        <v>18.25</v>
      </c>
    </row>
    <row r="99" spans="1:26">
      <c r="A99" s="22" t="s">
        <v>180</v>
      </c>
      <c r="B99" s="25"/>
      <c r="C99" s="25"/>
      <c r="D99" s="25"/>
      <c r="E99" s="25"/>
      <c r="F99" s="25" t="s">
        <v>152</v>
      </c>
      <c r="G99" s="25" t="s">
        <v>152</v>
      </c>
      <c r="H99" s="25"/>
      <c r="J99" t="e">
        <f t="shared" ca="1" si="17"/>
        <v>#NAME?</v>
      </c>
      <c r="K99" t="e">
        <f t="shared" ca="1" si="17"/>
        <v>#NAME?</v>
      </c>
      <c r="L99" t="e">
        <f t="shared" ca="1" si="17"/>
        <v>#NAME?</v>
      </c>
      <c r="M99" t="e">
        <f t="shared" ca="1" si="17"/>
        <v>#NAME?</v>
      </c>
      <c r="N99" t="e">
        <f t="shared" ca="1" si="17"/>
        <v>#NAME?</v>
      </c>
      <c r="O99" t="e">
        <f t="shared" ca="1" si="17"/>
        <v>#NAME?</v>
      </c>
      <c r="P99" t="e">
        <f t="shared" ca="1" si="17"/>
        <v>#NAME?</v>
      </c>
      <c r="R99" t="e">
        <f t="shared" ca="1" si="18"/>
        <v>#NAME?</v>
      </c>
      <c r="S99" t="e">
        <f t="shared" ca="1" si="18"/>
        <v>#NAME?</v>
      </c>
      <c r="T99" t="e">
        <f t="shared" ca="1" si="18"/>
        <v>#NAME?</v>
      </c>
      <c r="U99" t="e">
        <f t="shared" ca="1" si="18"/>
        <v>#NAME?</v>
      </c>
      <c r="V99" t="e">
        <f t="shared" ca="1" si="18"/>
        <v>#NAME?</v>
      </c>
      <c r="W99" t="e">
        <f t="shared" ca="1" si="18"/>
        <v>#NAME?</v>
      </c>
      <c r="X99" t="e">
        <f t="shared" ca="1" si="18"/>
        <v>#NAME?</v>
      </c>
      <c r="Z99" s="15">
        <v>1</v>
      </c>
    </row>
    <row r="100" spans="1:26">
      <c r="A100" s="22" t="s">
        <v>183</v>
      </c>
      <c r="B100" s="110" t="s">
        <v>354</v>
      </c>
      <c r="C100" s="110" t="s">
        <v>182</v>
      </c>
      <c r="D100" s="25"/>
      <c r="E100" s="110" t="s">
        <v>116</v>
      </c>
      <c r="F100" s="110" t="s">
        <v>116</v>
      </c>
      <c r="G100" s="25"/>
      <c r="H100" s="25"/>
      <c r="J100" t="e">
        <f t="shared" ca="1" si="17"/>
        <v>#NAME?</v>
      </c>
      <c r="K100" t="e">
        <f t="shared" ca="1" si="17"/>
        <v>#NAME?</v>
      </c>
      <c r="L100" t="e">
        <f t="shared" ca="1" si="17"/>
        <v>#NAME?</v>
      </c>
      <c r="M100" t="e">
        <f t="shared" ca="1" si="17"/>
        <v>#NAME?</v>
      </c>
      <c r="N100" t="e">
        <f t="shared" ca="1" si="17"/>
        <v>#NAME?</v>
      </c>
      <c r="O100" t="e">
        <f t="shared" ca="1" si="17"/>
        <v>#NAME?</v>
      </c>
      <c r="P100" t="e">
        <f t="shared" ca="1" si="17"/>
        <v>#NAME?</v>
      </c>
      <c r="R100" t="e">
        <f t="shared" ca="1" si="18"/>
        <v>#NAME?</v>
      </c>
      <c r="S100" t="e">
        <f t="shared" ca="1" si="18"/>
        <v>#NAME?</v>
      </c>
      <c r="T100" t="e">
        <f t="shared" ca="1" si="18"/>
        <v>#NAME?</v>
      </c>
      <c r="U100" t="e">
        <f t="shared" ca="1" si="18"/>
        <v>#NAME?</v>
      </c>
      <c r="V100" t="e">
        <f t="shared" ca="1" si="18"/>
        <v>#NAME?</v>
      </c>
      <c r="W100" t="e">
        <f t="shared" ca="1" si="18"/>
        <v>#NAME?</v>
      </c>
      <c r="X100" t="e">
        <f t="shared" ca="1" si="18"/>
        <v>#NAME?</v>
      </c>
      <c r="Z100" s="15">
        <v>1</v>
      </c>
    </row>
    <row r="101" spans="1:26">
      <c r="A101" s="106" t="s">
        <v>184</v>
      </c>
      <c r="B101" s="107" t="str">
        <f t="shared" ref="B101:H101" si="23">B58</f>
        <v>Mon 1 Jun</v>
      </c>
      <c r="C101" s="107" t="str">
        <f t="shared" si="23"/>
        <v>Tues 2 Jun</v>
      </c>
      <c r="D101" s="107" t="str">
        <f t="shared" si="23"/>
        <v>Wed 3 Jun</v>
      </c>
      <c r="E101" s="107" t="str">
        <f t="shared" si="23"/>
        <v>Thu 4 Jun</v>
      </c>
      <c r="F101" s="107" t="str">
        <f t="shared" si="23"/>
        <v>Fri 5 Jun</v>
      </c>
      <c r="G101" s="107" t="str">
        <f t="shared" si="23"/>
        <v>Sat 6 Jun</v>
      </c>
      <c r="H101" s="107" t="str">
        <f t="shared" si="23"/>
        <v>Sun 7 Jun</v>
      </c>
      <c r="J101" t="e">
        <f t="shared" ca="1" si="17"/>
        <v>#NAME?</v>
      </c>
      <c r="K101" t="e">
        <f t="shared" ref="K101:P136" ca="1" si="24">colorindex(C101)</f>
        <v>#NAME?</v>
      </c>
      <c r="L101" t="e">
        <f t="shared" ca="1" si="24"/>
        <v>#NAME?</v>
      </c>
      <c r="M101" t="e">
        <f t="shared" ca="1" si="24"/>
        <v>#NAME?</v>
      </c>
      <c r="N101" t="e">
        <f t="shared" ca="1" si="24"/>
        <v>#NAME?</v>
      </c>
      <c r="O101" t="e">
        <f t="shared" ca="1" si="24"/>
        <v>#NAME?</v>
      </c>
      <c r="P101" t="e">
        <f t="shared" ca="1" si="24"/>
        <v>#NAME?</v>
      </c>
      <c r="R101" t="e">
        <f t="shared" ca="1" si="18"/>
        <v>#NAME?</v>
      </c>
      <c r="S101" t="e">
        <f t="shared" ref="S101:X136" ca="1" si="25">ShiftIndex(C101)</f>
        <v>#NAME?</v>
      </c>
      <c r="T101" t="e">
        <f t="shared" ca="1" si="25"/>
        <v>#NAME?</v>
      </c>
      <c r="U101" t="e">
        <f t="shared" ca="1" si="25"/>
        <v>#NAME?</v>
      </c>
      <c r="V101" t="e">
        <f t="shared" ca="1" si="25"/>
        <v>#NAME?</v>
      </c>
      <c r="W101" t="e">
        <f t="shared" ca="1" si="25"/>
        <v>#NAME?</v>
      </c>
      <c r="X101" t="e">
        <f t="shared" ca="1" si="25"/>
        <v>#NAME?</v>
      </c>
      <c r="Z101" s="53">
        <f>SUM(Z99:Z100)</f>
        <v>2</v>
      </c>
    </row>
    <row r="102" spans="1:26">
      <c r="A102" s="22" t="s">
        <v>185</v>
      </c>
      <c r="B102" s="25" t="s">
        <v>152</v>
      </c>
      <c r="C102" s="25" t="s">
        <v>152</v>
      </c>
      <c r="D102" s="25" t="s">
        <v>152</v>
      </c>
      <c r="E102" s="25"/>
      <c r="F102" s="25"/>
      <c r="G102" s="127" t="s">
        <v>20</v>
      </c>
      <c r="H102" s="129"/>
      <c r="J102" t="e">
        <f t="shared" ref="J102:M140" ca="1" si="26">colorindex(B102)</f>
        <v>#NAME?</v>
      </c>
      <c r="K102" t="e">
        <f t="shared" ca="1" si="24"/>
        <v>#NAME?</v>
      </c>
      <c r="L102" t="e">
        <f t="shared" ca="1" si="24"/>
        <v>#NAME?</v>
      </c>
      <c r="M102" t="e">
        <f t="shared" ca="1" si="24"/>
        <v>#NAME?</v>
      </c>
      <c r="N102" t="e">
        <f t="shared" ca="1" si="24"/>
        <v>#NAME?</v>
      </c>
      <c r="O102" t="e">
        <f t="shared" ca="1" si="24"/>
        <v>#NAME?</v>
      </c>
      <c r="P102" t="e">
        <f t="shared" ca="1" si="24"/>
        <v>#NAME?</v>
      </c>
      <c r="R102" t="e">
        <f t="shared" ref="R102:U140" ca="1" si="27">ShiftIndex(B102)</f>
        <v>#NAME?</v>
      </c>
      <c r="S102" t="e">
        <f t="shared" ca="1" si="25"/>
        <v>#NAME?</v>
      </c>
      <c r="T102" t="e">
        <f t="shared" ca="1" si="25"/>
        <v>#NAME?</v>
      </c>
      <c r="U102" t="e">
        <f t="shared" ca="1" si="25"/>
        <v>#NAME?</v>
      </c>
      <c r="V102" t="e">
        <f t="shared" ca="1" si="25"/>
        <v>#NAME?</v>
      </c>
      <c r="W102" t="e">
        <f t="shared" ca="1" si="25"/>
        <v>#NAME?</v>
      </c>
      <c r="X102" t="e">
        <f t="shared" ca="1" si="25"/>
        <v>#NAME?</v>
      </c>
      <c r="Z102" s="15">
        <v>1</v>
      </c>
    </row>
    <row r="103" spans="1:26">
      <c r="A103" s="22" t="s">
        <v>187</v>
      </c>
      <c r="B103" s="25" t="s">
        <v>152</v>
      </c>
      <c r="C103" s="25" t="s">
        <v>152</v>
      </c>
      <c r="D103" s="25" t="s">
        <v>152</v>
      </c>
      <c r="E103" s="25"/>
      <c r="F103" s="25"/>
      <c r="G103" s="127" t="s">
        <v>20</v>
      </c>
      <c r="H103" s="129"/>
      <c r="J103" t="e">
        <f t="shared" ca="1" si="26"/>
        <v>#NAME?</v>
      </c>
      <c r="K103" t="e">
        <f t="shared" ca="1" si="24"/>
        <v>#NAME?</v>
      </c>
      <c r="L103" t="e">
        <f t="shared" ca="1" si="24"/>
        <v>#NAME?</v>
      </c>
      <c r="M103" t="e">
        <f t="shared" ca="1" si="24"/>
        <v>#NAME?</v>
      </c>
      <c r="N103" t="e">
        <f t="shared" ca="1" si="24"/>
        <v>#NAME?</v>
      </c>
      <c r="O103" t="e">
        <f t="shared" ca="1" si="24"/>
        <v>#NAME?</v>
      </c>
      <c r="P103" t="e">
        <f t="shared" ca="1" si="24"/>
        <v>#NAME?</v>
      </c>
      <c r="R103" t="e">
        <f t="shared" ca="1" si="27"/>
        <v>#NAME?</v>
      </c>
      <c r="S103" t="e">
        <f t="shared" ca="1" si="25"/>
        <v>#NAME?</v>
      </c>
      <c r="T103" t="e">
        <f t="shared" ca="1" si="25"/>
        <v>#NAME?</v>
      </c>
      <c r="U103" t="e">
        <f t="shared" ca="1" si="25"/>
        <v>#NAME?</v>
      </c>
      <c r="V103" t="e">
        <f t="shared" ca="1" si="25"/>
        <v>#NAME?</v>
      </c>
      <c r="W103" t="e">
        <f t="shared" ca="1" si="25"/>
        <v>#NAME?</v>
      </c>
      <c r="X103" t="e">
        <f t="shared" ca="1" si="25"/>
        <v>#NAME?</v>
      </c>
      <c r="Z103" s="15">
        <v>1</v>
      </c>
    </row>
    <row r="104" spans="1:26">
      <c r="A104" s="22" t="s">
        <v>188</v>
      </c>
      <c r="B104" s="25"/>
      <c r="C104" s="25"/>
      <c r="D104" s="44" t="s">
        <v>186</v>
      </c>
      <c r="E104" s="90" t="s">
        <v>118</v>
      </c>
      <c r="F104" s="101" t="s">
        <v>116</v>
      </c>
      <c r="G104" s="25"/>
      <c r="H104" s="25"/>
      <c r="J104" t="e">
        <f t="shared" ca="1" si="26"/>
        <v>#NAME?</v>
      </c>
      <c r="K104" t="e">
        <f t="shared" ca="1" si="24"/>
        <v>#NAME?</v>
      </c>
      <c r="L104" t="e">
        <f t="shared" ca="1" si="24"/>
        <v>#NAME?</v>
      </c>
      <c r="M104" t="e">
        <f t="shared" ca="1" si="24"/>
        <v>#NAME?</v>
      </c>
      <c r="N104" t="e">
        <f t="shared" ca="1" si="24"/>
        <v>#NAME?</v>
      </c>
      <c r="O104" t="e">
        <f t="shared" ca="1" si="24"/>
        <v>#NAME?</v>
      </c>
      <c r="P104" t="e">
        <f t="shared" ca="1" si="24"/>
        <v>#NAME?</v>
      </c>
      <c r="R104" t="e">
        <f t="shared" ca="1" si="27"/>
        <v>#NAME?</v>
      </c>
      <c r="S104" t="e">
        <f t="shared" ca="1" si="25"/>
        <v>#NAME?</v>
      </c>
      <c r="T104" t="e">
        <f t="shared" ca="1" si="25"/>
        <v>#NAME?</v>
      </c>
      <c r="U104" t="e">
        <f t="shared" ca="1" si="25"/>
        <v>#NAME?</v>
      </c>
      <c r="V104" t="e">
        <f t="shared" ca="1" si="25"/>
        <v>#NAME?</v>
      </c>
      <c r="W104" t="e">
        <f t="shared" ca="1" si="25"/>
        <v>#NAME?</v>
      </c>
      <c r="X104" t="e">
        <f t="shared" ca="1" si="25"/>
        <v>#NAME?</v>
      </c>
      <c r="Z104" s="15">
        <v>1</v>
      </c>
    </row>
    <row r="105" spans="1:26">
      <c r="A105" s="22" t="s">
        <v>190</v>
      </c>
      <c r="B105" s="101" t="s">
        <v>116</v>
      </c>
      <c r="C105" s="28" t="s">
        <v>115</v>
      </c>
      <c r="D105" s="25"/>
      <c r="E105" s="25" t="s">
        <v>152</v>
      </c>
      <c r="F105" s="25" t="s">
        <v>152</v>
      </c>
      <c r="G105" s="25"/>
      <c r="H105" s="25"/>
      <c r="J105" t="e">
        <f t="shared" ca="1" si="26"/>
        <v>#NAME?</v>
      </c>
      <c r="K105" t="e">
        <f t="shared" ca="1" si="24"/>
        <v>#NAME?</v>
      </c>
      <c r="L105" t="e">
        <f t="shared" ca="1" si="24"/>
        <v>#NAME?</v>
      </c>
      <c r="M105" t="e">
        <f t="shared" ca="1" si="24"/>
        <v>#NAME?</v>
      </c>
      <c r="N105" t="e">
        <f t="shared" ca="1" si="24"/>
        <v>#NAME?</v>
      </c>
      <c r="O105" t="e">
        <f t="shared" ca="1" si="24"/>
        <v>#NAME?</v>
      </c>
      <c r="P105" t="e">
        <f t="shared" ca="1" si="24"/>
        <v>#NAME?</v>
      </c>
      <c r="R105" t="e">
        <f t="shared" ca="1" si="27"/>
        <v>#NAME?</v>
      </c>
      <c r="S105" t="e">
        <f t="shared" ca="1" si="25"/>
        <v>#NAME?</v>
      </c>
      <c r="T105" t="e">
        <f t="shared" ca="1" si="25"/>
        <v>#NAME?</v>
      </c>
      <c r="U105" t="e">
        <f t="shared" ca="1" si="25"/>
        <v>#NAME?</v>
      </c>
      <c r="V105" t="e">
        <f t="shared" ca="1" si="25"/>
        <v>#NAME?</v>
      </c>
      <c r="W105" t="e">
        <f t="shared" ca="1" si="25"/>
        <v>#NAME?</v>
      </c>
      <c r="X105" t="e">
        <f t="shared" ca="1" si="25"/>
        <v>#NAME?</v>
      </c>
      <c r="Z105" s="15">
        <v>1</v>
      </c>
    </row>
    <row r="106" spans="1:26">
      <c r="A106" s="22" t="s">
        <v>191</v>
      </c>
      <c r="B106" s="44" t="s">
        <v>189</v>
      </c>
      <c r="C106" s="25"/>
      <c r="D106" s="101" t="s">
        <v>118</v>
      </c>
      <c r="E106" s="91" t="s">
        <v>118</v>
      </c>
      <c r="F106" s="91" t="s">
        <v>118</v>
      </c>
      <c r="G106" s="25"/>
      <c r="H106" s="25"/>
      <c r="J106" t="e">
        <f t="shared" ca="1" si="26"/>
        <v>#NAME?</v>
      </c>
      <c r="K106" t="e">
        <f t="shared" ca="1" si="24"/>
        <v>#NAME?</v>
      </c>
      <c r="L106" t="e">
        <f t="shared" ca="1" si="24"/>
        <v>#NAME?</v>
      </c>
      <c r="M106" t="e">
        <f t="shared" ca="1" si="24"/>
        <v>#NAME?</v>
      </c>
      <c r="N106" t="e">
        <f t="shared" ca="1" si="24"/>
        <v>#NAME?</v>
      </c>
      <c r="O106" t="e">
        <f t="shared" ca="1" si="24"/>
        <v>#NAME?</v>
      </c>
      <c r="P106" t="e">
        <f t="shared" ca="1" si="24"/>
        <v>#NAME?</v>
      </c>
      <c r="R106" t="e">
        <f t="shared" ca="1" si="27"/>
        <v>#NAME?</v>
      </c>
      <c r="S106" t="e">
        <f t="shared" ca="1" si="25"/>
        <v>#NAME?</v>
      </c>
      <c r="T106" t="e">
        <f t="shared" ca="1" si="25"/>
        <v>#NAME?</v>
      </c>
      <c r="U106" t="e">
        <f t="shared" ca="1" si="25"/>
        <v>#NAME?</v>
      </c>
      <c r="V106" t="e">
        <f t="shared" ca="1" si="25"/>
        <v>#NAME?</v>
      </c>
      <c r="W106" t="e">
        <f t="shared" ca="1" si="25"/>
        <v>#NAME?</v>
      </c>
      <c r="X106" t="e">
        <f t="shared" ca="1" si="25"/>
        <v>#NAME?</v>
      </c>
      <c r="Z106" s="15">
        <v>1</v>
      </c>
    </row>
    <row r="107" spans="1:26">
      <c r="A107" s="22" t="s">
        <v>192</v>
      </c>
      <c r="B107" s="91" t="s">
        <v>118</v>
      </c>
      <c r="C107" s="110" t="s">
        <v>142</v>
      </c>
      <c r="D107" s="25"/>
      <c r="E107" s="25"/>
      <c r="F107" s="25"/>
      <c r="G107" s="25" t="s">
        <v>152</v>
      </c>
      <c r="H107" s="25" t="s">
        <v>152</v>
      </c>
      <c r="J107" t="e">
        <f t="shared" ca="1" si="26"/>
        <v>#NAME?</v>
      </c>
      <c r="K107" t="e">
        <f t="shared" ca="1" si="24"/>
        <v>#NAME?</v>
      </c>
      <c r="L107" t="e">
        <f t="shared" ca="1" si="24"/>
        <v>#NAME?</v>
      </c>
      <c r="M107" t="e">
        <f t="shared" ca="1" si="24"/>
        <v>#NAME?</v>
      </c>
      <c r="N107" t="e">
        <f t="shared" ca="1" si="24"/>
        <v>#NAME?</v>
      </c>
      <c r="O107" t="e">
        <f t="shared" ca="1" si="24"/>
        <v>#NAME?</v>
      </c>
      <c r="P107" t="e">
        <f t="shared" ca="1" si="24"/>
        <v>#NAME?</v>
      </c>
      <c r="R107" t="e">
        <f t="shared" ca="1" si="27"/>
        <v>#NAME?</v>
      </c>
      <c r="S107" t="e">
        <f t="shared" ca="1" si="25"/>
        <v>#NAME?</v>
      </c>
      <c r="T107" t="e">
        <f t="shared" ca="1" si="25"/>
        <v>#NAME?</v>
      </c>
      <c r="U107" t="e">
        <f t="shared" ca="1" si="25"/>
        <v>#NAME?</v>
      </c>
      <c r="V107" t="e">
        <f t="shared" ca="1" si="25"/>
        <v>#NAME?</v>
      </c>
      <c r="W107" t="e">
        <f t="shared" ca="1" si="25"/>
        <v>#NAME?</v>
      </c>
      <c r="X107" t="e">
        <f t="shared" ca="1" si="25"/>
        <v>#NAME?</v>
      </c>
      <c r="Z107" s="15">
        <v>0.875</v>
      </c>
    </row>
    <row r="108" spans="1:26">
      <c r="A108" s="22" t="s">
        <v>193</v>
      </c>
      <c r="B108" s="25"/>
      <c r="C108" s="25"/>
      <c r="D108" s="91" t="s">
        <v>118</v>
      </c>
      <c r="E108" s="90" t="s">
        <v>116</v>
      </c>
      <c r="F108" s="25"/>
      <c r="G108" s="101" t="s">
        <v>116</v>
      </c>
      <c r="H108" s="44" t="s">
        <v>189</v>
      </c>
      <c r="J108" t="e">
        <f t="shared" ca="1" si="26"/>
        <v>#NAME?</v>
      </c>
      <c r="K108" t="e">
        <f t="shared" ca="1" si="24"/>
        <v>#NAME?</v>
      </c>
      <c r="L108" t="e">
        <f t="shared" ca="1" si="24"/>
        <v>#NAME?</v>
      </c>
      <c r="M108" t="e">
        <f t="shared" ca="1" si="24"/>
        <v>#NAME?</v>
      </c>
      <c r="N108" t="e">
        <f t="shared" ca="1" si="24"/>
        <v>#NAME?</v>
      </c>
      <c r="O108" t="e">
        <f t="shared" ca="1" si="24"/>
        <v>#NAME?</v>
      </c>
      <c r="P108" t="e">
        <f t="shared" ca="1" si="24"/>
        <v>#NAME?</v>
      </c>
      <c r="R108" t="e">
        <f t="shared" ca="1" si="27"/>
        <v>#NAME?</v>
      </c>
      <c r="S108" t="e">
        <f t="shared" ca="1" si="25"/>
        <v>#NAME?</v>
      </c>
      <c r="T108" t="e">
        <f t="shared" ca="1" si="25"/>
        <v>#NAME?</v>
      </c>
      <c r="U108" t="e">
        <f t="shared" ca="1" si="25"/>
        <v>#NAME?</v>
      </c>
      <c r="V108" t="e">
        <f t="shared" ca="1" si="25"/>
        <v>#NAME?</v>
      </c>
      <c r="W108" t="e">
        <f t="shared" ca="1" si="25"/>
        <v>#NAME?</v>
      </c>
      <c r="X108" t="e">
        <f t="shared" ca="1" si="25"/>
        <v>#NAME?</v>
      </c>
      <c r="Z108" s="15">
        <v>1</v>
      </c>
    </row>
    <row r="109" spans="1:26">
      <c r="A109" s="22" t="s">
        <v>283</v>
      </c>
      <c r="B109" s="28" t="s">
        <v>115</v>
      </c>
      <c r="C109" s="90" t="s">
        <v>116</v>
      </c>
      <c r="D109" s="44" t="s">
        <v>189</v>
      </c>
      <c r="E109" s="25"/>
      <c r="F109" s="25"/>
      <c r="G109" s="90" t="s">
        <v>118</v>
      </c>
      <c r="H109" s="90" t="s">
        <v>118</v>
      </c>
      <c r="J109" t="e">
        <f t="shared" ca="1" si="26"/>
        <v>#NAME?</v>
      </c>
      <c r="K109" t="e">
        <f t="shared" ca="1" si="24"/>
        <v>#NAME?</v>
      </c>
      <c r="L109" t="e">
        <f t="shared" ca="1" si="24"/>
        <v>#NAME?</v>
      </c>
      <c r="M109" t="e">
        <f t="shared" ca="1" si="24"/>
        <v>#NAME?</v>
      </c>
      <c r="N109" t="e">
        <f t="shared" ca="1" si="24"/>
        <v>#NAME?</v>
      </c>
      <c r="O109" t="e">
        <f t="shared" ca="1" si="24"/>
        <v>#NAME?</v>
      </c>
      <c r="P109" t="e">
        <f t="shared" ca="1" si="24"/>
        <v>#NAME?</v>
      </c>
      <c r="R109" t="e">
        <f t="shared" ca="1" si="27"/>
        <v>#NAME?</v>
      </c>
      <c r="S109" t="e">
        <f t="shared" ca="1" si="25"/>
        <v>#NAME?</v>
      </c>
      <c r="T109" t="e">
        <f t="shared" ca="1" si="25"/>
        <v>#NAME?</v>
      </c>
      <c r="U109" t="e">
        <f t="shared" ca="1" si="25"/>
        <v>#NAME?</v>
      </c>
      <c r="V109" t="e">
        <f t="shared" ca="1" si="25"/>
        <v>#NAME?</v>
      </c>
      <c r="W109" t="e">
        <f t="shared" ca="1" si="25"/>
        <v>#NAME?</v>
      </c>
      <c r="X109" t="e">
        <f t="shared" ca="1" si="25"/>
        <v>#NAME?</v>
      </c>
      <c r="Z109" s="15">
        <v>1</v>
      </c>
    </row>
    <row r="110" spans="1:26">
      <c r="A110" s="22" t="s">
        <v>195</v>
      </c>
      <c r="B110" s="25"/>
      <c r="C110" s="25"/>
      <c r="D110" s="25"/>
      <c r="E110" s="25"/>
      <c r="F110" s="25"/>
      <c r="G110" s="25"/>
      <c r="H110" s="101" t="s">
        <v>118</v>
      </c>
      <c r="J110" t="e">
        <f t="shared" ca="1" si="26"/>
        <v>#NAME?</v>
      </c>
      <c r="K110" t="e">
        <f t="shared" ca="1" si="24"/>
        <v>#NAME?</v>
      </c>
      <c r="L110" t="e">
        <f t="shared" ca="1" si="24"/>
        <v>#NAME?</v>
      </c>
      <c r="M110" t="e">
        <f t="shared" ca="1" si="24"/>
        <v>#NAME?</v>
      </c>
      <c r="N110" t="e">
        <f t="shared" ca="1" si="24"/>
        <v>#NAME?</v>
      </c>
      <c r="O110" t="e">
        <f t="shared" ca="1" si="24"/>
        <v>#NAME?</v>
      </c>
      <c r="P110" t="e">
        <f t="shared" ca="1" si="24"/>
        <v>#NAME?</v>
      </c>
      <c r="R110" t="e">
        <f t="shared" ca="1" si="27"/>
        <v>#NAME?</v>
      </c>
      <c r="S110" t="e">
        <f t="shared" ca="1" si="25"/>
        <v>#NAME?</v>
      </c>
      <c r="T110" t="e">
        <f t="shared" ca="1" si="25"/>
        <v>#NAME?</v>
      </c>
      <c r="U110" t="e">
        <f t="shared" ca="1" si="25"/>
        <v>#NAME?</v>
      </c>
      <c r="V110" t="e">
        <f t="shared" ca="1" si="25"/>
        <v>#NAME?</v>
      </c>
      <c r="W110" t="e">
        <f t="shared" ca="1" si="25"/>
        <v>#NAME?</v>
      </c>
      <c r="X110" t="e">
        <f t="shared" ca="1" si="25"/>
        <v>#NAME?</v>
      </c>
      <c r="Z110" s="15">
        <v>0.5</v>
      </c>
    </row>
    <row r="111" spans="1:26">
      <c r="A111" s="42" t="s">
        <v>196</v>
      </c>
      <c r="B111" s="44" t="s">
        <v>186</v>
      </c>
      <c r="C111" s="25"/>
      <c r="D111" s="25"/>
      <c r="E111" s="25"/>
      <c r="F111" s="25"/>
      <c r="G111" s="25"/>
      <c r="H111" s="25" t="s">
        <v>152</v>
      </c>
      <c r="J111" t="e">
        <f t="shared" ca="1" si="26"/>
        <v>#NAME?</v>
      </c>
      <c r="K111" t="e">
        <f t="shared" ca="1" si="24"/>
        <v>#NAME?</v>
      </c>
      <c r="L111" t="e">
        <f t="shared" ca="1" si="24"/>
        <v>#NAME?</v>
      </c>
      <c r="M111" t="e">
        <f t="shared" ca="1" si="24"/>
        <v>#NAME?</v>
      </c>
      <c r="N111" t="e">
        <f t="shared" ca="1" si="24"/>
        <v>#NAME?</v>
      </c>
      <c r="O111" t="e">
        <f t="shared" ca="1" si="24"/>
        <v>#NAME?</v>
      </c>
      <c r="P111" t="e">
        <f t="shared" ca="1" si="24"/>
        <v>#NAME?</v>
      </c>
      <c r="R111" t="e">
        <f t="shared" ca="1" si="27"/>
        <v>#NAME?</v>
      </c>
      <c r="S111" t="e">
        <f t="shared" ca="1" si="25"/>
        <v>#NAME?</v>
      </c>
      <c r="T111" t="e">
        <f t="shared" ca="1" si="25"/>
        <v>#NAME?</v>
      </c>
      <c r="U111" t="e">
        <f t="shared" ca="1" si="25"/>
        <v>#NAME?</v>
      </c>
      <c r="V111" t="e">
        <f t="shared" ca="1" si="25"/>
        <v>#NAME?</v>
      </c>
      <c r="W111" t="e">
        <f t="shared" ca="1" si="25"/>
        <v>#NAME?</v>
      </c>
      <c r="X111" t="e">
        <f t="shared" ca="1" si="25"/>
        <v>#NAME?</v>
      </c>
      <c r="Z111" s="15">
        <v>0.5</v>
      </c>
    </row>
    <row r="112" spans="1:26">
      <c r="A112" s="22" t="s">
        <v>197</v>
      </c>
      <c r="B112" s="25"/>
      <c r="C112" s="25"/>
      <c r="D112" s="25"/>
      <c r="E112" s="25"/>
      <c r="F112" s="25"/>
      <c r="G112" s="25" t="s">
        <v>152</v>
      </c>
      <c r="H112" s="25" t="s">
        <v>152</v>
      </c>
      <c r="J112" t="e">
        <f t="shared" ca="1" si="26"/>
        <v>#NAME?</v>
      </c>
      <c r="K112" t="e">
        <f t="shared" ca="1" si="24"/>
        <v>#NAME?</v>
      </c>
      <c r="L112" t="e">
        <f t="shared" ca="1" si="24"/>
        <v>#NAME?</v>
      </c>
      <c r="M112" t="e">
        <f t="shared" ca="1" si="24"/>
        <v>#NAME?</v>
      </c>
      <c r="N112" t="e">
        <f t="shared" ca="1" si="24"/>
        <v>#NAME?</v>
      </c>
      <c r="O112" t="e">
        <f t="shared" ca="1" si="24"/>
        <v>#NAME?</v>
      </c>
      <c r="P112" t="e">
        <f t="shared" ca="1" si="24"/>
        <v>#NAME?</v>
      </c>
      <c r="R112" t="e">
        <f t="shared" ca="1" si="27"/>
        <v>#NAME?</v>
      </c>
      <c r="S112" t="e">
        <f t="shared" ca="1" si="25"/>
        <v>#NAME?</v>
      </c>
      <c r="T112" t="e">
        <f t="shared" ca="1" si="25"/>
        <v>#NAME?</v>
      </c>
      <c r="U112" t="e">
        <f t="shared" ca="1" si="25"/>
        <v>#NAME?</v>
      </c>
      <c r="V112" t="e">
        <f t="shared" ca="1" si="25"/>
        <v>#NAME?</v>
      </c>
      <c r="W112" t="e">
        <f t="shared" ca="1" si="25"/>
        <v>#NAME?</v>
      </c>
      <c r="X112" t="e">
        <f t="shared" ca="1" si="25"/>
        <v>#NAME?</v>
      </c>
      <c r="Z112" s="15">
        <v>0.5</v>
      </c>
    </row>
    <row r="113" spans="1:26">
      <c r="A113" s="22" t="s">
        <v>199</v>
      </c>
      <c r="B113" s="112"/>
      <c r="C113" s="44" t="s">
        <v>189</v>
      </c>
      <c r="D113" s="112"/>
      <c r="E113" s="101" t="s">
        <v>118</v>
      </c>
      <c r="F113" s="112"/>
      <c r="G113" s="25"/>
      <c r="H113" s="25"/>
      <c r="J113" t="e">
        <f t="shared" ca="1" si="26"/>
        <v>#NAME?</v>
      </c>
      <c r="K113" t="e">
        <f t="shared" ca="1" si="24"/>
        <v>#NAME?</v>
      </c>
      <c r="L113" t="e">
        <f t="shared" ca="1" si="24"/>
        <v>#NAME?</v>
      </c>
      <c r="M113" t="e">
        <f t="shared" ca="1" si="24"/>
        <v>#NAME?</v>
      </c>
      <c r="N113" t="e">
        <f t="shared" ca="1" si="24"/>
        <v>#NAME?</v>
      </c>
      <c r="O113" t="e">
        <f t="shared" ca="1" si="24"/>
        <v>#NAME?</v>
      </c>
      <c r="P113" t="e">
        <f t="shared" ca="1" si="24"/>
        <v>#NAME?</v>
      </c>
      <c r="R113" t="e">
        <f t="shared" ca="1" si="27"/>
        <v>#NAME?</v>
      </c>
      <c r="S113" t="e">
        <f t="shared" ca="1" si="25"/>
        <v>#NAME?</v>
      </c>
      <c r="T113" t="e">
        <f t="shared" ca="1" si="25"/>
        <v>#NAME?</v>
      </c>
      <c r="U113" t="e">
        <f t="shared" ca="1" si="25"/>
        <v>#NAME?</v>
      </c>
      <c r="V113" t="e">
        <f t="shared" ca="1" si="25"/>
        <v>#NAME?</v>
      </c>
      <c r="W113" t="e">
        <f t="shared" ca="1" si="25"/>
        <v>#NAME?</v>
      </c>
      <c r="X113" t="e">
        <f t="shared" ca="1" si="25"/>
        <v>#NAME?</v>
      </c>
      <c r="Z113" s="15">
        <v>0.5</v>
      </c>
    </row>
    <row r="114" spans="1:26">
      <c r="A114" s="22" t="s">
        <v>200</v>
      </c>
      <c r="B114" s="90" t="s">
        <v>116</v>
      </c>
      <c r="C114" s="25"/>
      <c r="D114" s="110" t="s">
        <v>142</v>
      </c>
      <c r="E114" s="101" t="s">
        <v>116</v>
      </c>
      <c r="F114" s="28" t="s">
        <v>115</v>
      </c>
      <c r="G114" s="25"/>
      <c r="H114" s="25"/>
      <c r="J114" t="e">
        <f t="shared" ca="1" si="26"/>
        <v>#NAME?</v>
      </c>
      <c r="K114" t="e">
        <f t="shared" ca="1" si="24"/>
        <v>#NAME?</v>
      </c>
      <c r="L114" t="e">
        <f t="shared" ca="1" si="24"/>
        <v>#NAME?</v>
      </c>
      <c r="M114" t="e">
        <f t="shared" ca="1" si="24"/>
        <v>#NAME?</v>
      </c>
      <c r="N114" t="e">
        <f t="shared" ca="1" si="24"/>
        <v>#NAME?</v>
      </c>
      <c r="O114" t="e">
        <f t="shared" ca="1" si="24"/>
        <v>#NAME?</v>
      </c>
      <c r="P114" t="e">
        <f t="shared" ca="1" si="24"/>
        <v>#NAME?</v>
      </c>
      <c r="R114" t="e">
        <f t="shared" ca="1" si="27"/>
        <v>#NAME?</v>
      </c>
      <c r="S114" t="e">
        <f t="shared" ca="1" si="25"/>
        <v>#NAME?</v>
      </c>
      <c r="T114" t="e">
        <f t="shared" ca="1" si="25"/>
        <v>#NAME?</v>
      </c>
      <c r="U114" t="e">
        <f t="shared" ca="1" si="25"/>
        <v>#NAME?</v>
      </c>
      <c r="V114" t="e">
        <f t="shared" ca="1" si="25"/>
        <v>#NAME?</v>
      </c>
      <c r="W114" t="e">
        <f t="shared" ca="1" si="25"/>
        <v>#NAME?</v>
      </c>
      <c r="X114" t="e">
        <f t="shared" ca="1" si="25"/>
        <v>#NAME?</v>
      </c>
      <c r="Z114" s="15">
        <v>1</v>
      </c>
    </row>
    <row r="115" spans="1:26">
      <c r="A115" s="22" t="s">
        <v>201</v>
      </c>
      <c r="B115" s="91" t="s">
        <v>118</v>
      </c>
      <c r="C115" s="110" t="s">
        <v>139</v>
      </c>
      <c r="D115" s="25"/>
      <c r="E115" s="25"/>
      <c r="F115" s="25"/>
      <c r="G115" s="91" t="s">
        <v>116</v>
      </c>
      <c r="H115" s="101" t="s">
        <v>116</v>
      </c>
      <c r="J115" t="e">
        <f t="shared" ca="1" si="26"/>
        <v>#NAME?</v>
      </c>
      <c r="K115" t="e">
        <f t="shared" ca="1" si="24"/>
        <v>#NAME?</v>
      </c>
      <c r="L115" t="e">
        <f t="shared" ca="1" si="24"/>
        <v>#NAME?</v>
      </c>
      <c r="M115" t="e">
        <f t="shared" ca="1" si="24"/>
        <v>#NAME?</v>
      </c>
      <c r="N115" t="e">
        <f t="shared" ca="1" si="24"/>
        <v>#NAME?</v>
      </c>
      <c r="O115" t="e">
        <f t="shared" ca="1" si="24"/>
        <v>#NAME?</v>
      </c>
      <c r="P115" t="e">
        <f t="shared" ca="1" si="24"/>
        <v>#NAME?</v>
      </c>
      <c r="R115" t="e">
        <f t="shared" ca="1" si="27"/>
        <v>#NAME?</v>
      </c>
      <c r="S115" t="e">
        <f t="shared" ca="1" si="25"/>
        <v>#NAME?</v>
      </c>
      <c r="T115" t="e">
        <f t="shared" ca="1" si="25"/>
        <v>#NAME?</v>
      </c>
      <c r="U115" t="e">
        <f t="shared" ca="1" si="25"/>
        <v>#NAME?</v>
      </c>
      <c r="V115" t="e">
        <f t="shared" ca="1" si="25"/>
        <v>#NAME?</v>
      </c>
      <c r="W115" t="e">
        <f t="shared" ca="1" si="25"/>
        <v>#NAME?</v>
      </c>
      <c r="X115" t="e">
        <f t="shared" ca="1" si="25"/>
        <v>#NAME?</v>
      </c>
      <c r="Z115" s="15">
        <v>1</v>
      </c>
    </row>
    <row r="116" spans="1:26">
      <c r="A116" s="22" t="s">
        <v>202</v>
      </c>
      <c r="B116" s="127" t="s">
        <v>18</v>
      </c>
      <c r="C116" s="128"/>
      <c r="D116" s="128"/>
      <c r="E116" s="128"/>
      <c r="F116" s="128"/>
      <c r="G116" s="128"/>
      <c r="H116" s="129"/>
      <c r="J116" t="e">
        <f t="shared" ca="1" si="26"/>
        <v>#NAME?</v>
      </c>
      <c r="K116" t="e">
        <f t="shared" ca="1" si="24"/>
        <v>#NAME?</v>
      </c>
      <c r="L116" t="e">
        <f t="shared" ca="1" si="24"/>
        <v>#NAME?</v>
      </c>
      <c r="M116" t="e">
        <f t="shared" ca="1" si="24"/>
        <v>#NAME?</v>
      </c>
      <c r="N116" t="e">
        <f t="shared" ca="1" si="24"/>
        <v>#NAME?</v>
      </c>
      <c r="O116" t="e">
        <f t="shared" ca="1" si="24"/>
        <v>#NAME?</v>
      </c>
      <c r="P116" t="e">
        <f t="shared" ca="1" si="24"/>
        <v>#NAME?</v>
      </c>
      <c r="R116" t="e">
        <f t="shared" ca="1" si="27"/>
        <v>#NAME?</v>
      </c>
      <c r="S116" t="e">
        <f t="shared" ca="1" si="25"/>
        <v>#NAME?</v>
      </c>
      <c r="T116" t="e">
        <f t="shared" ca="1" si="25"/>
        <v>#NAME?</v>
      </c>
      <c r="U116" t="e">
        <f t="shared" ca="1" si="25"/>
        <v>#NAME?</v>
      </c>
      <c r="V116" t="e">
        <f t="shared" ca="1" si="25"/>
        <v>#NAME?</v>
      </c>
      <c r="W116" t="e">
        <f t="shared" ca="1" si="25"/>
        <v>#NAME?</v>
      </c>
      <c r="X116" t="e">
        <f t="shared" ca="1" si="25"/>
        <v>#NAME?</v>
      </c>
      <c r="Z116" s="15">
        <v>1</v>
      </c>
    </row>
    <row r="117" spans="1:26">
      <c r="A117" s="42" t="s">
        <v>203</v>
      </c>
      <c r="B117" s="90" t="s">
        <v>118</v>
      </c>
      <c r="C117" s="101" t="s">
        <v>118</v>
      </c>
      <c r="D117" s="90" t="s">
        <v>118</v>
      </c>
      <c r="E117" s="25"/>
      <c r="F117" s="25"/>
      <c r="G117" s="44" t="s">
        <v>189</v>
      </c>
      <c r="H117" s="110" t="s">
        <v>139</v>
      </c>
      <c r="J117" t="e">
        <f t="shared" ca="1" si="26"/>
        <v>#NAME?</v>
      </c>
      <c r="K117" t="e">
        <f t="shared" ca="1" si="24"/>
        <v>#NAME?</v>
      </c>
      <c r="L117" t="e">
        <f t="shared" ca="1" si="24"/>
        <v>#NAME?</v>
      </c>
      <c r="M117" t="e">
        <f t="shared" ca="1" si="24"/>
        <v>#NAME?</v>
      </c>
      <c r="N117" t="e">
        <f t="shared" ca="1" si="24"/>
        <v>#NAME?</v>
      </c>
      <c r="O117" t="e">
        <f t="shared" ca="1" si="24"/>
        <v>#NAME?</v>
      </c>
      <c r="P117" t="e">
        <f t="shared" ca="1" si="24"/>
        <v>#NAME?</v>
      </c>
      <c r="R117" t="e">
        <f t="shared" ca="1" si="27"/>
        <v>#NAME?</v>
      </c>
      <c r="S117" t="e">
        <f t="shared" ca="1" si="25"/>
        <v>#NAME?</v>
      </c>
      <c r="T117" t="e">
        <f t="shared" ca="1" si="25"/>
        <v>#NAME?</v>
      </c>
      <c r="U117" t="e">
        <f t="shared" ca="1" si="25"/>
        <v>#NAME?</v>
      </c>
      <c r="V117" t="e">
        <f t="shared" ca="1" si="25"/>
        <v>#NAME?</v>
      </c>
      <c r="W117" t="e">
        <f t="shared" ca="1" si="25"/>
        <v>#NAME?</v>
      </c>
      <c r="X117" t="e">
        <f t="shared" ca="1" si="25"/>
        <v>#NAME?</v>
      </c>
      <c r="Z117" s="15">
        <v>1</v>
      </c>
    </row>
    <row r="118" spans="1:26">
      <c r="A118" s="22" t="s">
        <v>204</v>
      </c>
      <c r="B118" s="25"/>
      <c r="C118" s="25"/>
      <c r="D118" s="25" t="s">
        <v>152</v>
      </c>
      <c r="E118" s="25" t="s">
        <v>152</v>
      </c>
      <c r="F118" s="25" t="s">
        <v>152</v>
      </c>
      <c r="G118" s="25" t="s">
        <v>152</v>
      </c>
      <c r="H118" s="25"/>
      <c r="J118" t="e">
        <f t="shared" ca="1" si="26"/>
        <v>#NAME?</v>
      </c>
      <c r="K118" t="e">
        <f t="shared" ca="1" si="24"/>
        <v>#NAME?</v>
      </c>
      <c r="L118" t="e">
        <f t="shared" ca="1" si="24"/>
        <v>#NAME?</v>
      </c>
      <c r="M118" t="e">
        <f t="shared" ca="1" si="24"/>
        <v>#NAME?</v>
      </c>
      <c r="N118" t="e">
        <f t="shared" ca="1" si="24"/>
        <v>#NAME?</v>
      </c>
      <c r="O118" t="e">
        <f t="shared" ca="1" si="24"/>
        <v>#NAME?</v>
      </c>
      <c r="P118" t="e">
        <f t="shared" ca="1" si="24"/>
        <v>#NAME?</v>
      </c>
      <c r="R118" t="e">
        <f t="shared" ca="1" si="27"/>
        <v>#NAME?</v>
      </c>
      <c r="S118" t="e">
        <f t="shared" ca="1" si="25"/>
        <v>#NAME?</v>
      </c>
      <c r="T118" t="e">
        <f t="shared" ca="1" si="25"/>
        <v>#NAME?</v>
      </c>
      <c r="U118" t="e">
        <f t="shared" ca="1" si="25"/>
        <v>#NAME?</v>
      </c>
      <c r="V118" t="e">
        <f t="shared" ca="1" si="25"/>
        <v>#NAME?</v>
      </c>
      <c r="W118" t="e">
        <f t="shared" ca="1" si="25"/>
        <v>#NAME?</v>
      </c>
      <c r="X118" t="e">
        <f t="shared" ca="1" si="25"/>
        <v>#NAME?</v>
      </c>
      <c r="Z118" s="15">
        <v>1</v>
      </c>
    </row>
    <row r="119" spans="1:26">
      <c r="A119" s="22" t="s">
        <v>205</v>
      </c>
      <c r="B119" s="101" t="s">
        <v>118</v>
      </c>
      <c r="C119" s="90" t="s">
        <v>118</v>
      </c>
      <c r="D119" s="91" t="s">
        <v>118</v>
      </c>
      <c r="E119" s="91" t="s">
        <v>118</v>
      </c>
      <c r="F119" s="110" t="s">
        <v>142</v>
      </c>
      <c r="G119" s="127" t="s">
        <v>20</v>
      </c>
      <c r="H119" s="129"/>
      <c r="J119" t="e">
        <f t="shared" ca="1" si="26"/>
        <v>#NAME?</v>
      </c>
      <c r="K119" t="e">
        <f t="shared" ca="1" si="24"/>
        <v>#NAME?</v>
      </c>
      <c r="L119" t="e">
        <f t="shared" ca="1" si="24"/>
        <v>#NAME?</v>
      </c>
      <c r="M119" t="e">
        <f t="shared" ca="1" si="24"/>
        <v>#NAME?</v>
      </c>
      <c r="N119" t="e">
        <f t="shared" ca="1" si="24"/>
        <v>#NAME?</v>
      </c>
      <c r="O119" t="e">
        <f t="shared" ca="1" si="24"/>
        <v>#NAME?</v>
      </c>
      <c r="P119" t="e">
        <f t="shared" ca="1" si="24"/>
        <v>#NAME?</v>
      </c>
      <c r="R119" t="e">
        <f t="shared" ca="1" si="27"/>
        <v>#NAME?</v>
      </c>
      <c r="S119" t="e">
        <f t="shared" ca="1" si="25"/>
        <v>#NAME?</v>
      </c>
      <c r="T119" t="e">
        <f t="shared" ca="1" si="25"/>
        <v>#NAME?</v>
      </c>
      <c r="U119" t="e">
        <f t="shared" ca="1" si="25"/>
        <v>#NAME?</v>
      </c>
      <c r="V119" t="e">
        <f t="shared" ca="1" si="25"/>
        <v>#NAME?</v>
      </c>
      <c r="W119" t="e">
        <f t="shared" ca="1" si="25"/>
        <v>#NAME?</v>
      </c>
      <c r="X119" t="e">
        <f t="shared" ca="1" si="25"/>
        <v>#NAME?</v>
      </c>
      <c r="Z119" s="15">
        <v>1</v>
      </c>
    </row>
    <row r="120" spans="1:26">
      <c r="A120" s="22" t="s">
        <v>206</v>
      </c>
      <c r="B120" s="25"/>
      <c r="C120" s="25"/>
      <c r="D120" s="110" t="s">
        <v>139</v>
      </c>
      <c r="E120" s="91" t="s">
        <v>116</v>
      </c>
      <c r="F120" s="25"/>
      <c r="G120" s="101" t="s">
        <v>118</v>
      </c>
      <c r="H120" s="44" t="s">
        <v>186</v>
      </c>
      <c r="J120" t="e">
        <f t="shared" ca="1" si="26"/>
        <v>#NAME?</v>
      </c>
      <c r="K120" t="e">
        <f t="shared" ca="1" si="24"/>
        <v>#NAME?</v>
      </c>
      <c r="L120" t="e">
        <f t="shared" ca="1" si="24"/>
        <v>#NAME?</v>
      </c>
      <c r="M120" t="e">
        <f t="shared" ca="1" si="24"/>
        <v>#NAME?</v>
      </c>
      <c r="N120" t="e">
        <f t="shared" ca="1" si="24"/>
        <v>#NAME?</v>
      </c>
      <c r="O120" t="e">
        <f t="shared" ca="1" si="24"/>
        <v>#NAME?</v>
      </c>
      <c r="P120" t="e">
        <f t="shared" ca="1" si="24"/>
        <v>#NAME?</v>
      </c>
      <c r="R120" t="e">
        <f t="shared" ca="1" si="27"/>
        <v>#NAME?</v>
      </c>
      <c r="S120" t="e">
        <f t="shared" ca="1" si="25"/>
        <v>#NAME?</v>
      </c>
      <c r="T120" t="e">
        <f t="shared" ca="1" si="25"/>
        <v>#NAME?</v>
      </c>
      <c r="U120" t="e">
        <f t="shared" ca="1" si="25"/>
        <v>#NAME?</v>
      </c>
      <c r="V120" t="e">
        <f t="shared" ca="1" si="25"/>
        <v>#NAME?</v>
      </c>
      <c r="W120" t="e">
        <f t="shared" ca="1" si="25"/>
        <v>#NAME?</v>
      </c>
      <c r="X120" t="e">
        <f t="shared" ca="1" si="25"/>
        <v>#NAME?</v>
      </c>
      <c r="Z120" s="15">
        <v>1</v>
      </c>
    </row>
    <row r="121" spans="1:26">
      <c r="A121" s="22" t="s">
        <v>207</v>
      </c>
      <c r="B121" s="90" t="s">
        <v>118</v>
      </c>
      <c r="C121" s="25"/>
      <c r="D121" s="25"/>
      <c r="E121" s="25"/>
      <c r="F121" s="101" t="s">
        <v>118</v>
      </c>
      <c r="G121" s="127" t="s">
        <v>20</v>
      </c>
      <c r="H121" s="129"/>
      <c r="J121" t="e">
        <f t="shared" ca="1" si="26"/>
        <v>#NAME?</v>
      </c>
      <c r="K121" t="e">
        <f t="shared" ca="1" si="24"/>
        <v>#NAME?</v>
      </c>
      <c r="L121" t="e">
        <f t="shared" ca="1" si="24"/>
        <v>#NAME?</v>
      </c>
      <c r="M121" t="e">
        <f t="shared" ca="1" si="24"/>
        <v>#NAME?</v>
      </c>
      <c r="N121" t="e">
        <f t="shared" ca="1" si="24"/>
        <v>#NAME?</v>
      </c>
      <c r="O121" t="e">
        <f t="shared" ca="1" si="24"/>
        <v>#NAME?</v>
      </c>
      <c r="P121" t="e">
        <f t="shared" ca="1" si="24"/>
        <v>#NAME?</v>
      </c>
      <c r="R121" t="e">
        <f t="shared" ca="1" si="27"/>
        <v>#NAME?</v>
      </c>
      <c r="S121" t="e">
        <f t="shared" ca="1" si="25"/>
        <v>#NAME?</v>
      </c>
      <c r="T121" t="e">
        <f t="shared" ca="1" si="25"/>
        <v>#NAME?</v>
      </c>
      <c r="U121" t="e">
        <f t="shared" ca="1" si="25"/>
        <v>#NAME?</v>
      </c>
      <c r="V121" t="e">
        <f t="shared" ca="1" si="25"/>
        <v>#NAME?</v>
      </c>
      <c r="W121" t="e">
        <f t="shared" ca="1" si="25"/>
        <v>#NAME?</v>
      </c>
      <c r="X121" t="e">
        <f t="shared" ca="1" si="25"/>
        <v>#NAME?</v>
      </c>
      <c r="Z121" s="15">
        <v>0.5</v>
      </c>
    </row>
    <row r="122" spans="1:26">
      <c r="A122" s="22" t="s">
        <v>208</v>
      </c>
      <c r="B122" s="25"/>
      <c r="C122" s="25"/>
      <c r="D122" s="25"/>
      <c r="E122" s="127" t="s">
        <v>20</v>
      </c>
      <c r="F122" s="129"/>
      <c r="G122" s="91" t="s">
        <v>116</v>
      </c>
      <c r="H122" s="90" t="s">
        <v>116</v>
      </c>
      <c r="J122" t="e">
        <f t="shared" ca="1" si="26"/>
        <v>#NAME?</v>
      </c>
      <c r="K122" t="e">
        <f t="shared" ca="1" si="24"/>
        <v>#NAME?</v>
      </c>
      <c r="L122" t="e">
        <f t="shared" ca="1" si="24"/>
        <v>#NAME?</v>
      </c>
      <c r="M122" t="e">
        <f t="shared" ca="1" si="24"/>
        <v>#NAME?</v>
      </c>
      <c r="N122" t="e">
        <f t="shared" ca="1" si="24"/>
        <v>#NAME?</v>
      </c>
      <c r="O122" t="e">
        <f t="shared" ca="1" si="24"/>
        <v>#NAME?</v>
      </c>
      <c r="P122" t="e">
        <f t="shared" ca="1" si="24"/>
        <v>#NAME?</v>
      </c>
      <c r="R122" t="e">
        <f t="shared" ca="1" si="27"/>
        <v>#NAME?</v>
      </c>
      <c r="S122" t="e">
        <f t="shared" ca="1" si="25"/>
        <v>#NAME?</v>
      </c>
      <c r="T122" t="e">
        <f t="shared" ca="1" si="25"/>
        <v>#NAME?</v>
      </c>
      <c r="U122" t="e">
        <f t="shared" ca="1" si="25"/>
        <v>#NAME?</v>
      </c>
      <c r="V122" t="e">
        <f t="shared" ca="1" si="25"/>
        <v>#NAME?</v>
      </c>
      <c r="W122" t="e">
        <f t="shared" ca="1" si="25"/>
        <v>#NAME?</v>
      </c>
      <c r="X122" t="e">
        <f t="shared" ca="1" si="25"/>
        <v>#NAME?</v>
      </c>
      <c r="Z122" s="15">
        <v>0.5</v>
      </c>
    </row>
    <row r="123" spans="1:26">
      <c r="A123" s="22" t="s">
        <v>209</v>
      </c>
      <c r="B123" s="110" t="s">
        <v>139</v>
      </c>
      <c r="C123" s="25"/>
      <c r="D123" s="91" t="s">
        <v>118</v>
      </c>
      <c r="E123" s="25"/>
      <c r="F123" s="25" t="s">
        <v>308</v>
      </c>
      <c r="G123" s="25"/>
      <c r="H123" s="25"/>
      <c r="J123" t="e">
        <f t="shared" ca="1" si="26"/>
        <v>#NAME?</v>
      </c>
      <c r="K123" t="e">
        <f t="shared" ca="1" si="24"/>
        <v>#NAME?</v>
      </c>
      <c r="L123" t="e">
        <f t="shared" ca="1" si="24"/>
        <v>#NAME?</v>
      </c>
      <c r="M123" t="e">
        <f t="shared" ca="1" si="24"/>
        <v>#NAME?</v>
      </c>
      <c r="N123" t="e">
        <f t="shared" ca="1" si="24"/>
        <v>#NAME?</v>
      </c>
      <c r="O123" t="e">
        <f t="shared" ca="1" si="24"/>
        <v>#NAME?</v>
      </c>
      <c r="P123" t="e">
        <f t="shared" ca="1" si="24"/>
        <v>#NAME?</v>
      </c>
      <c r="R123" t="e">
        <f t="shared" ca="1" si="27"/>
        <v>#NAME?</v>
      </c>
      <c r="S123" t="e">
        <f t="shared" ca="1" si="25"/>
        <v>#NAME?</v>
      </c>
      <c r="T123" t="e">
        <f t="shared" ca="1" si="25"/>
        <v>#NAME?</v>
      </c>
      <c r="U123" t="e">
        <f t="shared" ca="1" si="25"/>
        <v>#NAME?</v>
      </c>
      <c r="V123" t="e">
        <f t="shared" ca="1" si="25"/>
        <v>#NAME?</v>
      </c>
      <c r="W123" t="e">
        <f t="shared" ca="1" si="25"/>
        <v>#NAME?</v>
      </c>
      <c r="X123" t="e">
        <f t="shared" ca="1" si="25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5"/>
      <c r="E124" s="110" t="s">
        <v>142</v>
      </c>
      <c r="F124" s="91" t="s">
        <v>116</v>
      </c>
      <c r="G124" s="25"/>
      <c r="H124" s="25"/>
      <c r="J124" t="e">
        <f t="shared" ca="1" si="26"/>
        <v>#NAME?</v>
      </c>
      <c r="K124" t="e">
        <f t="shared" ca="1" si="24"/>
        <v>#NAME?</v>
      </c>
      <c r="L124" t="e">
        <f t="shared" ca="1" si="24"/>
        <v>#NAME?</v>
      </c>
      <c r="M124" t="e">
        <f t="shared" ca="1" si="24"/>
        <v>#NAME?</v>
      </c>
      <c r="N124" t="e">
        <f t="shared" ca="1" si="24"/>
        <v>#NAME?</v>
      </c>
      <c r="O124" t="e">
        <f t="shared" ca="1" si="24"/>
        <v>#NAME?</v>
      </c>
      <c r="P124" t="e">
        <f t="shared" ca="1" si="24"/>
        <v>#NAME?</v>
      </c>
      <c r="R124" t="e">
        <f t="shared" ca="1" si="27"/>
        <v>#NAME?</v>
      </c>
      <c r="S124" t="e">
        <f t="shared" ca="1" si="25"/>
        <v>#NAME?</v>
      </c>
      <c r="T124" t="e">
        <f t="shared" ca="1" si="25"/>
        <v>#NAME?</v>
      </c>
      <c r="U124" t="e">
        <f t="shared" ca="1" si="25"/>
        <v>#NAME?</v>
      </c>
      <c r="V124" t="e">
        <f t="shared" ca="1" si="25"/>
        <v>#NAME?</v>
      </c>
      <c r="W124" t="e">
        <f t="shared" ca="1" si="25"/>
        <v>#NAME?</v>
      </c>
      <c r="X124" t="e">
        <f t="shared" ca="1" si="25"/>
        <v>#NAME?</v>
      </c>
      <c r="Z124" s="15">
        <v>0.5</v>
      </c>
    </row>
    <row r="125" spans="1:26">
      <c r="A125" s="22" t="s">
        <v>212</v>
      </c>
      <c r="B125" s="25" t="s">
        <v>152</v>
      </c>
      <c r="C125" s="25" t="s">
        <v>152</v>
      </c>
      <c r="D125" s="25"/>
      <c r="E125" s="25"/>
      <c r="F125" s="25"/>
      <c r="G125" s="25"/>
      <c r="H125" s="25"/>
      <c r="J125" t="e">
        <f t="shared" ca="1" si="26"/>
        <v>#NAME?</v>
      </c>
      <c r="K125" t="e">
        <f t="shared" ca="1" si="24"/>
        <v>#NAME?</v>
      </c>
      <c r="L125" t="e">
        <f t="shared" ca="1" si="24"/>
        <v>#NAME?</v>
      </c>
      <c r="M125" t="e">
        <f t="shared" ca="1" si="24"/>
        <v>#NAME?</v>
      </c>
      <c r="N125" t="e">
        <f t="shared" ca="1" si="24"/>
        <v>#NAME?</v>
      </c>
      <c r="O125" t="e">
        <f t="shared" ca="1" si="24"/>
        <v>#NAME?</v>
      </c>
      <c r="P125" t="e">
        <f t="shared" ca="1" si="24"/>
        <v>#NAME?</v>
      </c>
      <c r="R125" t="e">
        <f t="shared" ca="1" si="27"/>
        <v>#NAME?</v>
      </c>
      <c r="S125" t="e">
        <f t="shared" ca="1" si="25"/>
        <v>#NAME?</v>
      </c>
      <c r="T125" t="e">
        <f t="shared" ca="1" si="25"/>
        <v>#NAME?</v>
      </c>
      <c r="U125" t="e">
        <f t="shared" ca="1" si="25"/>
        <v>#NAME?</v>
      </c>
      <c r="V125" t="e">
        <f t="shared" ca="1" si="25"/>
        <v>#NAME?</v>
      </c>
      <c r="W125" t="e">
        <f t="shared" ca="1" si="25"/>
        <v>#NAME?</v>
      </c>
      <c r="X125" t="e">
        <f t="shared" ca="1" si="25"/>
        <v>#NAME?</v>
      </c>
      <c r="Z125" s="15">
        <v>1</v>
      </c>
    </row>
    <row r="126" spans="1:26">
      <c r="A126" s="22" t="s">
        <v>213</v>
      </c>
      <c r="B126" s="25"/>
      <c r="C126" s="91" t="s">
        <v>118</v>
      </c>
      <c r="D126" s="25" t="s">
        <v>355</v>
      </c>
      <c r="E126" s="25"/>
      <c r="F126" s="44" t="s">
        <v>186</v>
      </c>
      <c r="G126" s="25" t="s">
        <v>356</v>
      </c>
      <c r="H126" s="25" t="s">
        <v>356</v>
      </c>
      <c r="J126" t="e">
        <f t="shared" ca="1" si="26"/>
        <v>#NAME?</v>
      </c>
      <c r="K126" t="e">
        <f t="shared" ca="1" si="24"/>
        <v>#NAME?</v>
      </c>
      <c r="L126" t="e">
        <f t="shared" ca="1" si="24"/>
        <v>#NAME?</v>
      </c>
      <c r="M126" t="e">
        <f t="shared" ca="1" si="24"/>
        <v>#NAME?</v>
      </c>
      <c r="N126" t="e">
        <f t="shared" ca="1" si="24"/>
        <v>#NAME?</v>
      </c>
      <c r="O126" t="e">
        <f t="shared" ca="1" si="24"/>
        <v>#NAME?</v>
      </c>
      <c r="P126" t="e">
        <f t="shared" ca="1" si="24"/>
        <v>#NAME?</v>
      </c>
      <c r="R126" t="e">
        <f t="shared" ca="1" si="27"/>
        <v>#NAME?</v>
      </c>
      <c r="S126" t="e">
        <f t="shared" ca="1" si="25"/>
        <v>#NAME?</v>
      </c>
      <c r="T126" t="e">
        <f t="shared" ca="1" si="25"/>
        <v>#NAME?</v>
      </c>
      <c r="U126" t="e">
        <f t="shared" ca="1" si="25"/>
        <v>#NAME?</v>
      </c>
      <c r="V126" t="e">
        <f t="shared" ca="1" si="25"/>
        <v>#NAME?</v>
      </c>
      <c r="W126" t="e">
        <f t="shared" ca="1" si="25"/>
        <v>#NAME?</v>
      </c>
      <c r="X126" t="e">
        <f t="shared" ca="1" si="25"/>
        <v>#NAME?</v>
      </c>
      <c r="Z126" s="15">
        <v>1</v>
      </c>
    </row>
    <row r="127" spans="1:26">
      <c r="A127" s="106" t="s">
        <v>357</v>
      </c>
      <c r="B127" s="107" t="str">
        <f t="shared" ref="B127:H127" si="28">B58</f>
        <v>Mon 1 Jun</v>
      </c>
      <c r="C127" s="107" t="str">
        <f t="shared" si="28"/>
        <v>Tues 2 Jun</v>
      </c>
      <c r="D127" s="107" t="str">
        <f t="shared" si="28"/>
        <v>Wed 3 Jun</v>
      </c>
      <c r="E127" s="107" t="str">
        <f t="shared" si="28"/>
        <v>Thu 4 Jun</v>
      </c>
      <c r="F127" s="107" t="str">
        <f t="shared" si="28"/>
        <v>Fri 5 Jun</v>
      </c>
      <c r="G127" s="107" t="str">
        <f t="shared" si="28"/>
        <v>Sat 6 Jun</v>
      </c>
      <c r="H127" s="107" t="str">
        <f t="shared" si="28"/>
        <v>Sun 7 Jun</v>
      </c>
      <c r="J127" t="e">
        <f t="shared" ca="1" si="26"/>
        <v>#NAME?</v>
      </c>
      <c r="K127" t="e">
        <f t="shared" ca="1" si="24"/>
        <v>#NAME?</v>
      </c>
      <c r="L127" t="e">
        <f t="shared" ca="1" si="24"/>
        <v>#NAME?</v>
      </c>
      <c r="M127" t="e">
        <f t="shared" ca="1" si="24"/>
        <v>#NAME?</v>
      </c>
      <c r="N127" t="e">
        <f t="shared" ca="1" si="24"/>
        <v>#NAME?</v>
      </c>
      <c r="O127" t="e">
        <f t="shared" ca="1" si="24"/>
        <v>#NAME?</v>
      </c>
      <c r="P127" t="e">
        <f t="shared" ca="1" si="24"/>
        <v>#NAME?</v>
      </c>
      <c r="R127" t="e">
        <f t="shared" ca="1" si="27"/>
        <v>#NAME?</v>
      </c>
      <c r="S127" t="e">
        <f t="shared" ca="1" si="25"/>
        <v>#NAME?</v>
      </c>
      <c r="T127" t="e">
        <f t="shared" ca="1" si="25"/>
        <v>#NAME?</v>
      </c>
      <c r="U127" t="e">
        <f t="shared" ca="1" si="25"/>
        <v>#NAME?</v>
      </c>
      <c r="V127" t="e">
        <f t="shared" ca="1" si="25"/>
        <v>#NAME?</v>
      </c>
      <c r="W127" t="e">
        <f t="shared" ca="1" si="25"/>
        <v>#NAME?</v>
      </c>
      <c r="X127" t="e">
        <f t="shared" ca="1" si="25"/>
        <v>#NAME?</v>
      </c>
      <c r="Z127" s="53"/>
    </row>
    <row r="128" spans="1:26">
      <c r="A128" s="22" t="s">
        <v>358</v>
      </c>
      <c r="B128" s="100" t="s">
        <v>181</v>
      </c>
      <c r="C128" s="25"/>
      <c r="D128" s="25"/>
      <c r="E128" s="25"/>
      <c r="F128" s="25"/>
      <c r="G128" s="90" t="s">
        <v>116</v>
      </c>
      <c r="H128" s="91" t="s">
        <v>116</v>
      </c>
      <c r="J128" t="e">
        <f t="shared" ca="1" si="26"/>
        <v>#NAME?</v>
      </c>
      <c r="K128" t="e">
        <f t="shared" ca="1" si="24"/>
        <v>#NAME?</v>
      </c>
      <c r="L128" t="e">
        <f t="shared" ca="1" si="24"/>
        <v>#NAME?</v>
      </c>
      <c r="M128" t="e">
        <f t="shared" ca="1" si="24"/>
        <v>#NAME?</v>
      </c>
      <c r="N128" t="e">
        <f t="shared" ca="1" si="24"/>
        <v>#NAME?</v>
      </c>
      <c r="O128" t="e">
        <f t="shared" ca="1" si="24"/>
        <v>#NAME?</v>
      </c>
      <c r="P128" t="e">
        <f t="shared" ca="1" si="24"/>
        <v>#NAME?</v>
      </c>
      <c r="R128" t="e">
        <f t="shared" ca="1" si="27"/>
        <v>#NAME?</v>
      </c>
      <c r="S128" t="e">
        <f t="shared" ca="1" si="25"/>
        <v>#NAME?</v>
      </c>
      <c r="T128" t="e">
        <f t="shared" ca="1" si="25"/>
        <v>#NAME?</v>
      </c>
      <c r="U128" t="e">
        <f t="shared" ca="1" si="25"/>
        <v>#NAME?</v>
      </c>
      <c r="V128" t="e">
        <f t="shared" ca="1" si="25"/>
        <v>#NAME?</v>
      </c>
      <c r="W128" t="e">
        <f t="shared" ca="1" si="25"/>
        <v>#NAME?</v>
      </c>
      <c r="X128" t="e">
        <f t="shared" ca="1" si="25"/>
        <v>#NAME?</v>
      </c>
      <c r="Z128" s="15">
        <v>1</v>
      </c>
    </row>
    <row r="129" spans="1:34">
      <c r="A129" s="22" t="s">
        <v>359</v>
      </c>
      <c r="B129" s="100" t="s">
        <v>181</v>
      </c>
      <c r="C129" s="101" t="s">
        <v>116</v>
      </c>
      <c r="D129" s="25"/>
      <c r="E129" s="44" t="s">
        <v>186</v>
      </c>
      <c r="F129" s="110" t="s">
        <v>142</v>
      </c>
      <c r="G129" s="25"/>
      <c r="H129" s="25"/>
      <c r="J129" t="e">
        <f t="shared" ca="1" si="26"/>
        <v>#NAME?</v>
      </c>
      <c r="K129" t="e">
        <f t="shared" ca="1" si="24"/>
        <v>#NAME?</v>
      </c>
      <c r="L129" t="e">
        <f t="shared" ca="1" si="24"/>
        <v>#NAME?</v>
      </c>
      <c r="M129" t="e">
        <f t="shared" ca="1" si="24"/>
        <v>#NAME?</v>
      </c>
      <c r="N129" t="e">
        <f t="shared" ca="1" si="24"/>
        <v>#NAME?</v>
      </c>
      <c r="O129" t="e">
        <f t="shared" ca="1" si="24"/>
        <v>#NAME?</v>
      </c>
      <c r="P129" t="e">
        <f t="shared" ca="1" si="24"/>
        <v>#NAME?</v>
      </c>
      <c r="R129" t="e">
        <f t="shared" ca="1" si="27"/>
        <v>#NAME?</v>
      </c>
      <c r="S129" t="e">
        <f t="shared" ca="1" si="25"/>
        <v>#NAME?</v>
      </c>
      <c r="T129" t="e">
        <f t="shared" ca="1" si="25"/>
        <v>#NAME?</v>
      </c>
      <c r="U129" t="e">
        <f t="shared" ca="1" si="25"/>
        <v>#NAME?</v>
      </c>
      <c r="V129" t="e">
        <f t="shared" ca="1" si="25"/>
        <v>#NAME?</v>
      </c>
      <c r="W129" t="e">
        <f t="shared" ca="1" si="25"/>
        <v>#NAME?</v>
      </c>
      <c r="X129" t="e">
        <f t="shared" ca="1" si="25"/>
        <v>#NAME?</v>
      </c>
      <c r="Z129" s="15">
        <v>1</v>
      </c>
    </row>
    <row r="130" spans="1:34">
      <c r="A130" s="22" t="s">
        <v>360</v>
      </c>
      <c r="B130" s="100" t="s">
        <v>181</v>
      </c>
      <c r="C130" s="25" t="s">
        <v>152</v>
      </c>
      <c r="D130" s="25" t="s">
        <v>152</v>
      </c>
      <c r="E130" s="25" t="s">
        <v>152</v>
      </c>
      <c r="F130" s="25" t="s">
        <v>152</v>
      </c>
      <c r="G130" s="25"/>
      <c r="H130" s="25"/>
      <c r="J130" t="e">
        <f t="shared" ca="1" si="26"/>
        <v>#NAME?</v>
      </c>
      <c r="K130" t="e">
        <f t="shared" ca="1" si="24"/>
        <v>#NAME?</v>
      </c>
      <c r="L130" t="e">
        <f t="shared" ca="1" si="24"/>
        <v>#NAME?</v>
      </c>
      <c r="M130" t="e">
        <f t="shared" ca="1" si="24"/>
        <v>#NAME?</v>
      </c>
      <c r="N130" t="e">
        <f t="shared" ca="1" si="24"/>
        <v>#NAME?</v>
      </c>
      <c r="O130" t="e">
        <f t="shared" ca="1" si="24"/>
        <v>#NAME?</v>
      </c>
      <c r="P130" t="e">
        <f t="shared" ca="1" si="24"/>
        <v>#NAME?</v>
      </c>
      <c r="R130" t="e">
        <f t="shared" ca="1" si="27"/>
        <v>#NAME?</v>
      </c>
      <c r="S130" t="e">
        <f t="shared" ca="1" si="25"/>
        <v>#NAME?</v>
      </c>
      <c r="T130" t="e">
        <f t="shared" ca="1" si="25"/>
        <v>#NAME?</v>
      </c>
      <c r="U130" t="e">
        <f t="shared" ca="1" si="25"/>
        <v>#NAME?</v>
      </c>
      <c r="V130" t="e">
        <f t="shared" ca="1" si="25"/>
        <v>#NAME?</v>
      </c>
      <c r="W130" t="e">
        <f t="shared" ca="1" si="25"/>
        <v>#NAME?</v>
      </c>
      <c r="X130" t="e">
        <f t="shared" ca="1" si="25"/>
        <v>#NAME?</v>
      </c>
      <c r="Z130" s="15">
        <v>1</v>
      </c>
    </row>
    <row r="131" spans="1:34">
      <c r="A131" s="22" t="s">
        <v>361</v>
      </c>
      <c r="B131" s="100" t="s">
        <v>181</v>
      </c>
      <c r="C131" s="25"/>
      <c r="D131" s="90" t="s">
        <v>118</v>
      </c>
      <c r="E131" s="25"/>
      <c r="F131" s="25"/>
      <c r="G131" s="25" t="s">
        <v>152</v>
      </c>
      <c r="H131" s="25" t="s">
        <v>152</v>
      </c>
      <c r="J131" t="e">
        <f t="shared" ca="1" si="26"/>
        <v>#NAME?</v>
      </c>
      <c r="K131" t="e">
        <f t="shared" ca="1" si="24"/>
        <v>#NAME?</v>
      </c>
      <c r="L131" t="e">
        <f t="shared" ca="1" si="24"/>
        <v>#NAME?</v>
      </c>
      <c r="M131" t="e">
        <f t="shared" ca="1" si="24"/>
        <v>#NAME?</v>
      </c>
      <c r="N131" t="e">
        <f t="shared" ca="1" si="24"/>
        <v>#NAME?</v>
      </c>
      <c r="O131" t="e">
        <f t="shared" ca="1" si="24"/>
        <v>#NAME?</v>
      </c>
      <c r="P131" t="e">
        <f t="shared" ca="1" si="24"/>
        <v>#NAME?</v>
      </c>
      <c r="R131" t="e">
        <f t="shared" ca="1" si="27"/>
        <v>#NAME?</v>
      </c>
      <c r="S131" t="e">
        <f t="shared" ca="1" si="25"/>
        <v>#NAME?</v>
      </c>
      <c r="T131" t="e">
        <f t="shared" ca="1" si="25"/>
        <v>#NAME?</v>
      </c>
      <c r="U131" t="e">
        <f t="shared" ca="1" si="25"/>
        <v>#NAME?</v>
      </c>
      <c r="V131" t="e">
        <f t="shared" ca="1" si="25"/>
        <v>#NAME?</v>
      </c>
      <c r="W131" t="e">
        <f t="shared" ca="1" si="25"/>
        <v>#NAME?</v>
      </c>
      <c r="X131" t="e">
        <f t="shared" ca="1" si="25"/>
        <v>#NAME?</v>
      </c>
      <c r="Z131" s="15">
        <v>1</v>
      </c>
    </row>
    <row r="132" spans="1:34">
      <c r="A132" s="22" t="s">
        <v>362</v>
      </c>
      <c r="B132" s="100" t="s">
        <v>181</v>
      </c>
      <c r="C132" s="44" t="s">
        <v>186</v>
      </c>
      <c r="D132" s="91" t="s">
        <v>116</v>
      </c>
      <c r="E132" s="25"/>
      <c r="F132" s="25"/>
      <c r="G132" s="44" t="s">
        <v>186</v>
      </c>
      <c r="H132" s="91" t="s">
        <v>118</v>
      </c>
      <c r="J132" t="e">
        <f t="shared" ca="1" si="26"/>
        <v>#NAME?</v>
      </c>
      <c r="K132" t="e">
        <f t="shared" ca="1" si="24"/>
        <v>#NAME?</v>
      </c>
      <c r="L132" t="e">
        <f t="shared" ca="1" si="24"/>
        <v>#NAME?</v>
      </c>
      <c r="M132" t="e">
        <f t="shared" ca="1" si="24"/>
        <v>#NAME?</v>
      </c>
      <c r="N132" t="e">
        <f t="shared" ca="1" si="24"/>
        <v>#NAME?</v>
      </c>
      <c r="O132" t="e">
        <f t="shared" ca="1" si="24"/>
        <v>#NAME?</v>
      </c>
      <c r="P132" t="e">
        <f t="shared" ca="1" si="24"/>
        <v>#NAME?</v>
      </c>
      <c r="R132" t="e">
        <f t="shared" ca="1" si="27"/>
        <v>#NAME?</v>
      </c>
      <c r="S132" t="e">
        <f t="shared" ca="1" si="25"/>
        <v>#NAME?</v>
      </c>
      <c r="T132" t="e">
        <f t="shared" ca="1" si="25"/>
        <v>#NAME?</v>
      </c>
      <c r="U132" t="e">
        <f t="shared" ca="1" si="25"/>
        <v>#NAME?</v>
      </c>
      <c r="V132" t="e">
        <f t="shared" ca="1" si="25"/>
        <v>#NAME?</v>
      </c>
      <c r="W132" t="e">
        <f t="shared" ca="1" si="25"/>
        <v>#NAME?</v>
      </c>
      <c r="X132" t="e">
        <f t="shared" ca="1" si="25"/>
        <v>#NAME?</v>
      </c>
      <c r="Z132" s="15">
        <v>1</v>
      </c>
    </row>
    <row r="133" spans="1:34">
      <c r="A133" s="22" t="s">
        <v>363</v>
      </c>
      <c r="B133" s="100" t="s">
        <v>181</v>
      </c>
      <c r="C133" s="25"/>
      <c r="D133" s="110" t="s">
        <v>142</v>
      </c>
      <c r="E133" s="91" t="s">
        <v>116</v>
      </c>
      <c r="F133" s="90" t="s">
        <v>116</v>
      </c>
      <c r="G133" s="25"/>
      <c r="H133" s="25"/>
      <c r="J133" t="e">
        <f t="shared" ca="1" si="26"/>
        <v>#NAME?</v>
      </c>
      <c r="K133" t="e">
        <f t="shared" ca="1" si="24"/>
        <v>#NAME?</v>
      </c>
      <c r="L133" t="e">
        <f t="shared" ca="1" si="24"/>
        <v>#NAME?</v>
      </c>
      <c r="M133" t="e">
        <f t="shared" ca="1" si="24"/>
        <v>#NAME?</v>
      </c>
      <c r="N133" t="e">
        <f t="shared" ca="1" si="24"/>
        <v>#NAME?</v>
      </c>
      <c r="O133" t="e">
        <f t="shared" ca="1" si="24"/>
        <v>#NAME?</v>
      </c>
      <c r="P133" t="e">
        <f t="shared" ca="1" si="24"/>
        <v>#NAME?</v>
      </c>
      <c r="R133" t="e">
        <f t="shared" ca="1" si="27"/>
        <v>#NAME?</v>
      </c>
      <c r="S133" t="e">
        <f t="shared" ca="1" si="25"/>
        <v>#NAME?</v>
      </c>
      <c r="T133" t="e">
        <f t="shared" ca="1" si="25"/>
        <v>#NAME?</v>
      </c>
      <c r="U133" t="e">
        <f t="shared" ca="1" si="25"/>
        <v>#NAME?</v>
      </c>
      <c r="V133" t="e">
        <f t="shared" ca="1" si="25"/>
        <v>#NAME?</v>
      </c>
      <c r="W133" t="e">
        <f t="shared" ca="1" si="25"/>
        <v>#NAME?</v>
      </c>
      <c r="X133" t="e">
        <f t="shared" ca="1" si="25"/>
        <v>#NAME?</v>
      </c>
      <c r="Z133" s="15">
        <v>1</v>
      </c>
    </row>
    <row r="134" spans="1:34">
      <c r="A134" s="22" t="s">
        <v>364</v>
      </c>
      <c r="B134" s="100" t="s">
        <v>181</v>
      </c>
      <c r="C134" s="25"/>
      <c r="D134" s="110" t="s">
        <v>139</v>
      </c>
      <c r="E134" s="44" t="s">
        <v>189</v>
      </c>
      <c r="F134" s="91" t="s">
        <v>116</v>
      </c>
      <c r="G134" s="25"/>
      <c r="H134" s="25"/>
      <c r="J134" t="e">
        <f t="shared" ca="1" si="26"/>
        <v>#NAME?</v>
      </c>
      <c r="K134" t="e">
        <f t="shared" ca="1" si="24"/>
        <v>#NAME?</v>
      </c>
      <c r="L134" t="e">
        <f t="shared" ca="1" si="24"/>
        <v>#NAME?</v>
      </c>
      <c r="M134" t="e">
        <f t="shared" ca="1" si="24"/>
        <v>#NAME?</v>
      </c>
      <c r="N134" t="e">
        <f t="shared" ca="1" si="24"/>
        <v>#NAME?</v>
      </c>
      <c r="O134" t="e">
        <f t="shared" ca="1" si="24"/>
        <v>#NAME?</v>
      </c>
      <c r="P134" t="e">
        <f t="shared" ca="1" si="24"/>
        <v>#NAME?</v>
      </c>
      <c r="R134" t="e">
        <f t="shared" ca="1" si="27"/>
        <v>#NAME?</v>
      </c>
      <c r="S134" t="e">
        <f t="shared" ca="1" si="25"/>
        <v>#NAME?</v>
      </c>
      <c r="T134" t="e">
        <f t="shared" ca="1" si="25"/>
        <v>#NAME?</v>
      </c>
      <c r="U134" t="e">
        <f t="shared" ca="1" si="25"/>
        <v>#NAME?</v>
      </c>
      <c r="V134" t="e">
        <f t="shared" ca="1" si="25"/>
        <v>#NAME?</v>
      </c>
      <c r="W134" t="e">
        <f t="shared" ca="1" si="25"/>
        <v>#NAME?</v>
      </c>
      <c r="X134" t="e">
        <f t="shared" ca="1" si="25"/>
        <v>#NAME?</v>
      </c>
      <c r="Z134" s="15">
        <v>1</v>
      </c>
    </row>
    <row r="135" spans="1:34">
      <c r="A135" s="22" t="s">
        <v>365</v>
      </c>
      <c r="B135" s="127" t="s">
        <v>18</v>
      </c>
      <c r="C135" s="128"/>
      <c r="D135" s="128"/>
      <c r="E135" s="128"/>
      <c r="F135" s="128"/>
      <c r="G135" s="128"/>
      <c r="H135" s="129"/>
      <c r="J135" t="e">
        <f ca="1">colorindex(#REF!)</f>
        <v>#NAME?</v>
      </c>
      <c r="K135" t="e">
        <f ca="1">colorindex(B135)</f>
        <v>#NAME?</v>
      </c>
      <c r="L135" t="e">
        <f t="shared" ca="1" si="24"/>
        <v>#NAME?</v>
      </c>
      <c r="M135" t="e">
        <f t="shared" ca="1" si="24"/>
        <v>#NAME?</v>
      </c>
      <c r="N135" t="e">
        <f t="shared" ca="1" si="24"/>
        <v>#NAME?</v>
      </c>
      <c r="O135" t="e">
        <f t="shared" ca="1" si="24"/>
        <v>#NAME?</v>
      </c>
      <c r="P135" t="e">
        <f t="shared" ca="1" si="24"/>
        <v>#NAME?</v>
      </c>
      <c r="R135" t="e">
        <f ca="1">ShiftIndex(#REF!)</f>
        <v>#NAME?</v>
      </c>
      <c r="S135" t="e">
        <f ca="1">ShiftIndex(B135)</f>
        <v>#NAME?</v>
      </c>
      <c r="T135" t="e">
        <f t="shared" ca="1" si="25"/>
        <v>#NAME?</v>
      </c>
      <c r="U135" t="e">
        <f t="shared" ca="1" si="25"/>
        <v>#NAME?</v>
      </c>
      <c r="V135" t="e">
        <f t="shared" ca="1" si="25"/>
        <v>#NAME?</v>
      </c>
      <c r="W135" t="e">
        <f t="shared" ca="1" si="25"/>
        <v>#NAME?</v>
      </c>
      <c r="X135" t="e">
        <f t="shared" ca="1" si="25"/>
        <v>#NAME?</v>
      </c>
      <c r="Z135" s="15">
        <v>1</v>
      </c>
    </row>
    <row r="136" spans="1:34">
      <c r="A136" s="106" t="s">
        <v>223</v>
      </c>
      <c r="B136" s="107" t="str">
        <f t="shared" ref="B136:H136" si="29">B101</f>
        <v>Mon 1 Jun</v>
      </c>
      <c r="C136" s="107" t="str">
        <f t="shared" si="29"/>
        <v>Tues 2 Jun</v>
      </c>
      <c r="D136" s="107" t="str">
        <f t="shared" si="29"/>
        <v>Wed 3 Jun</v>
      </c>
      <c r="E136" s="107" t="str">
        <f t="shared" si="29"/>
        <v>Thu 4 Jun</v>
      </c>
      <c r="F136" s="107" t="str">
        <f t="shared" si="29"/>
        <v>Fri 5 Jun</v>
      </c>
      <c r="G136" s="107" t="str">
        <f t="shared" si="29"/>
        <v>Sat 6 Jun</v>
      </c>
      <c r="H136" s="107" t="str">
        <f t="shared" si="29"/>
        <v>Sun 7 Jun</v>
      </c>
      <c r="J136" t="e">
        <f t="shared" ca="1" si="26"/>
        <v>#NAME?</v>
      </c>
      <c r="K136" t="e">
        <f t="shared" ca="1" si="24"/>
        <v>#NAME?</v>
      </c>
      <c r="L136" t="e">
        <f t="shared" ca="1" si="24"/>
        <v>#NAME?</v>
      </c>
      <c r="M136" t="e">
        <f t="shared" ca="1" si="24"/>
        <v>#NAME?</v>
      </c>
      <c r="N136" t="e">
        <f t="shared" ca="1" si="24"/>
        <v>#NAME?</v>
      </c>
      <c r="O136" t="e">
        <f t="shared" ca="1" si="24"/>
        <v>#NAME?</v>
      </c>
      <c r="P136" t="e">
        <f t="shared" ca="1" si="24"/>
        <v>#NAME?</v>
      </c>
      <c r="R136" t="e">
        <f t="shared" ca="1" si="27"/>
        <v>#NAME?</v>
      </c>
      <c r="S136" t="e">
        <f t="shared" ca="1" si="25"/>
        <v>#NAME?</v>
      </c>
      <c r="T136" t="e">
        <f t="shared" ca="1" si="25"/>
        <v>#NAME?</v>
      </c>
      <c r="U136" t="e">
        <f t="shared" ca="1" si="25"/>
        <v>#NAME?</v>
      </c>
      <c r="V136" t="e">
        <f t="shared" ca="1" si="25"/>
        <v>#NAME?</v>
      </c>
      <c r="W136" t="e">
        <f t="shared" ca="1" si="25"/>
        <v>#NAME?</v>
      </c>
      <c r="X136" t="e">
        <f t="shared" ca="1" si="25"/>
        <v>#NAME?</v>
      </c>
      <c r="Z136" s="53">
        <f>SUM(Z128:Z135)</f>
        <v>8</v>
      </c>
      <c r="AA136" s="55"/>
      <c r="AB136" s="55"/>
      <c r="AC136" s="55"/>
    </row>
    <row r="137" spans="1:34">
      <c r="A137" s="124" t="s">
        <v>332</v>
      </c>
      <c r="B137" s="25"/>
      <c r="C137" s="91" t="s">
        <v>116</v>
      </c>
      <c r="D137" s="101" t="s">
        <v>116</v>
      </c>
      <c r="E137" s="28" t="s">
        <v>115</v>
      </c>
      <c r="F137" s="44" t="s">
        <v>189</v>
      </c>
      <c r="G137" s="25"/>
      <c r="H137" s="25"/>
      <c r="J137" t="e">
        <f t="shared" ref="J137" ca="1" si="30">colorindex(B137)</f>
        <v>#NAME?</v>
      </c>
      <c r="K137" t="e">
        <f t="shared" ref="K137" ca="1" si="31">colorindex(C137)</f>
        <v>#NAME?</v>
      </c>
      <c r="L137" t="e">
        <f t="shared" ref="L137" ca="1" si="32">colorindex(D137)</f>
        <v>#NAME?</v>
      </c>
      <c r="M137" t="e">
        <f t="shared" ref="M137" ca="1" si="33">colorindex(E137)</f>
        <v>#NAME?</v>
      </c>
      <c r="N137" t="e">
        <f t="shared" ref="N137" ca="1" si="34">colorindex(F137)</f>
        <v>#NAME?</v>
      </c>
      <c r="O137" t="e">
        <f t="shared" ref="O137" ca="1" si="35">colorindex(G137)</f>
        <v>#NAME?</v>
      </c>
      <c r="P137" t="e">
        <f t="shared" ref="P137" ca="1" si="36">colorindex(H137)</f>
        <v>#NAME?</v>
      </c>
      <c r="R137" t="e">
        <f t="shared" ref="R137" ca="1" si="37">ShiftIndex(B137)</f>
        <v>#NAME?</v>
      </c>
      <c r="S137" t="e">
        <f t="shared" ref="S137" ca="1" si="38">ShiftIndex(C137)</f>
        <v>#NAME?</v>
      </c>
      <c r="T137" t="e">
        <f t="shared" ref="T137" ca="1" si="39">ShiftIndex(D137)</f>
        <v>#NAME?</v>
      </c>
      <c r="U137" t="e">
        <f t="shared" ref="U137" ca="1" si="40">ShiftIndex(E137)</f>
        <v>#NAME?</v>
      </c>
      <c r="V137" t="e">
        <f t="shared" ref="V137" ca="1" si="41">ShiftIndex(F137)</f>
        <v>#NAME?</v>
      </c>
      <c r="W137" t="e">
        <f t="shared" ref="W137" ca="1" si="42">ShiftIndex(G137)</f>
        <v>#NAME?</v>
      </c>
      <c r="X137" t="e">
        <f t="shared" ref="X137" ca="1" si="43">ShiftIndex(H137)</f>
        <v>#NAME?</v>
      </c>
      <c r="Z137" s="15">
        <v>1</v>
      </c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6"/>
        <v>#NAME?</v>
      </c>
      <c r="K138" t="e">
        <f t="shared" ca="1" si="26"/>
        <v>#NAME?</v>
      </c>
      <c r="L138" t="e">
        <f t="shared" ca="1" si="26"/>
        <v>#NAME?</v>
      </c>
      <c r="M138" t="e">
        <f t="shared" ca="1" si="26"/>
        <v>#NAME?</v>
      </c>
      <c r="N138" t="e">
        <f t="shared" ref="N138:P140" ca="1" si="44">colorindex(F138)</f>
        <v>#NAME?</v>
      </c>
      <c r="O138" t="e">
        <f t="shared" ca="1" si="44"/>
        <v>#NAME?</v>
      </c>
      <c r="P138" t="e">
        <f t="shared" ca="1" si="44"/>
        <v>#NAME?</v>
      </c>
      <c r="R138" t="e">
        <f t="shared" ca="1" si="27"/>
        <v>#NAME?</v>
      </c>
      <c r="S138" t="e">
        <f t="shared" ca="1" si="27"/>
        <v>#NAME?</v>
      </c>
      <c r="T138" t="e">
        <f t="shared" ca="1" si="27"/>
        <v>#NAME?</v>
      </c>
      <c r="U138" t="e">
        <f t="shared" ca="1" si="27"/>
        <v>#NAME?</v>
      </c>
      <c r="V138" t="e">
        <f t="shared" ref="V138:X140" ca="1" si="45">ShiftIndex(F138)</f>
        <v>#NAME?</v>
      </c>
      <c r="W138" t="e">
        <f t="shared" ca="1" si="45"/>
        <v>#NAME?</v>
      </c>
      <c r="X138" t="e">
        <f t="shared" ca="1" si="45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46">B136</f>
        <v>Mon 1 Jun</v>
      </c>
      <c r="C139" s="107" t="str">
        <f t="shared" si="46"/>
        <v>Tues 2 Jun</v>
      </c>
      <c r="D139" s="107" t="str">
        <f t="shared" si="46"/>
        <v>Wed 3 Jun</v>
      </c>
      <c r="E139" s="107" t="str">
        <f t="shared" si="46"/>
        <v>Thu 4 Jun</v>
      </c>
      <c r="F139" s="107" t="str">
        <f t="shared" si="46"/>
        <v>Fri 5 Jun</v>
      </c>
      <c r="G139" s="107" t="str">
        <f t="shared" si="46"/>
        <v>Sat 6 Jun</v>
      </c>
      <c r="H139" s="107" t="str">
        <f t="shared" si="46"/>
        <v>Sun 7 Jun</v>
      </c>
      <c r="J139" t="e">
        <f t="shared" ca="1" si="26"/>
        <v>#NAME?</v>
      </c>
      <c r="K139" t="e">
        <f t="shared" ca="1" si="26"/>
        <v>#NAME?</v>
      </c>
      <c r="L139" t="e">
        <f t="shared" ca="1" si="26"/>
        <v>#NAME?</v>
      </c>
      <c r="M139" t="e">
        <f t="shared" ca="1" si="26"/>
        <v>#NAME?</v>
      </c>
      <c r="N139" t="e">
        <f t="shared" ca="1" si="44"/>
        <v>#NAME?</v>
      </c>
      <c r="O139" t="e">
        <f t="shared" ca="1" si="44"/>
        <v>#NAME?</v>
      </c>
      <c r="P139" t="e">
        <f t="shared" ca="1" si="44"/>
        <v>#NAME?</v>
      </c>
      <c r="Q139"/>
      <c r="R139" t="e">
        <f t="shared" ca="1" si="27"/>
        <v>#NAME?</v>
      </c>
      <c r="S139" t="e">
        <f t="shared" ca="1" si="27"/>
        <v>#NAME?</v>
      </c>
      <c r="T139" t="e">
        <f t="shared" ca="1" si="27"/>
        <v>#NAME?</v>
      </c>
      <c r="U139" t="e">
        <f t="shared" ca="1" si="27"/>
        <v>#NAME?</v>
      </c>
      <c r="V139" t="e">
        <f t="shared" ca="1" si="45"/>
        <v>#NAME?</v>
      </c>
      <c r="W139" t="e">
        <f t="shared" ca="1" si="45"/>
        <v>#NAME?</v>
      </c>
      <c r="X139" t="e">
        <f t="shared" ca="1" si="45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6"/>
        <v>#NAME?</v>
      </c>
      <c r="K140" t="e">
        <f t="shared" ca="1" si="26"/>
        <v>#NAME?</v>
      </c>
      <c r="L140" t="e">
        <f t="shared" ca="1" si="26"/>
        <v>#NAME?</v>
      </c>
      <c r="M140" t="e">
        <f t="shared" ca="1" si="26"/>
        <v>#NAME?</v>
      </c>
      <c r="N140" t="e">
        <f t="shared" ca="1" si="44"/>
        <v>#NAME?</v>
      </c>
      <c r="O140" t="e">
        <f t="shared" ca="1" si="44"/>
        <v>#NAME?</v>
      </c>
      <c r="P140" t="e">
        <f t="shared" ca="1" si="44"/>
        <v>#NAME?</v>
      </c>
      <c r="Q140"/>
      <c r="R140" t="e">
        <f t="shared" ca="1" si="27"/>
        <v>#NAME?</v>
      </c>
      <c r="S140" t="e">
        <f t="shared" ca="1" si="27"/>
        <v>#NAME?</v>
      </c>
      <c r="T140" t="e">
        <f t="shared" ca="1" si="27"/>
        <v>#NAME?</v>
      </c>
      <c r="U140" t="e">
        <f t="shared" ca="1" si="27"/>
        <v>#NAME?</v>
      </c>
      <c r="V140" t="e">
        <f t="shared" ca="1" si="45"/>
        <v>#NAME?</v>
      </c>
      <c r="W140" t="e">
        <f t="shared" ca="1" si="45"/>
        <v>#NAME?</v>
      </c>
      <c r="X140" t="e">
        <f t="shared" ca="1" si="45"/>
        <v>#NAME?</v>
      </c>
      <c r="Z140" s="12"/>
      <c r="AA140"/>
    </row>
    <row r="141" spans="1:34">
      <c r="A141" s="106" t="s">
        <v>242</v>
      </c>
      <c r="B141" s="107" t="str">
        <f t="shared" ref="B141:H141" si="47">B58</f>
        <v>Mon 1 Jun</v>
      </c>
      <c r="C141" s="107" t="str">
        <f t="shared" si="47"/>
        <v>Tues 2 Jun</v>
      </c>
      <c r="D141" s="107" t="str">
        <f t="shared" si="47"/>
        <v>Wed 3 Jun</v>
      </c>
      <c r="E141" s="107" t="str">
        <f t="shared" si="47"/>
        <v>Thu 4 Jun</v>
      </c>
      <c r="F141" s="107" t="str">
        <f t="shared" si="47"/>
        <v>Fri 5 Jun</v>
      </c>
      <c r="G141" s="107" t="str">
        <f t="shared" si="47"/>
        <v>Sat 6 Jun</v>
      </c>
      <c r="H141" s="107" t="str">
        <f t="shared" si="47"/>
        <v>Sun 7 Jun</v>
      </c>
    </row>
    <row r="142" spans="1:34">
      <c r="A142" s="27" t="s">
        <v>243</v>
      </c>
      <c r="B142" s="17">
        <f t="shared" ref="B142:H142" ca="1" si="48">COUNTIFS(J:J,"Red",R:R,"AM")</f>
        <v>0</v>
      </c>
      <c r="C142" s="17">
        <f t="shared" ca="1" si="48"/>
        <v>0</v>
      </c>
      <c r="D142" s="17">
        <f t="shared" ca="1" si="48"/>
        <v>0</v>
      </c>
      <c r="E142" s="17">
        <f t="shared" ca="1" si="48"/>
        <v>0</v>
      </c>
      <c r="F142" s="17">
        <f t="shared" ca="1" si="48"/>
        <v>0</v>
      </c>
      <c r="G142" s="17">
        <f t="shared" ca="1" si="48"/>
        <v>0</v>
      </c>
      <c r="H142" s="17">
        <f t="shared" ca="1" si="48"/>
        <v>0</v>
      </c>
    </row>
    <row r="143" spans="1:34">
      <c r="A143" s="2" t="s">
        <v>244</v>
      </c>
      <c r="B143" s="17">
        <f t="shared" ref="B143:H143" ca="1" si="49">COUNTIFS(J:J,"Green",R:R,"AM")</f>
        <v>0</v>
      </c>
      <c r="C143" s="17">
        <f t="shared" ca="1" si="49"/>
        <v>0</v>
      </c>
      <c r="D143" s="17">
        <f t="shared" ca="1" si="49"/>
        <v>0</v>
      </c>
      <c r="E143" s="17">
        <f t="shared" ca="1" si="49"/>
        <v>0</v>
      </c>
      <c r="F143" s="17">
        <f t="shared" ca="1" si="49"/>
        <v>0</v>
      </c>
      <c r="G143" s="17">
        <f t="shared" ca="1" si="49"/>
        <v>0</v>
      </c>
      <c r="H143" s="17">
        <f t="shared" ca="1" si="49"/>
        <v>0</v>
      </c>
    </row>
    <row r="144" spans="1:34">
      <c r="A144" s="26" t="s">
        <v>245</v>
      </c>
      <c r="B144" s="17">
        <f t="shared" ref="B144:H144" ca="1" si="50">COUNTIFS(J:J,"Gold",R:R,"AM")</f>
        <v>0</v>
      </c>
      <c r="C144" s="17">
        <f t="shared" ca="1" si="50"/>
        <v>0</v>
      </c>
      <c r="D144" s="17">
        <f t="shared" ca="1" si="50"/>
        <v>0</v>
      </c>
      <c r="E144" s="17">
        <f t="shared" ca="1" si="50"/>
        <v>0</v>
      </c>
      <c r="F144" s="17">
        <f t="shared" ca="1" si="50"/>
        <v>0</v>
      </c>
      <c r="G144" s="17">
        <f t="shared" ca="1" si="50"/>
        <v>0</v>
      </c>
      <c r="H144" s="17">
        <f t="shared" ca="1" si="50"/>
        <v>0</v>
      </c>
    </row>
    <row r="145" spans="1:26">
      <c r="A145" s="29" t="s">
        <v>246</v>
      </c>
      <c r="B145" s="17">
        <f t="shared" ref="B145:H145" ca="1" si="51">COUNTIFS(J:J,"LGreen",R:R,"AM")</f>
        <v>0</v>
      </c>
      <c r="C145" s="17">
        <f t="shared" ca="1" si="51"/>
        <v>0</v>
      </c>
      <c r="D145" s="17">
        <f t="shared" ca="1" si="51"/>
        <v>0</v>
      </c>
      <c r="E145" s="17">
        <f t="shared" ca="1" si="51"/>
        <v>0</v>
      </c>
      <c r="F145" s="17">
        <f t="shared" ca="1" si="51"/>
        <v>0</v>
      </c>
      <c r="G145" s="17">
        <f t="shared" ca="1" si="51"/>
        <v>0</v>
      </c>
      <c r="H145" s="17">
        <f t="shared" ca="1" si="51"/>
        <v>0</v>
      </c>
    </row>
    <row r="146" spans="1:26">
      <c r="A146" s="43" t="s">
        <v>26</v>
      </c>
      <c r="B146" s="17">
        <f t="shared" ref="B146:H146" ca="1" si="52">COUNTIFS(J:J,"Blue",R:R,"AM")</f>
        <v>0</v>
      </c>
      <c r="C146" s="17">
        <f t="shared" ca="1" si="52"/>
        <v>0</v>
      </c>
      <c r="D146" s="17">
        <f t="shared" ca="1" si="52"/>
        <v>0</v>
      </c>
      <c r="E146" s="17">
        <f t="shared" ca="1" si="52"/>
        <v>0</v>
      </c>
      <c r="F146" s="17">
        <f t="shared" ca="1" si="52"/>
        <v>0</v>
      </c>
      <c r="G146" s="17">
        <f t="shared" ca="1" si="52"/>
        <v>0</v>
      </c>
      <c r="H146" s="17">
        <f t="shared" ca="1" si="52"/>
        <v>0</v>
      </c>
    </row>
    <row r="147" spans="1:26">
      <c r="A147" s="3" t="s">
        <v>16</v>
      </c>
      <c r="B147" s="17">
        <f t="shared" ref="B147:H147" ca="1" si="53">COUNTIFS(J:J,"Pink",R:R,"AM")</f>
        <v>0</v>
      </c>
      <c r="C147" s="17">
        <f t="shared" ca="1" si="53"/>
        <v>0</v>
      </c>
      <c r="D147" s="17">
        <f t="shared" ca="1" si="53"/>
        <v>0</v>
      </c>
      <c r="E147" s="17">
        <f t="shared" ca="1" si="53"/>
        <v>0</v>
      </c>
      <c r="F147" s="17">
        <f t="shared" ca="1" si="53"/>
        <v>0</v>
      </c>
      <c r="G147" s="17">
        <f t="shared" ca="1" si="53"/>
        <v>0</v>
      </c>
      <c r="H147" s="17">
        <f t="shared" ca="1" si="53"/>
        <v>0</v>
      </c>
    </row>
    <row r="148" spans="1:26">
      <c r="A148" s="5" t="s">
        <v>247</v>
      </c>
      <c r="B148" s="17">
        <f t="shared" ref="B148:H148" ca="1" si="54">COUNTIFS(R:R,"AM") - B142-B143-B144-B145-B146-B147</f>
        <v>0</v>
      </c>
      <c r="C148" s="17">
        <f t="shared" ca="1" si="54"/>
        <v>1</v>
      </c>
      <c r="D148" s="17">
        <f t="shared" ca="1" si="54"/>
        <v>0</v>
      </c>
      <c r="E148" s="17">
        <f t="shared" ca="1" si="54"/>
        <v>0</v>
      </c>
      <c r="F148" s="17">
        <f t="shared" ca="1" si="54"/>
        <v>0</v>
      </c>
      <c r="G148" s="17">
        <f t="shared" ca="1" si="54"/>
        <v>1</v>
      </c>
      <c r="H148" s="17">
        <f t="shared" ca="1" si="54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55">SUM(C142:C147)</f>
        <v>0</v>
      </c>
      <c r="D149" s="47">
        <f t="shared" ca="1" si="55"/>
        <v>0</v>
      </c>
      <c r="E149" s="47">
        <f t="shared" ca="1" si="55"/>
        <v>0</v>
      </c>
      <c r="F149" s="47">
        <f t="shared" ca="1" si="55"/>
        <v>0</v>
      </c>
      <c r="G149" s="47">
        <f t="shared" ca="1" si="55"/>
        <v>0</v>
      </c>
      <c r="H149" s="47">
        <f t="shared" ca="1" si="55"/>
        <v>0</v>
      </c>
      <c r="Z149" s="48"/>
    </row>
    <row r="150" spans="1:26">
      <c r="A150" s="27" t="s">
        <v>249</v>
      </c>
      <c r="B150" s="17">
        <f t="shared" ref="B150:H150" ca="1" si="56">COUNTIFS(J:J,"Red",R:R,"PM")</f>
        <v>0</v>
      </c>
      <c r="C150" s="17">
        <f t="shared" ca="1" si="56"/>
        <v>0</v>
      </c>
      <c r="D150" s="17">
        <f t="shared" ca="1" si="56"/>
        <v>0</v>
      </c>
      <c r="E150" s="17">
        <f t="shared" ca="1" si="56"/>
        <v>0</v>
      </c>
      <c r="F150" s="17">
        <f t="shared" ca="1" si="56"/>
        <v>0</v>
      </c>
      <c r="G150" s="17">
        <f t="shared" ca="1" si="56"/>
        <v>0</v>
      </c>
      <c r="H150" s="17">
        <f t="shared" ca="1" si="56"/>
        <v>0</v>
      </c>
    </row>
    <row r="151" spans="1:26">
      <c r="A151" s="2" t="s">
        <v>250</v>
      </c>
      <c r="B151" s="17">
        <f t="shared" ref="B151:H151" ca="1" si="57">COUNTIFS(J:J,"Green",R:R,"PM")</f>
        <v>0</v>
      </c>
      <c r="C151" s="17">
        <f t="shared" ca="1" si="57"/>
        <v>0</v>
      </c>
      <c r="D151" s="17">
        <f t="shared" ca="1" si="57"/>
        <v>0</v>
      </c>
      <c r="E151" s="17">
        <f t="shared" ca="1" si="57"/>
        <v>0</v>
      </c>
      <c r="F151" s="17">
        <f t="shared" ca="1" si="57"/>
        <v>0</v>
      </c>
      <c r="G151" s="17">
        <f t="shared" ca="1" si="57"/>
        <v>0</v>
      </c>
      <c r="H151" s="17">
        <f t="shared" ca="1" si="57"/>
        <v>0</v>
      </c>
    </row>
    <row r="152" spans="1:26">
      <c r="A152" s="26" t="s">
        <v>251</v>
      </c>
      <c r="B152" s="17">
        <f t="shared" ref="B152:H152" ca="1" si="58">COUNTIFS(J:J,"Gold",R:R,"PM")</f>
        <v>0</v>
      </c>
      <c r="C152" s="17">
        <f t="shared" ca="1" si="58"/>
        <v>0</v>
      </c>
      <c r="D152" s="17">
        <f t="shared" ca="1" si="58"/>
        <v>0</v>
      </c>
      <c r="E152" s="17">
        <f t="shared" ca="1" si="58"/>
        <v>0</v>
      </c>
      <c r="F152" s="17">
        <f t="shared" ca="1" si="58"/>
        <v>0</v>
      </c>
      <c r="G152" s="17">
        <f t="shared" ca="1" si="58"/>
        <v>0</v>
      </c>
      <c r="H152" s="17">
        <f t="shared" ca="1" si="58"/>
        <v>0</v>
      </c>
    </row>
    <row r="153" spans="1:26">
      <c r="A153" s="29" t="s">
        <v>252</v>
      </c>
      <c r="B153" s="17">
        <f t="shared" ref="B153:H153" ca="1" si="59">COUNTIFS(J:J,"LGreen",R:R,"PM")</f>
        <v>0</v>
      </c>
      <c r="C153" s="17">
        <f t="shared" ca="1" si="59"/>
        <v>0</v>
      </c>
      <c r="D153" s="17">
        <f t="shared" ca="1" si="59"/>
        <v>0</v>
      </c>
      <c r="E153" s="17">
        <f t="shared" ca="1" si="59"/>
        <v>0</v>
      </c>
      <c r="F153" s="17">
        <f t="shared" ca="1" si="59"/>
        <v>0</v>
      </c>
      <c r="G153" s="17">
        <f t="shared" ca="1" si="59"/>
        <v>0</v>
      </c>
      <c r="H153" s="17">
        <f t="shared" ca="1" si="59"/>
        <v>0</v>
      </c>
    </row>
    <row r="154" spans="1:26">
      <c r="A154" s="10" t="s">
        <v>253</v>
      </c>
      <c r="B154" s="17">
        <f t="shared" ref="B154:H154" ca="1" si="60">COUNTIFS(J:J,"Blue",R:R,"PM")</f>
        <v>0</v>
      </c>
      <c r="C154" s="17">
        <f t="shared" ca="1" si="60"/>
        <v>0</v>
      </c>
      <c r="D154" s="17">
        <f t="shared" ca="1" si="60"/>
        <v>0</v>
      </c>
      <c r="E154" s="17">
        <f t="shared" ca="1" si="60"/>
        <v>0</v>
      </c>
      <c r="F154" s="17">
        <f t="shared" ca="1" si="60"/>
        <v>0</v>
      </c>
      <c r="G154" s="17">
        <f t="shared" ca="1" si="60"/>
        <v>0</v>
      </c>
      <c r="H154" s="17">
        <f t="shared" ca="1" si="60"/>
        <v>0</v>
      </c>
    </row>
    <row r="155" spans="1:26">
      <c r="A155" s="3" t="s">
        <v>59</v>
      </c>
      <c r="B155" s="17">
        <f t="shared" ref="B155:H155" ca="1" si="61">COUNTIFS(J:J,"Pink",R:R,"PM")</f>
        <v>0</v>
      </c>
      <c r="C155" s="17">
        <f t="shared" ca="1" si="61"/>
        <v>0</v>
      </c>
      <c r="D155" s="17">
        <f t="shared" ca="1" si="61"/>
        <v>0</v>
      </c>
      <c r="E155" s="17">
        <f t="shared" ca="1" si="61"/>
        <v>0</v>
      </c>
      <c r="F155" s="17">
        <f t="shared" ca="1" si="61"/>
        <v>0</v>
      </c>
      <c r="G155" s="17">
        <f t="shared" ca="1" si="61"/>
        <v>0</v>
      </c>
      <c r="H155" s="17">
        <f t="shared" ca="1" si="61"/>
        <v>0</v>
      </c>
    </row>
    <row r="156" spans="1:26">
      <c r="A156" s="5" t="s">
        <v>254</v>
      </c>
      <c r="B156" s="17">
        <f t="shared" ref="B156:H156" ca="1" si="62">COUNTIFS(R:R,"PM") -B151-B152-B155-B154-B150-B153</f>
        <v>0</v>
      </c>
      <c r="C156" s="17">
        <f t="shared" ca="1" si="62"/>
        <v>0</v>
      </c>
      <c r="D156" s="17">
        <f t="shared" ca="1" si="62"/>
        <v>0</v>
      </c>
      <c r="E156" s="17">
        <f t="shared" ca="1" si="62"/>
        <v>0</v>
      </c>
      <c r="F156" s="17">
        <f t="shared" ca="1" si="62"/>
        <v>0</v>
      </c>
      <c r="G156" s="17">
        <f t="shared" ca="1" si="62"/>
        <v>0</v>
      </c>
      <c r="H156" s="17">
        <f t="shared" ca="1" si="62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63">SUM(C150:C155)</f>
        <v>0</v>
      </c>
      <c r="D157" s="47">
        <f t="shared" ca="1" si="63"/>
        <v>0</v>
      </c>
      <c r="E157" s="47">
        <f t="shared" ca="1" si="63"/>
        <v>0</v>
      </c>
      <c r="F157" s="47">
        <f t="shared" ca="1" si="63"/>
        <v>0</v>
      </c>
      <c r="G157" s="47">
        <f t="shared" ca="1" si="63"/>
        <v>0</v>
      </c>
      <c r="H157" s="47">
        <f t="shared" ca="1" si="63"/>
        <v>0</v>
      </c>
      <c r="Z157" s="48"/>
    </row>
    <row r="158" spans="1:26">
      <c r="A158" s="4" t="s">
        <v>256</v>
      </c>
      <c r="B158" s="17">
        <f t="shared" ref="B158:H158" ca="1" si="64">COUNTIFS(R:R,"ND")</f>
        <v>0</v>
      </c>
      <c r="C158" s="17">
        <f t="shared" ca="1" si="64"/>
        <v>0</v>
      </c>
      <c r="D158" s="17">
        <f t="shared" ca="1" si="64"/>
        <v>0</v>
      </c>
      <c r="E158" s="17">
        <f t="shared" ca="1" si="64"/>
        <v>0</v>
      </c>
      <c r="F158" s="17">
        <f t="shared" ca="1" si="64"/>
        <v>0</v>
      </c>
      <c r="G158" s="17">
        <f t="shared" ca="1" si="64"/>
        <v>0</v>
      </c>
      <c r="H158" s="17">
        <f t="shared" ca="1" si="64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48:H52">
    <sortCondition ref="A48"/>
  </sortState>
  <mergeCells count="19">
    <mergeCell ref="E122:F122"/>
    <mergeCell ref="B116:H116"/>
    <mergeCell ref="G103:H103"/>
    <mergeCell ref="G102:H102"/>
    <mergeCell ref="B135:H135"/>
    <mergeCell ref="B5:H5"/>
    <mergeCell ref="B13:H13"/>
    <mergeCell ref="B14:H14"/>
    <mergeCell ref="B21:H21"/>
    <mergeCell ref="B28:H28"/>
    <mergeCell ref="B92:H92"/>
    <mergeCell ref="B96:H96"/>
    <mergeCell ref="G119:H119"/>
    <mergeCell ref="G121:H121"/>
    <mergeCell ref="B31:H31"/>
    <mergeCell ref="B38:H38"/>
    <mergeCell ref="B42:H42"/>
    <mergeCell ref="B76:H76"/>
    <mergeCell ref="B87:H87"/>
  </mergeCells>
  <conditionalFormatting sqref="B145:H145 B147:H147 B153:H153 B155:H155">
    <cfRule type="cellIs" dxfId="53" priority="4" operator="lessThan">
      <formula>2</formula>
    </cfRule>
  </conditionalFormatting>
  <conditionalFormatting sqref="B146:H146">
    <cfRule type="cellIs" dxfId="52" priority="2" operator="lessThan">
      <formula>2</formula>
    </cfRule>
  </conditionalFormatting>
  <conditionalFormatting sqref="B143:H144 B151:H152">
    <cfRule type="cellIs" dxfId="51" priority="5" operator="lessThan">
      <formula>4</formula>
    </cfRule>
  </conditionalFormatting>
  <conditionalFormatting sqref="B142:H142 B150:H150">
    <cfRule type="cellIs" dxfId="50" priority="6" operator="lessThan">
      <formula>2</formula>
    </cfRule>
  </conditionalFormatting>
  <conditionalFormatting sqref="B158:H158">
    <cfRule type="cellIs" dxfId="49" priority="3" operator="lessThan">
      <formula>7</formula>
    </cfRule>
  </conditionalFormatting>
  <conditionalFormatting sqref="B154:H154">
    <cfRule type="cellIs" dxfId="48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E5FFE5"/>
    <pageSetUpPr fitToPage="1"/>
  </sheetPr>
  <dimension ref="A1:AH161"/>
  <sheetViews>
    <sheetView topLeftCell="A88" zoomScaleNormal="100" workbookViewId="0">
      <selection activeCell="G118" sqref="G118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45816</v>
      </c>
      <c r="C2" s="105">
        <f>B2+1</f>
        <v>45817</v>
      </c>
      <c r="D2" s="105">
        <f t="shared" ref="D2:H2" si="0">C2+1</f>
        <v>45818</v>
      </c>
      <c r="E2" s="105">
        <f t="shared" si="0"/>
        <v>45819</v>
      </c>
      <c r="F2" s="105">
        <f t="shared" si="0"/>
        <v>45820</v>
      </c>
      <c r="G2" s="105">
        <f t="shared" si="0"/>
        <v>45821</v>
      </c>
      <c r="H2" s="105">
        <f t="shared" si="0"/>
        <v>45822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110" t="s">
        <v>16</v>
      </c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8" t="s">
        <v>34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16" t="s">
        <v>32</v>
      </c>
      <c r="E5" s="118" t="s">
        <v>36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28" t="s">
        <v>34</v>
      </c>
      <c r="D7" s="25" t="s">
        <v>24</v>
      </c>
      <c r="E7" s="118" t="s">
        <v>31</v>
      </c>
      <c r="F7" s="117" t="s">
        <v>31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110" t="s">
        <v>16</v>
      </c>
      <c r="F8" s="116" t="s">
        <v>32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25"/>
      <c r="C9" s="44" t="s">
        <v>26</v>
      </c>
      <c r="D9" s="25"/>
      <c r="E9" s="25" t="s">
        <v>24</v>
      </c>
      <c r="F9" s="118" t="s">
        <v>31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44" t="s">
        <v>26</v>
      </c>
      <c r="E10" s="110" t="s">
        <v>59</v>
      </c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117" t="s">
        <v>36</v>
      </c>
      <c r="D11" s="25"/>
      <c r="E11" s="25"/>
      <c r="F11" s="25" t="s">
        <v>24</v>
      </c>
      <c r="G11" s="117" t="s">
        <v>31</v>
      </c>
      <c r="H11" s="117" t="s">
        <v>31</v>
      </c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127" t="s">
        <v>259</v>
      </c>
      <c r="C12" s="128"/>
      <c r="D12" s="128"/>
      <c r="E12" s="128"/>
      <c r="F12" s="128"/>
      <c r="G12" s="128"/>
      <c r="H12" s="129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18" t="s">
        <v>36</v>
      </c>
      <c r="C13" s="116" t="s">
        <v>32</v>
      </c>
      <c r="D13" s="25"/>
      <c r="E13" s="25"/>
      <c r="F13" s="25"/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127" t="s">
        <v>29</v>
      </c>
      <c r="C15" s="128"/>
      <c r="D15" s="128"/>
      <c r="E15" s="128"/>
      <c r="F15" s="128"/>
      <c r="G15" s="128"/>
      <c r="H15" s="129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110" t="s">
        <v>16</v>
      </c>
      <c r="E16" s="25"/>
      <c r="F16" s="25"/>
      <c r="G16" s="25"/>
      <c r="H16" s="118" t="s">
        <v>36</v>
      </c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16" t="s">
        <v>45</v>
      </c>
      <c r="C17" s="118" t="s">
        <v>31</v>
      </c>
      <c r="D17" s="109" t="s">
        <v>367</v>
      </c>
      <c r="E17" s="25"/>
      <c r="F17" s="25" t="s">
        <v>24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127"/>
      <c r="C18" s="128"/>
      <c r="D18" s="128"/>
      <c r="E18" s="128"/>
      <c r="F18" s="128" t="s">
        <v>368</v>
      </c>
      <c r="G18" s="128"/>
      <c r="H18" s="129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5" t="s">
        <v>287</v>
      </c>
      <c r="G19" s="25"/>
      <c r="H19" s="116" t="s">
        <v>45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127" t="s">
        <v>20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25"/>
      <c r="C21" s="25"/>
      <c r="D21" s="109" t="s">
        <v>369</v>
      </c>
      <c r="E21" s="109" t="s">
        <v>369</v>
      </c>
      <c r="F21" s="109" t="s">
        <v>369</v>
      </c>
      <c r="G21" s="25"/>
      <c r="H21" s="28" t="s">
        <v>34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25"/>
      <c r="C22" s="25"/>
      <c r="D22" s="25" t="s">
        <v>24</v>
      </c>
      <c r="E22" s="116" t="s">
        <v>45</v>
      </c>
      <c r="F22" s="117" t="s">
        <v>36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27"/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115" t="s">
        <v>287</v>
      </c>
      <c r="E24" s="25"/>
      <c r="F24" s="110" t="s">
        <v>59</v>
      </c>
      <c r="G24" s="25"/>
      <c r="H24" s="118" t="s">
        <v>31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7" t="s">
        <v>36</v>
      </c>
      <c r="E25" s="115" t="s">
        <v>287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25" t="s">
        <v>24</v>
      </c>
      <c r="E26" s="25"/>
      <c r="F26" s="118" t="s">
        <v>36</v>
      </c>
      <c r="G26" s="117" t="s">
        <v>36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25"/>
      <c r="C27" s="116" t="s">
        <v>45</v>
      </c>
      <c r="D27" s="118" t="s">
        <v>36</v>
      </c>
      <c r="E27" s="25"/>
      <c r="F27" s="25"/>
      <c r="G27" s="116" t="s">
        <v>45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127" t="s">
        <v>29</v>
      </c>
      <c r="C29" s="128"/>
      <c r="D29" s="128"/>
      <c r="E29" s="128"/>
      <c r="F29" s="128"/>
      <c r="G29" s="128"/>
      <c r="H29" s="129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110" t="s">
        <v>59</v>
      </c>
      <c r="C30" s="118" t="s">
        <v>36</v>
      </c>
      <c r="D30" s="25"/>
      <c r="E30" s="28" t="s">
        <v>25</v>
      </c>
      <c r="F30" s="25" t="s">
        <v>24</v>
      </c>
      <c r="G30" s="25"/>
      <c r="H30" s="25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25"/>
      <c r="C31" s="110" t="s">
        <v>16</v>
      </c>
      <c r="D31" s="25"/>
      <c r="E31" s="25" t="s">
        <v>24</v>
      </c>
      <c r="F31" s="28" t="s">
        <v>25</v>
      </c>
      <c r="G31" s="118" t="s">
        <v>36</v>
      </c>
      <c r="H31" s="25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25"/>
      <c r="C32" s="25"/>
      <c r="D32" s="25" t="s">
        <v>24</v>
      </c>
      <c r="E32" s="44" t="s">
        <v>26</v>
      </c>
      <c r="F32" s="25"/>
      <c r="G32" s="28" t="s">
        <v>34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117" t="s">
        <v>36</v>
      </c>
      <c r="C33" s="25" t="s">
        <v>24</v>
      </c>
      <c r="D33" s="116" t="s">
        <v>45</v>
      </c>
      <c r="E33" s="25"/>
      <c r="F33" s="110" t="s">
        <v>16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127" t="s">
        <v>29</v>
      </c>
      <c r="C35" s="128"/>
      <c r="D35" s="128"/>
      <c r="E35" s="128"/>
      <c r="F35" s="128"/>
      <c r="G35" s="128"/>
      <c r="H35" s="129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18" t="s">
        <v>31</v>
      </c>
      <c r="C36" s="115" t="s">
        <v>287</v>
      </c>
      <c r="D36" s="118" t="s">
        <v>31</v>
      </c>
      <c r="E36" s="117" t="s">
        <v>36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/>
      <c r="C37" s="25" t="s">
        <v>24</v>
      </c>
      <c r="D37" s="28" t="s">
        <v>25</v>
      </c>
      <c r="E37" s="25" t="s">
        <v>24</v>
      </c>
      <c r="F37" s="25"/>
      <c r="G37" s="25"/>
      <c r="H37" s="110" t="s">
        <v>59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42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25"/>
      <c r="C39" s="117" t="s">
        <v>31</v>
      </c>
      <c r="D39" s="25" t="s">
        <v>24</v>
      </c>
      <c r="E39" s="25"/>
      <c r="F39" s="25"/>
      <c r="G39" s="116" t="s">
        <v>32</v>
      </c>
      <c r="H39" s="117" t="s">
        <v>36</v>
      </c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27" t="s">
        <v>311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109" t="s">
        <v>38</v>
      </c>
      <c r="D41" s="117" t="s">
        <v>31</v>
      </c>
      <c r="E41" s="25"/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  <c r="Z41" s="15">
        <v>0.5</v>
      </c>
    </row>
    <row r="42" spans="1:26">
      <c r="A42" s="21" t="s">
        <v>76</v>
      </c>
      <c r="B42" s="116" t="s">
        <v>32</v>
      </c>
      <c r="C42" s="25"/>
      <c r="D42" s="25"/>
      <c r="E42" s="117" t="s">
        <v>31</v>
      </c>
      <c r="F42" s="116" t="s">
        <v>45</v>
      </c>
      <c r="G42" s="25"/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28" t="s">
        <v>34</v>
      </c>
      <c r="C43" s="25"/>
      <c r="D43" s="25"/>
      <c r="E43" s="25"/>
      <c r="F43" s="25"/>
      <c r="G43" s="25"/>
      <c r="H43" s="44" t="s">
        <v>26</v>
      </c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  <c r="Z43" s="15">
        <v>0.5</v>
      </c>
    </row>
    <row r="44" spans="1:26" ht="14.45" customHeight="1">
      <c r="A44" s="21" t="s">
        <v>79</v>
      </c>
      <c r="B44" s="25"/>
      <c r="C44" s="110" t="s">
        <v>59</v>
      </c>
      <c r="D44" s="25" t="s">
        <v>24</v>
      </c>
      <c r="E44" s="25"/>
      <c r="F44" s="25"/>
      <c r="G44" s="118" t="s">
        <v>31</v>
      </c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25"/>
      <c r="E45" s="28" t="s">
        <v>34</v>
      </c>
      <c r="F45" s="25"/>
      <c r="G45" s="44" t="s">
        <v>26</v>
      </c>
      <c r="H45" s="116" t="s">
        <v>32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110" t="s">
        <v>16</v>
      </c>
      <c r="C46" s="25"/>
      <c r="D46" s="115" t="s">
        <v>287</v>
      </c>
      <c r="E46" s="116" t="s">
        <v>32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118" t="s">
        <v>288</v>
      </c>
      <c r="C47" s="25"/>
      <c r="D47" s="110" t="s">
        <v>59</v>
      </c>
      <c r="E47" s="25"/>
      <c r="F47" s="25"/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27" t="s">
        <v>311</v>
      </c>
      <c r="C48" s="128"/>
      <c r="D48" s="128"/>
      <c r="E48" s="128"/>
      <c r="F48" s="128"/>
      <c r="G48" s="128"/>
      <c r="H48" s="129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44" t="s">
        <v>26</v>
      </c>
      <c r="C49" s="25"/>
      <c r="D49" s="28" t="s">
        <v>34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27" t="s">
        <v>20</v>
      </c>
      <c r="C50" s="128"/>
      <c r="D50" s="128"/>
      <c r="E50" s="128"/>
      <c r="F50" s="128"/>
      <c r="G50" s="128"/>
      <c r="H50" s="129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86</v>
      </c>
      <c r="B51" s="28" t="s">
        <v>25</v>
      </c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87</v>
      </c>
      <c r="B52" s="25"/>
      <c r="C52" s="25"/>
      <c r="D52" s="25"/>
      <c r="E52" s="25"/>
      <c r="F52" s="25"/>
      <c r="G52" s="28" t="s">
        <v>25</v>
      </c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370</v>
      </c>
      <c r="C53" s="51" t="s">
        <v>371</v>
      </c>
      <c r="D53" s="51" t="s">
        <v>372</v>
      </c>
      <c r="E53" s="51" t="s">
        <v>93</v>
      </c>
      <c r="F53" s="51" t="s">
        <v>373</v>
      </c>
      <c r="G53" s="51" t="s">
        <v>292</v>
      </c>
      <c r="H53" s="51" t="s">
        <v>273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29.75</v>
      </c>
    </row>
    <row r="54" spans="1:26" ht="15" customHeight="1">
      <c r="A54" s="106" t="s">
        <v>99</v>
      </c>
      <c r="B54" s="107" t="str">
        <f>B58</f>
        <v>Mon 8 Jun</v>
      </c>
      <c r="C54" s="107" t="str">
        <f>C58</f>
        <v>Tues 9 Jun</v>
      </c>
      <c r="D54" s="107" t="str">
        <f t="shared" ref="D54:H54" si="11">D58</f>
        <v>Wed 10 Jun</v>
      </c>
      <c r="E54" s="107" t="str">
        <f t="shared" si="11"/>
        <v>Thu 11 Jun</v>
      </c>
      <c r="F54" s="107" t="str">
        <f t="shared" si="11"/>
        <v>Fri 12 Jun</v>
      </c>
      <c r="G54" s="107" t="str">
        <f t="shared" si="11"/>
        <v>Sat 13 Jun</v>
      </c>
      <c r="H54" s="107" t="str">
        <f t="shared" si="11"/>
        <v>Sun 14 Jun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 t="s">
        <v>24</v>
      </c>
      <c r="D55" s="25" t="s">
        <v>108</v>
      </c>
      <c r="E55" s="25" t="s">
        <v>108</v>
      </c>
      <c r="F55" s="25"/>
      <c r="G55" s="25"/>
      <c r="H55" s="25"/>
      <c r="J55" t="e">
        <f t="shared" ref="J55:P56" ca="1" si="12">colorindex(B55)</f>
        <v>#NAME?</v>
      </c>
      <c r="K55" t="e">
        <f t="shared" ca="1" si="12"/>
        <v>#NAME?</v>
      </c>
      <c r="L55" t="e">
        <f t="shared" ca="1" si="12"/>
        <v>#NAME?</v>
      </c>
      <c r="M55" t="e">
        <f t="shared" ca="1" si="12"/>
        <v>#NAME?</v>
      </c>
      <c r="N55" t="e">
        <f t="shared" ca="1" si="12"/>
        <v>#NAME?</v>
      </c>
      <c r="O55" t="e">
        <f t="shared" ca="1" si="12"/>
        <v>#NAME?</v>
      </c>
      <c r="P55" t="e">
        <f t="shared" ca="1" si="12"/>
        <v>#NAME?</v>
      </c>
      <c r="R55" t="e">
        <f t="shared" ref="R55:X56" ca="1" si="13">ShiftIndex(B55)</f>
        <v>#NAME?</v>
      </c>
      <c r="S55" t="e">
        <f t="shared" ca="1" si="13"/>
        <v>#NAME?</v>
      </c>
      <c r="T55" t="e">
        <f t="shared" ca="1" si="13"/>
        <v>#NAME?</v>
      </c>
      <c r="U55" t="e">
        <f t="shared" ca="1" si="13"/>
        <v>#NAME?</v>
      </c>
      <c r="V55" t="e">
        <f t="shared" ca="1" si="13"/>
        <v>#NAME?</v>
      </c>
      <c r="W55" t="e">
        <f t="shared" ca="1" si="13"/>
        <v>#NAME?</v>
      </c>
      <c r="X55" t="e">
        <f t="shared" ca="1" si="13"/>
        <v>#NAME?</v>
      </c>
    </row>
    <row r="56" spans="1:26" ht="15" customHeight="1">
      <c r="A56" s="22" t="s">
        <v>109</v>
      </c>
      <c r="B56" s="25" t="s">
        <v>374</v>
      </c>
      <c r="C56" s="25"/>
      <c r="D56" s="25"/>
      <c r="E56" s="25"/>
      <c r="F56" s="25" t="s">
        <v>108</v>
      </c>
      <c r="G56" s="25"/>
      <c r="H56" s="25"/>
      <c r="J56" t="e">
        <f t="shared" ca="1" si="12"/>
        <v>#NAME?</v>
      </c>
      <c r="K56" t="e">
        <f t="shared" ca="1" si="12"/>
        <v>#NAME?</v>
      </c>
      <c r="L56" t="e">
        <f t="shared" ca="1" si="12"/>
        <v>#NAME?</v>
      </c>
      <c r="M56" t="e">
        <f t="shared" ca="1" si="12"/>
        <v>#NAME?</v>
      </c>
      <c r="N56" t="e">
        <f t="shared" ca="1" si="12"/>
        <v>#NAME?</v>
      </c>
      <c r="O56" t="e">
        <f t="shared" ca="1" si="12"/>
        <v>#NAME?</v>
      </c>
      <c r="P56" t="e">
        <f t="shared" ca="1" si="12"/>
        <v>#NAME?</v>
      </c>
      <c r="R56" t="e">
        <f t="shared" ca="1" si="13"/>
        <v>#NAME?</v>
      </c>
      <c r="S56" t="e">
        <f t="shared" ca="1" si="13"/>
        <v>#NAME?</v>
      </c>
      <c r="T56" t="e">
        <f t="shared" ca="1" si="13"/>
        <v>#NAME?</v>
      </c>
      <c r="U56" t="e">
        <f t="shared" ca="1" si="13"/>
        <v>#NAME?</v>
      </c>
      <c r="V56" t="e">
        <f t="shared" ca="1" si="13"/>
        <v>#NAME?</v>
      </c>
      <c r="W56" t="e">
        <f t="shared" ca="1" si="13"/>
        <v>#NAME?</v>
      </c>
      <c r="X56" t="e">
        <f t="shared" ca="1" si="13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 t="s">
        <v>111</v>
      </c>
      <c r="H57" s="25"/>
      <c r="J57" t="s">
        <v>296</v>
      </c>
      <c r="K57" t="s">
        <v>296</v>
      </c>
      <c r="L57" t="s">
        <v>296</v>
      </c>
      <c r="M57" t="s">
        <v>296</v>
      </c>
      <c r="N57" t="s">
        <v>296</v>
      </c>
      <c r="O57" t="s">
        <v>296</v>
      </c>
      <c r="P57" t="s">
        <v>296</v>
      </c>
      <c r="R57" t="s">
        <v>296</v>
      </c>
      <c r="S57" t="s">
        <v>288</v>
      </c>
      <c r="T57" t="s">
        <v>296</v>
      </c>
      <c r="U57" t="s">
        <v>296</v>
      </c>
      <c r="V57" t="s">
        <v>296</v>
      </c>
      <c r="W57" t="s">
        <v>288</v>
      </c>
      <c r="X57" t="s">
        <v>296</v>
      </c>
    </row>
    <row r="58" spans="1:26" ht="15" customHeight="1">
      <c r="A58" s="106" t="s">
        <v>113</v>
      </c>
      <c r="B58" s="107" t="s">
        <v>375</v>
      </c>
      <c r="C58" s="107" t="s">
        <v>376</v>
      </c>
      <c r="D58" s="107" t="s">
        <v>377</v>
      </c>
      <c r="E58" s="107" t="s">
        <v>378</v>
      </c>
      <c r="F58" s="107" t="s">
        <v>379</v>
      </c>
      <c r="G58" s="107" t="s">
        <v>380</v>
      </c>
      <c r="H58" s="107" t="s">
        <v>381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121" t="s">
        <v>116</v>
      </c>
      <c r="C59" s="28" t="s">
        <v>115</v>
      </c>
      <c r="D59" s="25"/>
      <c r="E59" s="25"/>
      <c r="F59" s="25"/>
      <c r="G59" s="121" t="s">
        <v>116</v>
      </c>
      <c r="H59" s="28" t="s">
        <v>115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5"/>
      <c r="D60" s="120" t="s">
        <v>118</v>
      </c>
      <c r="E60" s="28" t="s">
        <v>115</v>
      </c>
      <c r="F60" s="25"/>
      <c r="G60" s="120" t="s">
        <v>118</v>
      </c>
      <c r="H60" s="121" t="s">
        <v>118</v>
      </c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127" t="s">
        <v>29</v>
      </c>
      <c r="C61" s="128"/>
      <c r="D61" s="128"/>
      <c r="E61" s="128"/>
      <c r="F61" s="128"/>
      <c r="G61" s="128"/>
      <c r="H61" s="129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25"/>
      <c r="C62" s="25"/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4">colorindex(E62)</f>
        <v>#NAME?</v>
      </c>
      <c r="N62" t="e">
        <f t="shared" ca="1" si="14"/>
        <v>#NAME?</v>
      </c>
      <c r="O62" t="e">
        <f t="shared" ca="1" si="14"/>
        <v>#NAME?</v>
      </c>
      <c r="P62" t="e">
        <f t="shared" ca="1" si="14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5">ShiftIndex(E62)</f>
        <v>#NAME?</v>
      </c>
      <c r="V62" t="e">
        <f t="shared" ca="1" si="15"/>
        <v>#NAME?</v>
      </c>
      <c r="W62" t="e">
        <f t="shared" ca="1" si="15"/>
        <v>#NAME?</v>
      </c>
      <c r="X62" t="e">
        <f t="shared" ca="1" si="15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8 Jun</v>
      </c>
      <c r="C63" s="107" t="str">
        <f t="shared" ref="C63:H63" si="16">C58</f>
        <v>Tues 9 Jun</v>
      </c>
      <c r="D63" s="107" t="str">
        <f t="shared" si="16"/>
        <v>Wed 10 Jun</v>
      </c>
      <c r="E63" s="107" t="str">
        <f t="shared" si="16"/>
        <v>Thu 11 Jun</v>
      </c>
      <c r="F63" s="107" t="str">
        <f t="shared" si="16"/>
        <v>Fri 12 Jun</v>
      </c>
      <c r="G63" s="107" t="str">
        <f t="shared" si="16"/>
        <v>Sat 13 Jun</v>
      </c>
      <c r="H63" s="107" t="str">
        <f t="shared" si="16"/>
        <v>Sun 14 Jun</v>
      </c>
      <c r="J63" t="e">
        <f t="shared" ref="J63:P101" ca="1" si="17">colorindex(B63)</f>
        <v>#NAME?</v>
      </c>
      <c r="K63" t="e">
        <f t="shared" ca="1" si="17"/>
        <v>#NAME?</v>
      </c>
      <c r="L63" t="e">
        <f t="shared" ca="1" si="17"/>
        <v>#NAME?</v>
      </c>
      <c r="M63" t="e">
        <f t="shared" ca="1" si="14"/>
        <v>#NAME?</v>
      </c>
      <c r="N63" t="e">
        <f t="shared" ca="1" si="14"/>
        <v>#NAME?</v>
      </c>
      <c r="O63" t="e">
        <f t="shared" ca="1" si="14"/>
        <v>#NAME?</v>
      </c>
      <c r="P63" t="e">
        <f t="shared" ca="1" si="14"/>
        <v>#NAME?</v>
      </c>
      <c r="R63" t="e">
        <f t="shared" ref="R63:X101" ca="1" si="18">ShiftIndex(B63)</f>
        <v>#NAME?</v>
      </c>
      <c r="S63" t="e">
        <f t="shared" ca="1" si="18"/>
        <v>#NAME?</v>
      </c>
      <c r="T63" t="e">
        <f t="shared" ca="1" si="18"/>
        <v>#NAME?</v>
      </c>
      <c r="U63" t="e">
        <f t="shared" ca="1" si="15"/>
        <v>#NAME?</v>
      </c>
      <c r="V63" t="e">
        <f t="shared" ca="1" si="15"/>
        <v>#NAME?</v>
      </c>
      <c r="W63" t="e">
        <f t="shared" ca="1" si="15"/>
        <v>#NAME?</v>
      </c>
      <c r="X63" t="e">
        <f t="shared" ca="1" si="15"/>
        <v>#NAME?</v>
      </c>
      <c r="Z63" s="53">
        <f>SUM(Z59:Z62)</f>
        <v>2.75</v>
      </c>
    </row>
    <row r="64" spans="1:26" ht="15" customHeight="1">
      <c r="A64" s="22" t="s">
        <v>125</v>
      </c>
      <c r="B64" s="121" t="s">
        <v>118</v>
      </c>
      <c r="C64" s="25"/>
      <c r="D64" s="28" t="s">
        <v>119</v>
      </c>
      <c r="E64" s="121" t="s">
        <v>118</v>
      </c>
      <c r="F64" s="120" t="s">
        <v>126</v>
      </c>
      <c r="G64" s="28" t="s">
        <v>119</v>
      </c>
      <c r="H64" s="120" t="s">
        <v>118</v>
      </c>
      <c r="J64" t="e">
        <f t="shared" ca="1" si="17"/>
        <v>#NAME?</v>
      </c>
      <c r="K64" t="e">
        <f t="shared" ca="1" si="17"/>
        <v>#NAME?</v>
      </c>
      <c r="L64" t="e">
        <f t="shared" ca="1" si="17"/>
        <v>#NAME?</v>
      </c>
      <c r="M64" t="e">
        <f t="shared" ca="1" si="14"/>
        <v>#NAME?</v>
      </c>
      <c r="N64" t="e">
        <f t="shared" ca="1" si="14"/>
        <v>#NAME?</v>
      </c>
      <c r="O64" t="e">
        <f t="shared" ca="1" si="14"/>
        <v>#NAME?</v>
      </c>
      <c r="P64" t="e">
        <f t="shared" ca="1" si="14"/>
        <v>#NAME?</v>
      </c>
      <c r="R64" t="e">
        <f t="shared" ca="1" si="18"/>
        <v>#NAME?</v>
      </c>
      <c r="S64" t="e">
        <f t="shared" ca="1" si="18"/>
        <v>#NAME?</v>
      </c>
      <c r="T64" t="e">
        <f t="shared" ca="1" si="18"/>
        <v>#NAME?</v>
      </c>
      <c r="U64" t="e">
        <f t="shared" ca="1" si="15"/>
        <v>#NAME?</v>
      </c>
      <c r="V64" t="e">
        <f t="shared" ca="1" si="15"/>
        <v>#NAME?</v>
      </c>
      <c r="W64" t="e">
        <f t="shared" ca="1" si="15"/>
        <v>#NAME?</v>
      </c>
      <c r="X64" t="e">
        <f t="shared" ca="1" si="15"/>
        <v>#NAME?</v>
      </c>
      <c r="Z64" s="15">
        <v>1</v>
      </c>
    </row>
    <row r="65" spans="1:26" ht="15" customHeight="1">
      <c r="A65" s="22" t="s">
        <v>128</v>
      </c>
      <c r="B65" s="25"/>
      <c r="C65" s="28" t="s">
        <v>119</v>
      </c>
      <c r="D65" s="25"/>
      <c r="E65" s="25"/>
      <c r="F65" s="25"/>
      <c r="G65" s="25"/>
      <c r="H65" s="25"/>
      <c r="J65" t="e">
        <f t="shared" ca="1" si="17"/>
        <v>#NAME?</v>
      </c>
      <c r="K65" t="e">
        <f t="shared" ca="1" si="17"/>
        <v>#NAME?</v>
      </c>
      <c r="L65" t="e">
        <f t="shared" ca="1" si="17"/>
        <v>#NAME?</v>
      </c>
      <c r="M65" t="e">
        <f t="shared" ca="1" si="14"/>
        <v>#NAME?</v>
      </c>
      <c r="N65" t="e">
        <f t="shared" ca="1" si="14"/>
        <v>#NAME?</v>
      </c>
      <c r="O65" t="e">
        <f t="shared" ca="1" si="14"/>
        <v>#NAME?</v>
      </c>
      <c r="P65" t="e">
        <f t="shared" ca="1" si="14"/>
        <v>#NAME?</v>
      </c>
      <c r="R65" t="e">
        <f t="shared" ca="1" si="18"/>
        <v>#NAME?</v>
      </c>
      <c r="S65" t="e">
        <f t="shared" ca="1" si="18"/>
        <v>#NAME?</v>
      </c>
      <c r="T65" t="e">
        <f t="shared" ca="1" si="18"/>
        <v>#NAME?</v>
      </c>
      <c r="U65" t="e">
        <f t="shared" ca="1" si="15"/>
        <v>#NAME?</v>
      </c>
      <c r="V65" t="e">
        <f t="shared" ca="1" si="15"/>
        <v>#NAME?</v>
      </c>
      <c r="W65" t="e">
        <f t="shared" ca="1" si="15"/>
        <v>#NAME?</v>
      </c>
      <c r="X65" t="e">
        <f t="shared" ca="1" si="15"/>
        <v>#NAME?</v>
      </c>
      <c r="Z65" s="15">
        <v>0.25</v>
      </c>
    </row>
    <row r="66" spans="1:26" ht="15" customHeight="1">
      <c r="A66" s="22" t="s">
        <v>129</v>
      </c>
      <c r="B66" s="120" t="s">
        <v>118</v>
      </c>
      <c r="C66" s="25"/>
      <c r="D66" s="121" t="s">
        <v>118</v>
      </c>
      <c r="E66" s="25"/>
      <c r="F66" s="25"/>
      <c r="G66" s="25"/>
      <c r="H66" s="25"/>
      <c r="J66" t="e">
        <f t="shared" ca="1" si="17"/>
        <v>#NAME?</v>
      </c>
      <c r="K66" t="e">
        <f t="shared" ca="1" si="17"/>
        <v>#NAME?</v>
      </c>
      <c r="L66" t="e">
        <f t="shared" ca="1" si="17"/>
        <v>#NAME?</v>
      </c>
      <c r="M66" t="e">
        <f t="shared" ca="1" si="14"/>
        <v>#NAME?</v>
      </c>
      <c r="N66" t="e">
        <f t="shared" ca="1" si="14"/>
        <v>#NAME?</v>
      </c>
      <c r="O66" t="e">
        <f t="shared" ca="1" si="14"/>
        <v>#NAME?</v>
      </c>
      <c r="P66" t="e">
        <f t="shared" ca="1" si="14"/>
        <v>#NAME?</v>
      </c>
      <c r="R66" t="e">
        <f t="shared" ca="1" si="18"/>
        <v>#NAME?</v>
      </c>
      <c r="S66" t="e">
        <f t="shared" ca="1" si="18"/>
        <v>#NAME?</v>
      </c>
      <c r="T66" t="e">
        <f t="shared" ca="1" si="18"/>
        <v>#NAME?</v>
      </c>
      <c r="U66" t="e">
        <f t="shared" ca="1" si="15"/>
        <v>#NAME?</v>
      </c>
      <c r="V66" t="e">
        <f t="shared" ca="1" si="15"/>
        <v>#NAME?</v>
      </c>
      <c r="W66" t="e">
        <f t="shared" ca="1" si="15"/>
        <v>#NAME?</v>
      </c>
      <c r="X66" t="e">
        <f t="shared" ca="1" si="15"/>
        <v>#NAME?</v>
      </c>
      <c r="Z66" s="15">
        <v>0.5</v>
      </c>
    </row>
    <row r="67" spans="1:26" ht="26.25">
      <c r="A67" s="106" t="s">
        <v>130</v>
      </c>
      <c r="B67" s="108" t="str">
        <f>B58</f>
        <v>Mon 8 Jun</v>
      </c>
      <c r="C67" s="107" t="str">
        <f t="shared" ref="C67:H67" si="19">C58</f>
        <v>Tues 9 Jun</v>
      </c>
      <c r="D67" s="108" t="s">
        <v>382</v>
      </c>
      <c r="E67" s="107" t="str">
        <f t="shared" si="19"/>
        <v>Thu 11 Jun</v>
      </c>
      <c r="F67" s="107" t="str">
        <f t="shared" si="19"/>
        <v>Fri 12 Jun</v>
      </c>
      <c r="G67" s="107" t="str">
        <f t="shared" si="19"/>
        <v>Sat 13 Jun</v>
      </c>
      <c r="H67" s="107" t="str">
        <f t="shared" si="19"/>
        <v>Sun 14 Jun</v>
      </c>
      <c r="J67" t="e">
        <f t="shared" ca="1" si="17"/>
        <v>#NAME?</v>
      </c>
      <c r="K67" t="e">
        <f t="shared" ca="1" si="17"/>
        <v>#NAME?</v>
      </c>
      <c r="L67" t="e">
        <f t="shared" ca="1" si="17"/>
        <v>#NAME?</v>
      </c>
      <c r="M67" t="e">
        <f t="shared" ca="1" si="14"/>
        <v>#NAME?</v>
      </c>
      <c r="N67" t="e">
        <f t="shared" ca="1" si="14"/>
        <v>#NAME?</v>
      </c>
      <c r="O67" t="e">
        <f t="shared" ca="1" si="14"/>
        <v>#NAME?</v>
      </c>
      <c r="P67" t="e">
        <f t="shared" ca="1" si="14"/>
        <v>#NAME?</v>
      </c>
      <c r="R67" t="e">
        <f t="shared" ca="1" si="18"/>
        <v>#NAME?</v>
      </c>
      <c r="S67" t="e">
        <f t="shared" ca="1" si="18"/>
        <v>#NAME?</v>
      </c>
      <c r="T67" t="e">
        <f t="shared" ca="1" si="18"/>
        <v>#NAME?</v>
      </c>
      <c r="U67" t="e">
        <f t="shared" ca="1" si="15"/>
        <v>#NAME?</v>
      </c>
      <c r="V67" t="e">
        <f t="shared" ca="1" si="15"/>
        <v>#NAME?</v>
      </c>
      <c r="W67" t="e">
        <f t="shared" ca="1" si="15"/>
        <v>#NAME?</v>
      </c>
      <c r="X67" t="e">
        <f t="shared" ca="1" si="15"/>
        <v>#NAME?</v>
      </c>
      <c r="Z67" s="53">
        <f>SUM(Z64:Z66)</f>
        <v>1.75</v>
      </c>
    </row>
    <row r="68" spans="1:26" ht="15" customHeight="1">
      <c r="A68" s="22" t="s">
        <v>133</v>
      </c>
      <c r="B68" s="28" t="s">
        <v>119</v>
      </c>
      <c r="C68" s="25"/>
      <c r="D68" s="25" t="s">
        <v>141</v>
      </c>
      <c r="E68" s="25"/>
      <c r="F68" s="44" t="s">
        <v>186</v>
      </c>
      <c r="G68" s="25"/>
      <c r="H68" s="25"/>
      <c r="J68" t="e">
        <f t="shared" ca="1" si="17"/>
        <v>#NAME?</v>
      </c>
      <c r="K68" t="e">
        <f t="shared" ca="1" si="17"/>
        <v>#NAME?</v>
      </c>
      <c r="L68" t="e">
        <f t="shared" ca="1" si="17"/>
        <v>#NAME?</v>
      </c>
      <c r="M68" t="e">
        <f t="shared" ca="1" si="14"/>
        <v>#NAME?</v>
      </c>
      <c r="N68" t="e">
        <f t="shared" ca="1" si="14"/>
        <v>#NAME?</v>
      </c>
      <c r="O68" t="e">
        <f t="shared" ca="1" si="14"/>
        <v>#NAME?</v>
      </c>
      <c r="P68" t="e">
        <f t="shared" ca="1" si="14"/>
        <v>#NAME?</v>
      </c>
      <c r="R68" t="e">
        <f t="shared" ca="1" si="18"/>
        <v>#NAME?</v>
      </c>
      <c r="S68" t="e">
        <f t="shared" ca="1" si="18"/>
        <v>#NAME?</v>
      </c>
      <c r="T68" t="e">
        <f t="shared" ca="1" si="18"/>
        <v>#NAME?</v>
      </c>
      <c r="U68" t="e">
        <f t="shared" ca="1" si="15"/>
        <v>#NAME?</v>
      </c>
      <c r="V68" t="e">
        <f t="shared" ca="1" si="15"/>
        <v>#NAME?</v>
      </c>
      <c r="W68" t="e">
        <f t="shared" ca="1" si="15"/>
        <v>#NAME?</v>
      </c>
      <c r="X68" t="e">
        <f t="shared" ca="1" si="15"/>
        <v>#NAME?</v>
      </c>
      <c r="Z68" s="15">
        <v>0.5</v>
      </c>
    </row>
    <row r="69" spans="1:26" ht="14.45" customHeight="1">
      <c r="A69" s="22" t="s">
        <v>135</v>
      </c>
      <c r="B69" s="25"/>
      <c r="C69" s="25"/>
      <c r="D69" s="25" t="s">
        <v>141</v>
      </c>
      <c r="E69" s="25"/>
      <c r="F69" s="121" t="s">
        <v>116</v>
      </c>
      <c r="G69" s="25"/>
      <c r="H69" s="25" t="s">
        <v>152</v>
      </c>
      <c r="J69" t="e">
        <f t="shared" ca="1" si="17"/>
        <v>#NAME?</v>
      </c>
      <c r="K69" t="e">
        <f t="shared" ca="1" si="17"/>
        <v>#NAME?</v>
      </c>
      <c r="L69" t="e">
        <f t="shared" ca="1" si="17"/>
        <v>#NAME?</v>
      </c>
      <c r="M69" t="e">
        <f t="shared" ca="1" si="14"/>
        <v>#NAME?</v>
      </c>
      <c r="N69" t="e">
        <f t="shared" ca="1" si="14"/>
        <v>#NAME?</v>
      </c>
      <c r="O69" t="e">
        <f t="shared" ca="1" si="14"/>
        <v>#NAME?</v>
      </c>
      <c r="P69" t="e">
        <f t="shared" ca="1" si="14"/>
        <v>#NAME?</v>
      </c>
      <c r="R69" t="e">
        <f t="shared" ca="1" si="18"/>
        <v>#NAME?</v>
      </c>
      <c r="S69" t="e">
        <f t="shared" ca="1" si="18"/>
        <v>#NAME?</v>
      </c>
      <c r="T69" t="e">
        <f t="shared" ca="1" si="18"/>
        <v>#NAME?</v>
      </c>
      <c r="U69" t="e">
        <f t="shared" ca="1" si="15"/>
        <v>#NAME?</v>
      </c>
      <c r="V69" t="e">
        <f t="shared" ca="1" si="15"/>
        <v>#NAME?</v>
      </c>
      <c r="W69" t="e">
        <f t="shared" ca="1" si="15"/>
        <v>#NAME?</v>
      </c>
      <c r="X69" t="e">
        <f t="shared" ca="1" si="15"/>
        <v>#NAME?</v>
      </c>
      <c r="Z69" s="15">
        <v>0.5</v>
      </c>
    </row>
    <row r="70" spans="1:26" ht="15" customHeight="1">
      <c r="A70" s="22" t="s">
        <v>136</v>
      </c>
      <c r="B70" s="25" t="s">
        <v>123</v>
      </c>
      <c r="C70" s="25" t="s">
        <v>123</v>
      </c>
      <c r="D70" s="25" t="s">
        <v>123</v>
      </c>
      <c r="E70" s="25"/>
      <c r="F70" s="25"/>
      <c r="G70" s="25"/>
      <c r="H70" s="28" t="s">
        <v>119</v>
      </c>
      <c r="J70" t="e">
        <f t="shared" ca="1" si="17"/>
        <v>#NAME?</v>
      </c>
      <c r="K70" t="e">
        <f t="shared" ca="1" si="17"/>
        <v>#NAME?</v>
      </c>
      <c r="L70" t="e">
        <f t="shared" ca="1" si="17"/>
        <v>#NAME?</v>
      </c>
      <c r="M70" t="e">
        <f t="shared" ca="1" si="14"/>
        <v>#NAME?</v>
      </c>
      <c r="N70" t="e">
        <f t="shared" ca="1" si="14"/>
        <v>#NAME?</v>
      </c>
      <c r="O70" t="e">
        <f t="shared" ca="1" si="14"/>
        <v>#NAME?</v>
      </c>
      <c r="P70" t="e">
        <f t="shared" ca="1" si="14"/>
        <v>#NAME?</v>
      </c>
      <c r="R70" t="e">
        <f t="shared" ca="1" si="18"/>
        <v>#NAME?</v>
      </c>
      <c r="S70" t="e">
        <f t="shared" ca="1" si="18"/>
        <v>#NAME?</v>
      </c>
      <c r="T70" t="e">
        <f t="shared" ca="1" si="18"/>
        <v>#NAME?</v>
      </c>
      <c r="U70" t="e">
        <f t="shared" ca="1" si="15"/>
        <v>#NAME?</v>
      </c>
      <c r="V70" t="e">
        <f t="shared" ca="1" si="15"/>
        <v>#NAME?</v>
      </c>
      <c r="W70" t="e">
        <f t="shared" ca="1" si="15"/>
        <v>#NAME?</v>
      </c>
      <c r="X70" t="e">
        <f t="shared" ca="1" si="15"/>
        <v>#NAME?</v>
      </c>
      <c r="Z70" s="24">
        <v>1</v>
      </c>
    </row>
    <row r="71" spans="1:26" ht="15" customHeight="1">
      <c r="A71" s="22" t="s">
        <v>137</v>
      </c>
      <c r="B71" s="25"/>
      <c r="C71" s="25"/>
      <c r="D71" s="25" t="s">
        <v>141</v>
      </c>
      <c r="E71" s="25" t="s">
        <v>123</v>
      </c>
      <c r="F71" s="25" t="s">
        <v>152</v>
      </c>
      <c r="G71" s="25" t="s">
        <v>123</v>
      </c>
      <c r="H71" s="25"/>
      <c r="J71" t="e">
        <f t="shared" ca="1" si="17"/>
        <v>#NAME?</v>
      </c>
      <c r="K71" t="e">
        <f t="shared" ca="1" si="17"/>
        <v>#NAME?</v>
      </c>
      <c r="L71" t="e">
        <f t="shared" ca="1" si="17"/>
        <v>#NAME?</v>
      </c>
      <c r="M71" t="e">
        <f t="shared" ca="1" si="14"/>
        <v>#NAME?</v>
      </c>
      <c r="N71" t="e">
        <f t="shared" ca="1" si="14"/>
        <v>#NAME?</v>
      </c>
      <c r="O71" t="e">
        <f t="shared" ca="1" si="14"/>
        <v>#NAME?</v>
      </c>
      <c r="P71" t="e">
        <f t="shared" ca="1" si="14"/>
        <v>#NAME?</v>
      </c>
      <c r="R71" t="e">
        <f t="shared" ca="1" si="18"/>
        <v>#NAME?</v>
      </c>
      <c r="S71" t="e">
        <f t="shared" ca="1" si="18"/>
        <v>#NAME?</v>
      </c>
      <c r="T71" t="e">
        <f t="shared" ca="1" si="18"/>
        <v>#NAME?</v>
      </c>
      <c r="U71" t="e">
        <f t="shared" ca="1" si="15"/>
        <v>#NAME?</v>
      </c>
      <c r="V71" t="e">
        <f t="shared" ca="1" si="15"/>
        <v>#NAME?</v>
      </c>
      <c r="W71" t="e">
        <f t="shared" ca="1" si="15"/>
        <v>#NAME?</v>
      </c>
      <c r="X71" t="e">
        <f t="shared" ca="1" si="15"/>
        <v>#NAME?</v>
      </c>
      <c r="Z71" s="24">
        <v>1</v>
      </c>
    </row>
    <row r="72" spans="1:26" ht="15" customHeight="1">
      <c r="A72" s="22" t="s">
        <v>140</v>
      </c>
      <c r="B72" s="25"/>
      <c r="C72" s="25"/>
      <c r="D72" s="25" t="s">
        <v>141</v>
      </c>
      <c r="E72" s="120" t="s">
        <v>118</v>
      </c>
      <c r="F72" s="121" t="s">
        <v>118</v>
      </c>
      <c r="G72" s="121" t="s">
        <v>118</v>
      </c>
      <c r="H72" s="25"/>
      <c r="J72" t="e">
        <f t="shared" ca="1" si="17"/>
        <v>#NAME?</v>
      </c>
      <c r="K72" t="e">
        <f t="shared" ca="1" si="17"/>
        <v>#NAME?</v>
      </c>
      <c r="L72" t="e">
        <f t="shared" ca="1" si="17"/>
        <v>#NAME?</v>
      </c>
      <c r="M72" t="e">
        <f t="shared" ca="1" si="14"/>
        <v>#NAME?</v>
      </c>
      <c r="N72" t="e">
        <f t="shared" ca="1" si="14"/>
        <v>#NAME?</v>
      </c>
      <c r="O72" t="e">
        <f t="shared" ca="1" si="14"/>
        <v>#NAME?</v>
      </c>
      <c r="P72" t="e">
        <f t="shared" ca="1" si="14"/>
        <v>#NAME?</v>
      </c>
      <c r="R72" t="e">
        <f t="shared" ca="1" si="18"/>
        <v>#NAME?</v>
      </c>
      <c r="S72" t="e">
        <f t="shared" ca="1" si="18"/>
        <v>#NAME?</v>
      </c>
      <c r="T72" t="e">
        <f t="shared" ca="1" si="18"/>
        <v>#NAME?</v>
      </c>
      <c r="U72" t="e">
        <f t="shared" ca="1" si="15"/>
        <v>#NAME?</v>
      </c>
      <c r="V72" t="e">
        <f t="shared" ca="1" si="15"/>
        <v>#NAME?</v>
      </c>
      <c r="W72" t="e">
        <f t="shared" ca="1" si="15"/>
        <v>#NAME?</v>
      </c>
      <c r="X72" t="e">
        <f t="shared" ca="1" si="15"/>
        <v>#NAME?</v>
      </c>
      <c r="Z72" s="24">
        <v>1</v>
      </c>
    </row>
    <row r="73" spans="1:26" ht="15" customHeight="1">
      <c r="A73" s="22" t="s">
        <v>143</v>
      </c>
      <c r="B73" s="121" t="s">
        <v>118</v>
      </c>
      <c r="C73" s="28" t="s">
        <v>119</v>
      </c>
      <c r="D73" s="110" t="s">
        <v>139</v>
      </c>
      <c r="E73" s="120" t="s">
        <v>116</v>
      </c>
      <c r="F73" s="25"/>
      <c r="G73" s="110" t="s">
        <v>139</v>
      </c>
      <c r="H73" s="25"/>
      <c r="J73" t="e">
        <f t="shared" ca="1" si="17"/>
        <v>#NAME?</v>
      </c>
      <c r="K73" t="e">
        <f t="shared" ca="1" si="17"/>
        <v>#NAME?</v>
      </c>
      <c r="L73" t="e">
        <f t="shared" ca="1" si="17"/>
        <v>#NAME?</v>
      </c>
      <c r="M73" t="e">
        <f t="shared" ca="1" si="17"/>
        <v>#NAME?</v>
      </c>
      <c r="N73" t="e">
        <f t="shared" ca="1" si="17"/>
        <v>#NAME?</v>
      </c>
      <c r="O73" t="e">
        <f t="shared" ca="1" si="17"/>
        <v>#NAME?</v>
      </c>
      <c r="P73" t="e">
        <f t="shared" ca="1" si="17"/>
        <v>#NAME?</v>
      </c>
      <c r="R73" t="e">
        <f t="shared" ca="1" si="18"/>
        <v>#NAME?</v>
      </c>
      <c r="S73" t="e">
        <f t="shared" ca="1" si="18"/>
        <v>#NAME?</v>
      </c>
      <c r="T73" t="e">
        <f t="shared" ca="1" si="18"/>
        <v>#NAME?</v>
      </c>
      <c r="U73" t="e">
        <f t="shared" ca="1" si="18"/>
        <v>#NAME?</v>
      </c>
      <c r="V73" t="e">
        <f t="shared" ca="1" si="18"/>
        <v>#NAME?</v>
      </c>
      <c r="W73" t="e">
        <f t="shared" ca="1" si="18"/>
        <v>#NAME?</v>
      </c>
      <c r="X73" t="e">
        <f t="shared" ca="1" si="18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123</v>
      </c>
      <c r="G74" s="25" t="s">
        <v>152</v>
      </c>
      <c r="H74" s="25" t="s">
        <v>123</v>
      </c>
      <c r="J74" t="e">
        <f t="shared" ca="1" si="17"/>
        <v>#NAME?</v>
      </c>
      <c r="K74" t="e">
        <f t="shared" ca="1" si="17"/>
        <v>#NAME?</v>
      </c>
      <c r="L74" t="e">
        <f t="shared" ca="1" si="17"/>
        <v>#NAME?</v>
      </c>
      <c r="M74" t="e">
        <f t="shared" ca="1" si="17"/>
        <v>#NAME?</v>
      </c>
      <c r="N74" t="e">
        <f t="shared" ca="1" si="17"/>
        <v>#NAME?</v>
      </c>
      <c r="O74" t="e">
        <f t="shared" ca="1" si="17"/>
        <v>#NAME?</v>
      </c>
      <c r="P74" t="e">
        <f t="shared" ca="1" si="17"/>
        <v>#NAME?</v>
      </c>
      <c r="R74" t="e">
        <f t="shared" ca="1" si="18"/>
        <v>#NAME?</v>
      </c>
      <c r="S74" t="e">
        <f t="shared" ca="1" si="18"/>
        <v>#NAME?</v>
      </c>
      <c r="T74" t="e">
        <f t="shared" ca="1" si="18"/>
        <v>#NAME?</v>
      </c>
      <c r="U74" t="e">
        <f t="shared" ca="1" si="18"/>
        <v>#NAME?</v>
      </c>
      <c r="V74" t="e">
        <f t="shared" ca="1" si="18"/>
        <v>#NAME?</v>
      </c>
      <c r="W74" t="e">
        <f t="shared" ca="1" si="18"/>
        <v>#NAME?</v>
      </c>
      <c r="X74" t="e">
        <f t="shared" ca="1" si="18"/>
        <v>#NAME?</v>
      </c>
      <c r="Z74" s="24">
        <v>1</v>
      </c>
    </row>
    <row r="75" spans="1:26" ht="26.25">
      <c r="A75" s="106" t="s">
        <v>146</v>
      </c>
      <c r="B75" s="108" t="str">
        <f>B58</f>
        <v>Mon 8 Jun</v>
      </c>
      <c r="C75" s="107" t="str">
        <f>C67</f>
        <v>Tues 9 Jun</v>
      </c>
      <c r="D75" s="108" t="s">
        <v>382</v>
      </c>
      <c r="E75" s="107" t="str">
        <f>E67</f>
        <v>Thu 11 Jun</v>
      </c>
      <c r="F75" s="107" t="str">
        <f>F67</f>
        <v>Fri 12 Jun</v>
      </c>
      <c r="G75" s="107" t="str">
        <f>G67</f>
        <v>Sat 13 Jun</v>
      </c>
      <c r="H75" s="107" t="str">
        <f>H67</f>
        <v>Sun 14 Jun</v>
      </c>
      <c r="J75" t="e">
        <f t="shared" ca="1" si="17"/>
        <v>#NAME?</v>
      </c>
      <c r="K75" t="e">
        <f t="shared" ca="1" si="17"/>
        <v>#NAME?</v>
      </c>
      <c r="L75" t="e">
        <f t="shared" ca="1" si="17"/>
        <v>#NAME?</v>
      </c>
      <c r="M75" t="e">
        <f t="shared" ca="1" si="17"/>
        <v>#NAME?</v>
      </c>
      <c r="N75" t="e">
        <f t="shared" ca="1" si="17"/>
        <v>#NAME?</v>
      </c>
      <c r="O75" t="e">
        <f t="shared" ca="1" si="17"/>
        <v>#NAME?</v>
      </c>
      <c r="P75" t="e">
        <f t="shared" ca="1" si="17"/>
        <v>#NAME?</v>
      </c>
      <c r="R75" t="e">
        <f t="shared" ca="1" si="18"/>
        <v>#NAME?</v>
      </c>
      <c r="S75" t="e">
        <f t="shared" ca="1" si="18"/>
        <v>#NAME?</v>
      </c>
      <c r="T75" t="e">
        <f t="shared" ca="1" si="18"/>
        <v>#NAME?</v>
      </c>
      <c r="U75" t="e">
        <f t="shared" ca="1" si="18"/>
        <v>#NAME?</v>
      </c>
      <c r="V75" t="e">
        <f t="shared" ca="1" si="18"/>
        <v>#NAME?</v>
      </c>
      <c r="W75" t="e">
        <f t="shared" ca="1" si="18"/>
        <v>#NAME?</v>
      </c>
      <c r="X75" t="e">
        <f t="shared" ca="1" si="18"/>
        <v>#NAME?</v>
      </c>
      <c r="Z75" s="53">
        <f>SUM(Z68:Z74)</f>
        <v>6</v>
      </c>
    </row>
    <row r="76" spans="1:26" ht="15" customHeight="1">
      <c r="A76" s="22" t="s">
        <v>147</v>
      </c>
      <c r="B76" s="127" t="s">
        <v>18</v>
      </c>
      <c r="C76" s="128"/>
      <c r="D76" s="128" t="s">
        <v>134</v>
      </c>
      <c r="E76" s="128"/>
      <c r="F76" s="128" t="s">
        <v>134</v>
      </c>
      <c r="G76" s="128"/>
      <c r="H76" s="129" t="s">
        <v>134</v>
      </c>
      <c r="J76" t="e">
        <f t="shared" ca="1" si="17"/>
        <v>#NAME?</v>
      </c>
      <c r="K76" t="e">
        <f t="shared" ca="1" si="17"/>
        <v>#NAME?</v>
      </c>
      <c r="L76" t="e">
        <f t="shared" ca="1" si="17"/>
        <v>#NAME?</v>
      </c>
      <c r="M76" t="e">
        <f t="shared" ca="1" si="17"/>
        <v>#NAME?</v>
      </c>
      <c r="N76" t="e">
        <f t="shared" ca="1" si="17"/>
        <v>#NAME?</v>
      </c>
      <c r="O76" t="e">
        <f t="shared" ca="1" si="17"/>
        <v>#NAME?</v>
      </c>
      <c r="P76" t="e">
        <f t="shared" ca="1" si="17"/>
        <v>#NAME?</v>
      </c>
      <c r="R76" t="e">
        <f t="shared" ca="1" si="18"/>
        <v>#NAME?</v>
      </c>
      <c r="S76" t="e">
        <f t="shared" ca="1" si="18"/>
        <v>#NAME?</v>
      </c>
      <c r="T76" t="e">
        <f t="shared" ca="1" si="18"/>
        <v>#NAME?</v>
      </c>
      <c r="U76" t="e">
        <f t="shared" ca="1" si="18"/>
        <v>#NAME?</v>
      </c>
      <c r="V76" t="e">
        <f t="shared" ca="1" si="18"/>
        <v>#NAME?</v>
      </c>
      <c r="W76" t="e">
        <f t="shared" ca="1" si="18"/>
        <v>#NAME?</v>
      </c>
      <c r="X76" t="e">
        <f t="shared" ca="1" si="18"/>
        <v>#NAME?</v>
      </c>
      <c r="Z76" s="24">
        <v>1</v>
      </c>
    </row>
    <row r="77" spans="1:26" ht="15" customHeight="1">
      <c r="A77" s="22" t="s">
        <v>151</v>
      </c>
      <c r="B77" s="25"/>
      <c r="C77" s="120" t="s">
        <v>116</v>
      </c>
      <c r="D77" s="25" t="s">
        <v>141</v>
      </c>
      <c r="E77" s="120" t="s">
        <v>116</v>
      </c>
      <c r="F77" s="25" t="s">
        <v>152</v>
      </c>
      <c r="G77" s="25" t="s">
        <v>152</v>
      </c>
      <c r="H77" s="25" t="s">
        <v>152</v>
      </c>
      <c r="J77" t="e">
        <f t="shared" ca="1" si="17"/>
        <v>#NAME?</v>
      </c>
      <c r="K77" t="e">
        <f t="shared" ca="1" si="17"/>
        <v>#NAME?</v>
      </c>
      <c r="L77" t="e">
        <f t="shared" ca="1" si="17"/>
        <v>#NAME?</v>
      </c>
      <c r="M77" t="e">
        <f t="shared" ca="1" si="17"/>
        <v>#NAME?</v>
      </c>
      <c r="N77" t="e">
        <f t="shared" ca="1" si="17"/>
        <v>#NAME?</v>
      </c>
      <c r="O77" t="e">
        <f t="shared" ca="1" si="17"/>
        <v>#NAME?</v>
      </c>
      <c r="P77" t="e">
        <f t="shared" ca="1" si="17"/>
        <v>#NAME?</v>
      </c>
      <c r="R77" t="e">
        <f t="shared" ca="1" si="18"/>
        <v>#NAME?</v>
      </c>
      <c r="S77" t="e">
        <f t="shared" ca="1" si="18"/>
        <v>#NAME?</v>
      </c>
      <c r="T77" t="e">
        <f t="shared" ca="1" si="18"/>
        <v>#NAME?</v>
      </c>
      <c r="U77" t="e">
        <f t="shared" ca="1" si="18"/>
        <v>#NAME?</v>
      </c>
      <c r="V77" t="e">
        <f t="shared" ca="1" si="18"/>
        <v>#NAME?</v>
      </c>
      <c r="W77" t="e">
        <f t="shared" ca="1" si="18"/>
        <v>#NAME?</v>
      </c>
      <c r="X77" t="e">
        <f t="shared" ca="1" si="18"/>
        <v>#NAME?</v>
      </c>
      <c r="Z77" s="15">
        <v>1</v>
      </c>
    </row>
    <row r="78" spans="1:26" ht="15" customHeight="1">
      <c r="A78" s="22" t="s">
        <v>153</v>
      </c>
      <c r="B78" s="25"/>
      <c r="C78" s="120" t="s">
        <v>118</v>
      </c>
      <c r="D78" s="25" t="s">
        <v>141</v>
      </c>
      <c r="E78" s="25"/>
      <c r="F78" s="25"/>
      <c r="G78" s="25"/>
      <c r="H78" s="25" t="s">
        <v>152</v>
      </c>
      <c r="J78" t="e">
        <f t="shared" ca="1" si="17"/>
        <v>#NAME?</v>
      </c>
      <c r="K78" t="e">
        <f t="shared" ca="1" si="17"/>
        <v>#NAME?</v>
      </c>
      <c r="L78" t="e">
        <f t="shared" ca="1" si="17"/>
        <v>#NAME?</v>
      </c>
      <c r="M78" t="e">
        <f t="shared" ca="1" si="17"/>
        <v>#NAME?</v>
      </c>
      <c r="N78" t="e">
        <f t="shared" ca="1" si="17"/>
        <v>#NAME?</v>
      </c>
      <c r="O78" t="e">
        <f t="shared" ca="1" si="17"/>
        <v>#NAME?</v>
      </c>
      <c r="P78" t="e">
        <f t="shared" ca="1" si="17"/>
        <v>#NAME?</v>
      </c>
      <c r="R78" t="e">
        <f t="shared" ca="1" si="18"/>
        <v>#NAME?</v>
      </c>
      <c r="S78" t="e">
        <f t="shared" ca="1" si="18"/>
        <v>#NAME?</v>
      </c>
      <c r="T78" t="e">
        <f t="shared" ca="1" si="18"/>
        <v>#NAME?</v>
      </c>
      <c r="U78" t="e">
        <f t="shared" ca="1" si="18"/>
        <v>#NAME?</v>
      </c>
      <c r="V78" t="e">
        <f t="shared" ca="1" si="18"/>
        <v>#NAME?</v>
      </c>
      <c r="W78" t="e">
        <f t="shared" ca="1" si="18"/>
        <v>#NAME?</v>
      </c>
      <c r="X78" t="e">
        <f t="shared" ca="1" si="18"/>
        <v>#NAME?</v>
      </c>
      <c r="Z78" s="15">
        <v>0.5</v>
      </c>
    </row>
    <row r="79" spans="1:26">
      <c r="A79" s="22" t="s">
        <v>154</v>
      </c>
      <c r="B79" s="25"/>
      <c r="C79" s="120" t="s">
        <v>116</v>
      </c>
      <c r="D79" s="121" t="s">
        <v>116</v>
      </c>
      <c r="E79" s="120" t="s">
        <v>116</v>
      </c>
      <c r="F79" s="25"/>
      <c r="G79" s="120" t="s">
        <v>118</v>
      </c>
      <c r="H79" s="110" t="s">
        <v>139</v>
      </c>
      <c r="J79" t="e">
        <f t="shared" ref="J79:P97" ca="1" si="20">colorindex(B79)</f>
        <v>#NAME?</v>
      </c>
      <c r="K79" t="e">
        <f t="shared" ca="1" si="20"/>
        <v>#NAME?</v>
      </c>
      <c r="L79" t="e">
        <f t="shared" ca="1" si="20"/>
        <v>#NAME?</v>
      </c>
      <c r="M79" t="e">
        <f t="shared" ca="1" si="20"/>
        <v>#NAME?</v>
      </c>
      <c r="N79" t="e">
        <f t="shared" ca="1" si="20"/>
        <v>#NAME?</v>
      </c>
      <c r="O79" t="e">
        <f t="shared" ca="1" si="20"/>
        <v>#NAME?</v>
      </c>
      <c r="P79" t="e">
        <f t="shared" ca="1" si="20"/>
        <v>#NAME?</v>
      </c>
      <c r="R79" t="e">
        <f t="shared" ref="R79:X97" ca="1" si="21">ShiftIndex(B79)</f>
        <v>#NAME?</v>
      </c>
      <c r="S79" t="e">
        <f t="shared" ca="1" si="21"/>
        <v>#NAME?</v>
      </c>
      <c r="T79" t="e">
        <f t="shared" ca="1" si="21"/>
        <v>#NAME?</v>
      </c>
      <c r="U79" t="e">
        <f t="shared" ca="1" si="21"/>
        <v>#NAME?</v>
      </c>
      <c r="V79" t="e">
        <f t="shared" ca="1" si="21"/>
        <v>#NAME?</v>
      </c>
      <c r="W79" t="e">
        <f t="shared" ca="1" si="21"/>
        <v>#NAME?</v>
      </c>
      <c r="X79" t="e">
        <f t="shared" ca="1" si="21"/>
        <v>#NAME?</v>
      </c>
      <c r="Z79" s="15">
        <v>1</v>
      </c>
    </row>
    <row r="80" spans="1:26">
      <c r="A80" s="22" t="s">
        <v>155</v>
      </c>
      <c r="B80" s="25"/>
      <c r="C80" s="110" t="s">
        <v>139</v>
      </c>
      <c r="D80" s="25"/>
      <c r="E80" s="25"/>
      <c r="F80" s="28" t="s">
        <v>119</v>
      </c>
      <c r="G80" s="25"/>
      <c r="H80" s="25"/>
      <c r="J80" t="e">
        <f t="shared" ca="1" si="20"/>
        <v>#NAME?</v>
      </c>
      <c r="K80" t="e">
        <f t="shared" ca="1" si="20"/>
        <v>#NAME?</v>
      </c>
      <c r="L80" t="e">
        <f t="shared" ca="1" si="20"/>
        <v>#NAME?</v>
      </c>
      <c r="M80" t="e">
        <f t="shared" ca="1" si="20"/>
        <v>#NAME?</v>
      </c>
      <c r="N80" t="e">
        <f t="shared" ca="1" si="20"/>
        <v>#NAME?</v>
      </c>
      <c r="O80" t="e">
        <f t="shared" ca="1" si="20"/>
        <v>#NAME?</v>
      </c>
      <c r="P80" t="e">
        <f t="shared" ca="1" si="20"/>
        <v>#NAME?</v>
      </c>
      <c r="R80" t="e">
        <f t="shared" ca="1" si="21"/>
        <v>#NAME?</v>
      </c>
      <c r="S80" t="e">
        <f t="shared" ca="1" si="21"/>
        <v>#NAME?</v>
      </c>
      <c r="T80" t="e">
        <f t="shared" ca="1" si="21"/>
        <v>#NAME?</v>
      </c>
      <c r="U80" t="e">
        <f t="shared" ca="1" si="21"/>
        <v>#NAME?</v>
      </c>
      <c r="V80" t="e">
        <f t="shared" ca="1" si="21"/>
        <v>#NAME?</v>
      </c>
      <c r="W80" t="e">
        <f t="shared" ca="1" si="21"/>
        <v>#NAME?</v>
      </c>
      <c r="X80" t="e">
        <f t="shared" ca="1" si="21"/>
        <v>#NAME?</v>
      </c>
      <c r="Z80" s="15">
        <v>0.5</v>
      </c>
    </row>
    <row r="81" spans="1:26" ht="15" customHeight="1">
      <c r="A81" s="22" t="s">
        <v>156</v>
      </c>
      <c r="B81" s="25"/>
      <c r="C81" s="25"/>
      <c r="D81" s="121" t="s">
        <v>116</v>
      </c>
      <c r="E81" s="25" t="s">
        <v>152</v>
      </c>
      <c r="F81" s="25" t="s">
        <v>152</v>
      </c>
      <c r="G81" s="25" t="s">
        <v>152</v>
      </c>
      <c r="H81" s="25"/>
      <c r="J81" t="e">
        <f t="shared" ca="1" si="20"/>
        <v>#NAME?</v>
      </c>
      <c r="K81" t="e">
        <f t="shared" ca="1" si="20"/>
        <v>#NAME?</v>
      </c>
      <c r="L81" t="e">
        <f t="shared" ca="1" si="20"/>
        <v>#NAME?</v>
      </c>
      <c r="M81" t="e">
        <f t="shared" ca="1" si="20"/>
        <v>#NAME?</v>
      </c>
      <c r="N81" t="e">
        <f t="shared" ca="1" si="20"/>
        <v>#NAME?</v>
      </c>
      <c r="O81" t="e">
        <f t="shared" ca="1" si="20"/>
        <v>#NAME?</v>
      </c>
      <c r="P81" t="e">
        <f t="shared" ca="1" si="20"/>
        <v>#NAME?</v>
      </c>
      <c r="R81" t="e">
        <f t="shared" ca="1" si="21"/>
        <v>#NAME?</v>
      </c>
      <c r="S81" t="e">
        <f t="shared" ca="1" si="21"/>
        <v>#NAME?</v>
      </c>
      <c r="T81" t="e">
        <f t="shared" ca="1" si="21"/>
        <v>#NAME?</v>
      </c>
      <c r="U81" t="e">
        <f t="shared" ca="1" si="21"/>
        <v>#NAME?</v>
      </c>
      <c r="V81" t="e">
        <f t="shared" ca="1" si="21"/>
        <v>#NAME?</v>
      </c>
      <c r="W81" t="e">
        <f t="shared" ca="1" si="21"/>
        <v>#NAME?</v>
      </c>
      <c r="X81" t="e">
        <f t="shared" ca="1" si="21"/>
        <v>#NAME?</v>
      </c>
      <c r="Z81" s="15">
        <v>1</v>
      </c>
    </row>
    <row r="82" spans="1:26" ht="15" customHeight="1">
      <c r="A82" s="22" t="s">
        <v>158</v>
      </c>
      <c r="B82" s="110" t="s">
        <v>139</v>
      </c>
      <c r="C82" s="25" t="s">
        <v>152</v>
      </c>
      <c r="D82" s="25" t="s">
        <v>152</v>
      </c>
      <c r="E82" s="25" t="s">
        <v>152</v>
      </c>
      <c r="F82" s="25"/>
      <c r="G82" s="25"/>
      <c r="H82" s="120" t="s">
        <v>116</v>
      </c>
      <c r="J82" t="e">
        <f t="shared" ca="1" si="20"/>
        <v>#NAME?</v>
      </c>
      <c r="K82" t="e">
        <f t="shared" ca="1" si="20"/>
        <v>#NAME?</v>
      </c>
      <c r="L82" t="e">
        <f t="shared" ca="1" si="20"/>
        <v>#NAME?</v>
      </c>
      <c r="M82" t="e">
        <f t="shared" ca="1" si="20"/>
        <v>#NAME?</v>
      </c>
      <c r="N82" t="e">
        <f t="shared" ca="1" si="20"/>
        <v>#NAME?</v>
      </c>
      <c r="O82" t="e">
        <f t="shared" ca="1" si="20"/>
        <v>#NAME?</v>
      </c>
      <c r="P82" t="e">
        <f t="shared" ca="1" si="20"/>
        <v>#NAME?</v>
      </c>
      <c r="R82" t="e">
        <f t="shared" ca="1" si="21"/>
        <v>#NAME?</v>
      </c>
      <c r="S82" t="e">
        <f t="shared" ca="1" si="21"/>
        <v>#NAME?</v>
      </c>
      <c r="T82" t="e">
        <f t="shared" ca="1" si="21"/>
        <v>#NAME?</v>
      </c>
      <c r="U82" t="e">
        <f t="shared" ca="1" si="21"/>
        <v>#NAME?</v>
      </c>
      <c r="V82" t="e">
        <f t="shared" ca="1" si="21"/>
        <v>#NAME?</v>
      </c>
      <c r="W82" t="e">
        <f t="shared" ca="1" si="21"/>
        <v>#NAME?</v>
      </c>
      <c r="X82" t="e">
        <f t="shared" ca="1" si="21"/>
        <v>#NAME?</v>
      </c>
      <c r="Z82" s="15">
        <v>1</v>
      </c>
    </row>
    <row r="83" spans="1:26" ht="15" customHeight="1">
      <c r="A83" s="22" t="s">
        <v>159</v>
      </c>
      <c r="B83" s="120" t="s">
        <v>116</v>
      </c>
      <c r="C83" s="25" t="s">
        <v>152</v>
      </c>
      <c r="D83" s="25" t="s">
        <v>152</v>
      </c>
      <c r="E83" s="25" t="s">
        <v>152</v>
      </c>
      <c r="F83" s="25"/>
      <c r="G83" s="25"/>
      <c r="H83" s="121" t="s">
        <v>116</v>
      </c>
      <c r="J83" t="e">
        <f t="shared" ca="1" si="20"/>
        <v>#NAME?</v>
      </c>
      <c r="K83" t="e">
        <f t="shared" ca="1" si="20"/>
        <v>#NAME?</v>
      </c>
      <c r="L83" t="e">
        <f t="shared" ca="1" si="20"/>
        <v>#NAME?</v>
      </c>
      <c r="M83" t="e">
        <f t="shared" ca="1" si="20"/>
        <v>#NAME?</v>
      </c>
      <c r="N83" t="e">
        <f t="shared" ca="1" si="20"/>
        <v>#NAME?</v>
      </c>
      <c r="O83" t="e">
        <f t="shared" ca="1" si="20"/>
        <v>#NAME?</v>
      </c>
      <c r="P83" t="e">
        <f t="shared" ca="1" si="20"/>
        <v>#NAME?</v>
      </c>
      <c r="R83" t="e">
        <f t="shared" ca="1" si="21"/>
        <v>#NAME?</v>
      </c>
      <c r="S83" t="e">
        <f t="shared" ca="1" si="21"/>
        <v>#NAME?</v>
      </c>
      <c r="T83" t="e">
        <f t="shared" ca="1" si="21"/>
        <v>#NAME?</v>
      </c>
      <c r="U83" t="e">
        <f t="shared" ca="1" si="21"/>
        <v>#NAME?</v>
      </c>
      <c r="V83" t="e">
        <f t="shared" ca="1" si="21"/>
        <v>#NAME?</v>
      </c>
      <c r="W83" t="e">
        <f t="shared" ca="1" si="21"/>
        <v>#NAME?</v>
      </c>
      <c r="X83" t="e">
        <f t="shared" ca="1" si="21"/>
        <v>#NAME?</v>
      </c>
      <c r="Z83" s="15">
        <v>1</v>
      </c>
    </row>
    <row r="84" spans="1:26" ht="15" customHeight="1">
      <c r="A84" s="22" t="s">
        <v>160</v>
      </c>
      <c r="B84" s="28" t="s">
        <v>119</v>
      </c>
      <c r="C84" s="110" t="s">
        <v>142</v>
      </c>
      <c r="D84" s="25" t="s">
        <v>141</v>
      </c>
      <c r="E84" s="121" t="s">
        <v>116</v>
      </c>
      <c r="F84" s="28" t="s">
        <v>115</v>
      </c>
      <c r="G84" s="120" t="s">
        <v>116</v>
      </c>
      <c r="H84" s="25"/>
      <c r="J84" t="e">
        <f t="shared" ca="1" si="20"/>
        <v>#NAME?</v>
      </c>
      <c r="K84" t="e">
        <f t="shared" ca="1" si="20"/>
        <v>#NAME?</v>
      </c>
      <c r="L84" t="e">
        <f t="shared" ca="1" si="20"/>
        <v>#NAME?</v>
      </c>
      <c r="M84" t="e">
        <f t="shared" ca="1" si="20"/>
        <v>#NAME?</v>
      </c>
      <c r="N84" t="e">
        <f t="shared" ca="1" si="20"/>
        <v>#NAME?</v>
      </c>
      <c r="O84" t="e">
        <f t="shared" ca="1" si="20"/>
        <v>#NAME?</v>
      </c>
      <c r="P84" t="e">
        <f t="shared" ca="1" si="20"/>
        <v>#NAME?</v>
      </c>
      <c r="R84" t="e">
        <f t="shared" ca="1" si="21"/>
        <v>#NAME?</v>
      </c>
      <c r="S84" t="e">
        <f t="shared" ca="1" si="21"/>
        <v>#NAME?</v>
      </c>
      <c r="T84" t="e">
        <f t="shared" ca="1" si="21"/>
        <v>#NAME?</v>
      </c>
      <c r="U84" t="e">
        <f t="shared" ca="1" si="21"/>
        <v>#NAME?</v>
      </c>
      <c r="V84" t="e">
        <f t="shared" ca="1" si="21"/>
        <v>#NAME?</v>
      </c>
      <c r="W84" t="e">
        <f t="shared" ca="1" si="21"/>
        <v>#NAME?</v>
      </c>
      <c r="X84" t="e">
        <f t="shared" ca="1" si="21"/>
        <v>#NAME?</v>
      </c>
      <c r="Z84" s="15">
        <v>1</v>
      </c>
    </row>
    <row r="85" spans="1:26">
      <c r="A85" s="22" t="s">
        <v>161</v>
      </c>
      <c r="B85" s="121" t="s">
        <v>116</v>
      </c>
      <c r="C85" s="25"/>
      <c r="D85" s="25" t="s">
        <v>141</v>
      </c>
      <c r="E85" s="25"/>
      <c r="F85" s="25"/>
      <c r="G85" s="25"/>
      <c r="H85" s="25" t="s">
        <v>152</v>
      </c>
      <c r="J85" t="e">
        <f t="shared" ca="1" si="20"/>
        <v>#NAME?</v>
      </c>
      <c r="K85" t="e">
        <f t="shared" ca="1" si="20"/>
        <v>#NAME?</v>
      </c>
      <c r="L85" t="e">
        <f t="shared" ca="1" si="20"/>
        <v>#NAME?</v>
      </c>
      <c r="M85" t="e">
        <f t="shared" ca="1" si="20"/>
        <v>#NAME?</v>
      </c>
      <c r="N85" t="e">
        <f t="shared" ca="1" si="20"/>
        <v>#NAME?</v>
      </c>
      <c r="O85" t="e">
        <f t="shared" ca="1" si="20"/>
        <v>#NAME?</v>
      </c>
      <c r="P85" t="e">
        <f t="shared" ca="1" si="20"/>
        <v>#NAME?</v>
      </c>
      <c r="R85" t="e">
        <f t="shared" ca="1" si="21"/>
        <v>#NAME?</v>
      </c>
      <c r="S85" t="e">
        <f t="shared" ca="1" si="21"/>
        <v>#NAME?</v>
      </c>
      <c r="T85" t="e">
        <f t="shared" ca="1" si="21"/>
        <v>#NAME?</v>
      </c>
      <c r="U85" t="e">
        <f t="shared" ca="1" si="21"/>
        <v>#NAME?</v>
      </c>
      <c r="V85" t="e">
        <f t="shared" ca="1" si="21"/>
        <v>#NAME?</v>
      </c>
      <c r="W85" t="e">
        <f t="shared" ca="1" si="21"/>
        <v>#NAME?</v>
      </c>
      <c r="X85" t="e">
        <f t="shared" ca="1" si="21"/>
        <v>#NAME?</v>
      </c>
      <c r="Z85" s="15">
        <v>0.25</v>
      </c>
    </row>
    <row r="86" spans="1:26">
      <c r="A86" s="22" t="s">
        <v>162</v>
      </c>
      <c r="B86" s="25"/>
      <c r="C86" s="121" t="s">
        <v>116</v>
      </c>
      <c r="D86" s="28" t="s">
        <v>115</v>
      </c>
      <c r="E86" s="25"/>
      <c r="F86" s="110" t="s">
        <v>142</v>
      </c>
      <c r="G86" s="25"/>
      <c r="H86" s="25"/>
      <c r="J86" t="e">
        <f t="shared" ca="1" si="20"/>
        <v>#NAME?</v>
      </c>
      <c r="K86" t="e">
        <f t="shared" ca="1" si="20"/>
        <v>#NAME?</v>
      </c>
      <c r="L86" t="e">
        <f t="shared" ca="1" si="20"/>
        <v>#NAME?</v>
      </c>
      <c r="M86" t="e">
        <f t="shared" ca="1" si="20"/>
        <v>#NAME?</v>
      </c>
      <c r="N86" t="e">
        <f t="shared" ca="1" si="20"/>
        <v>#NAME?</v>
      </c>
      <c r="O86" t="e">
        <f t="shared" ca="1" si="20"/>
        <v>#NAME?</v>
      </c>
      <c r="P86" t="e">
        <f t="shared" ca="1" si="20"/>
        <v>#NAME?</v>
      </c>
      <c r="R86" t="e">
        <f t="shared" ca="1" si="21"/>
        <v>#NAME?</v>
      </c>
      <c r="S86" t="e">
        <f t="shared" ca="1" si="21"/>
        <v>#NAME?</v>
      </c>
      <c r="T86" t="e">
        <f t="shared" ca="1" si="21"/>
        <v>#NAME?</v>
      </c>
      <c r="U86" t="e">
        <f t="shared" ca="1" si="21"/>
        <v>#NAME?</v>
      </c>
      <c r="V86" t="e">
        <f t="shared" ca="1" si="21"/>
        <v>#NAME?</v>
      </c>
      <c r="W86" t="e">
        <f t="shared" ca="1" si="21"/>
        <v>#NAME?</v>
      </c>
      <c r="X86" t="e">
        <f t="shared" ca="1" si="21"/>
        <v>#NAME?</v>
      </c>
      <c r="Z86" s="15">
        <v>1</v>
      </c>
    </row>
    <row r="87" spans="1:26" ht="15" customHeight="1">
      <c r="A87" s="22" t="s">
        <v>163</v>
      </c>
      <c r="B87" s="127" t="s">
        <v>18</v>
      </c>
      <c r="C87" s="128"/>
      <c r="D87" s="128" t="s">
        <v>134</v>
      </c>
      <c r="E87" s="128"/>
      <c r="F87" s="128" t="s">
        <v>134</v>
      </c>
      <c r="G87" s="128"/>
      <c r="H87" s="129" t="s">
        <v>134</v>
      </c>
      <c r="J87" t="e">
        <f t="shared" ca="1" si="20"/>
        <v>#NAME?</v>
      </c>
      <c r="K87" t="e">
        <f t="shared" ca="1" si="20"/>
        <v>#NAME?</v>
      </c>
      <c r="L87" t="e">
        <f t="shared" ca="1" si="20"/>
        <v>#NAME?</v>
      </c>
      <c r="M87" t="e">
        <f t="shared" ca="1" si="20"/>
        <v>#NAME?</v>
      </c>
      <c r="N87" t="e">
        <f t="shared" ca="1" si="20"/>
        <v>#NAME?</v>
      </c>
      <c r="O87" t="e">
        <f t="shared" ca="1" si="20"/>
        <v>#NAME?</v>
      </c>
      <c r="P87" t="e">
        <f t="shared" ca="1" si="20"/>
        <v>#NAME?</v>
      </c>
      <c r="R87" t="e">
        <f t="shared" ca="1" si="21"/>
        <v>#NAME?</v>
      </c>
      <c r="S87" t="e">
        <f t="shared" ca="1" si="21"/>
        <v>#NAME?</v>
      </c>
      <c r="T87" t="e">
        <f t="shared" ca="1" si="21"/>
        <v>#NAME?</v>
      </c>
      <c r="U87" t="e">
        <f t="shared" ca="1" si="21"/>
        <v>#NAME?</v>
      </c>
      <c r="V87" t="e">
        <f t="shared" ca="1" si="21"/>
        <v>#NAME?</v>
      </c>
      <c r="W87" t="e">
        <f t="shared" ca="1" si="21"/>
        <v>#NAME?</v>
      </c>
      <c r="X87" t="e">
        <f t="shared" ca="1" si="21"/>
        <v>#NAME?</v>
      </c>
      <c r="Z87" s="15">
        <v>1</v>
      </c>
    </row>
    <row r="88" spans="1:26" ht="15" customHeight="1">
      <c r="A88" s="22" t="s">
        <v>164</v>
      </c>
      <c r="B88" s="25" t="s">
        <v>152</v>
      </c>
      <c r="C88" s="25" t="s">
        <v>152</v>
      </c>
      <c r="D88" s="25" t="s">
        <v>152</v>
      </c>
      <c r="E88" s="25"/>
      <c r="F88" s="25"/>
      <c r="G88" s="25"/>
      <c r="H88" s="25"/>
      <c r="J88" t="e">
        <f t="shared" ca="1" si="20"/>
        <v>#NAME?</v>
      </c>
      <c r="K88" t="e">
        <f t="shared" ca="1" si="20"/>
        <v>#NAME?</v>
      </c>
      <c r="L88" t="e">
        <f t="shared" ca="1" si="20"/>
        <v>#NAME?</v>
      </c>
      <c r="M88" t="e">
        <f t="shared" ca="1" si="20"/>
        <v>#NAME?</v>
      </c>
      <c r="N88" t="e">
        <f t="shared" ca="1" si="20"/>
        <v>#NAME?</v>
      </c>
      <c r="O88" t="e">
        <f t="shared" ca="1" si="20"/>
        <v>#NAME?</v>
      </c>
      <c r="P88" t="e">
        <f t="shared" ca="1" si="20"/>
        <v>#NAME?</v>
      </c>
      <c r="R88" t="e">
        <f t="shared" ca="1" si="21"/>
        <v>#NAME?</v>
      </c>
      <c r="S88" t="e">
        <f t="shared" ca="1" si="21"/>
        <v>#NAME?</v>
      </c>
      <c r="T88" t="e">
        <f t="shared" ca="1" si="21"/>
        <v>#NAME?</v>
      </c>
      <c r="U88" t="e">
        <f t="shared" ca="1" si="21"/>
        <v>#NAME?</v>
      </c>
      <c r="V88" t="e">
        <f t="shared" ca="1" si="21"/>
        <v>#NAME?</v>
      </c>
      <c r="W88" t="e">
        <f t="shared" ca="1" si="21"/>
        <v>#NAME?</v>
      </c>
      <c r="X88" t="e">
        <f t="shared" ca="1" si="21"/>
        <v>#NAME?</v>
      </c>
      <c r="Z88" s="15">
        <v>0.75</v>
      </c>
    </row>
    <row r="89" spans="1:26" ht="15" customHeight="1">
      <c r="A89" s="22" t="s">
        <v>167</v>
      </c>
      <c r="B89" s="120" t="s">
        <v>116</v>
      </c>
      <c r="C89" s="25"/>
      <c r="D89" s="25" t="s">
        <v>141</v>
      </c>
      <c r="E89" s="28" t="s">
        <v>119</v>
      </c>
      <c r="F89" s="120" t="s">
        <v>118</v>
      </c>
      <c r="G89" s="121" t="s">
        <v>116</v>
      </c>
      <c r="H89" s="120" t="s">
        <v>116</v>
      </c>
      <c r="J89" t="e">
        <f t="shared" ca="1" si="20"/>
        <v>#NAME?</v>
      </c>
      <c r="K89" t="e">
        <f t="shared" ca="1" si="20"/>
        <v>#NAME?</v>
      </c>
      <c r="L89" t="e">
        <f t="shared" ca="1" si="20"/>
        <v>#NAME?</v>
      </c>
      <c r="M89" t="e">
        <f t="shared" ca="1" si="20"/>
        <v>#NAME?</v>
      </c>
      <c r="N89" t="e">
        <f t="shared" ca="1" si="20"/>
        <v>#NAME?</v>
      </c>
      <c r="O89" t="e">
        <f t="shared" ca="1" si="20"/>
        <v>#NAME?</v>
      </c>
      <c r="P89" t="e">
        <f t="shared" ca="1" si="20"/>
        <v>#NAME?</v>
      </c>
      <c r="R89" t="e">
        <f t="shared" ca="1" si="21"/>
        <v>#NAME?</v>
      </c>
      <c r="S89" t="e">
        <f t="shared" ca="1" si="21"/>
        <v>#NAME?</v>
      </c>
      <c r="T89" t="e">
        <f t="shared" ca="1" si="21"/>
        <v>#NAME?</v>
      </c>
      <c r="U89" t="e">
        <f t="shared" ca="1" si="21"/>
        <v>#NAME?</v>
      </c>
      <c r="V89" t="e">
        <f t="shared" ca="1" si="21"/>
        <v>#NAME?</v>
      </c>
      <c r="W89" t="e">
        <f t="shared" ca="1" si="21"/>
        <v>#NAME?</v>
      </c>
      <c r="X89" t="e">
        <f t="shared" ca="1" si="21"/>
        <v>#NAME?</v>
      </c>
      <c r="Z89" s="15">
        <v>0.75</v>
      </c>
    </row>
    <row r="90" spans="1:26" ht="15" customHeight="1">
      <c r="A90" s="22" t="s">
        <v>168</v>
      </c>
      <c r="B90" s="25" t="s">
        <v>152</v>
      </c>
      <c r="C90" s="25"/>
      <c r="D90" s="25" t="s">
        <v>141</v>
      </c>
      <c r="E90" s="25"/>
      <c r="F90" s="120" t="s">
        <v>116</v>
      </c>
      <c r="G90" s="120" t="s">
        <v>116</v>
      </c>
      <c r="H90" s="121" t="s">
        <v>116</v>
      </c>
      <c r="J90" t="e">
        <f t="shared" ca="1" si="20"/>
        <v>#NAME?</v>
      </c>
      <c r="K90" t="e">
        <f t="shared" ca="1" si="20"/>
        <v>#NAME?</v>
      </c>
      <c r="L90" t="e">
        <f t="shared" ca="1" si="20"/>
        <v>#NAME?</v>
      </c>
      <c r="M90" t="e">
        <f t="shared" ca="1" si="20"/>
        <v>#NAME?</v>
      </c>
      <c r="N90" t="e">
        <f t="shared" ca="1" si="20"/>
        <v>#NAME?</v>
      </c>
      <c r="O90" t="e">
        <f t="shared" ca="1" si="20"/>
        <v>#NAME?</v>
      </c>
      <c r="P90" t="e">
        <f t="shared" ca="1" si="20"/>
        <v>#NAME?</v>
      </c>
      <c r="R90" t="e">
        <f t="shared" ca="1" si="21"/>
        <v>#NAME?</v>
      </c>
      <c r="S90" t="e">
        <f t="shared" ca="1" si="21"/>
        <v>#NAME?</v>
      </c>
      <c r="T90" t="e">
        <f t="shared" ca="1" si="21"/>
        <v>#NAME?</v>
      </c>
      <c r="U90" t="e">
        <f t="shared" ca="1" si="21"/>
        <v>#NAME?</v>
      </c>
      <c r="V90" t="e">
        <f t="shared" ca="1" si="21"/>
        <v>#NAME?</v>
      </c>
      <c r="W90" t="e">
        <f t="shared" ca="1" si="21"/>
        <v>#NAME?</v>
      </c>
      <c r="X90" t="e">
        <f t="shared" ca="1" si="21"/>
        <v>#NAME?</v>
      </c>
      <c r="Z90" s="15">
        <v>1</v>
      </c>
    </row>
    <row r="91" spans="1:26" ht="15" customHeight="1">
      <c r="A91" s="22" t="s">
        <v>169</v>
      </c>
      <c r="B91" s="127" t="s">
        <v>165</v>
      </c>
      <c r="C91" s="128"/>
      <c r="D91" s="128" t="s">
        <v>166</v>
      </c>
      <c r="E91" s="128"/>
      <c r="F91" s="128" t="s">
        <v>166</v>
      </c>
      <c r="G91" s="128"/>
      <c r="H91" s="129" t="s">
        <v>166</v>
      </c>
      <c r="J91" t="e">
        <f t="shared" ca="1" si="20"/>
        <v>#NAME?</v>
      </c>
      <c r="K91" t="e">
        <f t="shared" ca="1" si="20"/>
        <v>#NAME?</v>
      </c>
      <c r="L91" t="e">
        <f t="shared" ca="1" si="20"/>
        <v>#NAME?</v>
      </c>
      <c r="M91" t="e">
        <f t="shared" ca="1" si="20"/>
        <v>#NAME?</v>
      </c>
      <c r="N91" t="e">
        <f t="shared" ca="1" si="20"/>
        <v>#NAME?</v>
      </c>
      <c r="O91" t="e">
        <f t="shared" ca="1" si="20"/>
        <v>#NAME?</v>
      </c>
      <c r="P91" t="e">
        <f t="shared" ca="1" si="20"/>
        <v>#NAME?</v>
      </c>
      <c r="R91" t="e">
        <f t="shared" ca="1" si="21"/>
        <v>#NAME?</v>
      </c>
      <c r="S91" t="e">
        <f t="shared" ca="1" si="21"/>
        <v>#NAME?</v>
      </c>
      <c r="T91" t="e">
        <f t="shared" ca="1" si="21"/>
        <v>#NAME?</v>
      </c>
      <c r="U91" t="e">
        <f t="shared" ca="1" si="21"/>
        <v>#NAME?</v>
      </c>
      <c r="V91" t="e">
        <f t="shared" ca="1" si="21"/>
        <v>#NAME?</v>
      </c>
      <c r="W91" t="e">
        <f t="shared" ca="1" si="21"/>
        <v>#NAME?</v>
      </c>
      <c r="X91" t="e">
        <f t="shared" ca="1" si="21"/>
        <v>#NAME?</v>
      </c>
      <c r="Z91" s="15">
        <v>1</v>
      </c>
    </row>
    <row r="92" spans="1:26" ht="15" customHeight="1">
      <c r="A92" s="22" t="s">
        <v>171</v>
      </c>
      <c r="B92" s="25"/>
      <c r="C92" s="121" t="s">
        <v>116</v>
      </c>
      <c r="D92" s="110" t="s">
        <v>139</v>
      </c>
      <c r="E92" s="25"/>
      <c r="F92" s="110" t="s">
        <v>139</v>
      </c>
      <c r="G92" s="25"/>
      <c r="H92" s="25"/>
      <c r="J92" t="e">
        <f t="shared" ca="1" si="20"/>
        <v>#NAME?</v>
      </c>
      <c r="K92" t="e">
        <f t="shared" ca="1" si="20"/>
        <v>#NAME?</v>
      </c>
      <c r="L92" t="e">
        <f t="shared" ca="1" si="20"/>
        <v>#NAME?</v>
      </c>
      <c r="M92" t="e">
        <f t="shared" ca="1" si="20"/>
        <v>#NAME?</v>
      </c>
      <c r="N92" t="e">
        <f t="shared" ca="1" si="20"/>
        <v>#NAME?</v>
      </c>
      <c r="O92" t="e">
        <f t="shared" ca="1" si="20"/>
        <v>#NAME?</v>
      </c>
      <c r="P92" t="e">
        <f t="shared" ca="1" si="20"/>
        <v>#NAME?</v>
      </c>
      <c r="R92" t="e">
        <f t="shared" ca="1" si="21"/>
        <v>#NAME?</v>
      </c>
      <c r="S92" t="e">
        <f t="shared" ca="1" si="21"/>
        <v>#NAME?</v>
      </c>
      <c r="T92" t="e">
        <f t="shared" ca="1" si="21"/>
        <v>#NAME?</v>
      </c>
      <c r="U92" t="e">
        <f t="shared" ca="1" si="21"/>
        <v>#NAME?</v>
      </c>
      <c r="V92" t="e">
        <f t="shared" ca="1" si="21"/>
        <v>#NAME?</v>
      </c>
      <c r="W92" t="e">
        <f t="shared" ca="1" si="21"/>
        <v>#NAME?</v>
      </c>
      <c r="X92" t="e">
        <f t="shared" ca="1" si="21"/>
        <v>#NAME?</v>
      </c>
      <c r="Z92" s="15">
        <v>0.75</v>
      </c>
    </row>
    <row r="93" spans="1:26">
      <c r="A93" s="22" t="s">
        <v>174</v>
      </c>
      <c r="B93" s="28" t="s">
        <v>115</v>
      </c>
      <c r="C93" s="25"/>
      <c r="D93" s="25" t="s">
        <v>141</v>
      </c>
      <c r="E93" s="121" t="s">
        <v>116</v>
      </c>
      <c r="F93" s="25"/>
      <c r="G93" s="25"/>
      <c r="H93" s="25"/>
      <c r="J93" t="e">
        <f t="shared" ca="1" si="20"/>
        <v>#NAME?</v>
      </c>
      <c r="K93" t="e">
        <f t="shared" ca="1" si="20"/>
        <v>#NAME?</v>
      </c>
      <c r="L93" t="e">
        <f t="shared" ca="1" si="20"/>
        <v>#NAME?</v>
      </c>
      <c r="M93" t="e">
        <f t="shared" ca="1" si="20"/>
        <v>#NAME?</v>
      </c>
      <c r="N93" t="e">
        <f t="shared" ca="1" si="20"/>
        <v>#NAME?</v>
      </c>
      <c r="O93" t="e">
        <f t="shared" ca="1" si="20"/>
        <v>#NAME?</v>
      </c>
      <c r="P93" t="e">
        <f t="shared" ca="1" si="20"/>
        <v>#NAME?</v>
      </c>
      <c r="R93" t="e">
        <f t="shared" ca="1" si="21"/>
        <v>#NAME?</v>
      </c>
      <c r="S93" t="e">
        <f t="shared" ca="1" si="21"/>
        <v>#NAME?</v>
      </c>
      <c r="T93" t="e">
        <f t="shared" ca="1" si="21"/>
        <v>#NAME?</v>
      </c>
      <c r="U93" t="e">
        <f t="shared" ca="1" si="21"/>
        <v>#NAME?</v>
      </c>
      <c r="V93" t="e">
        <f t="shared" ca="1" si="21"/>
        <v>#NAME?</v>
      </c>
      <c r="W93" t="e">
        <f t="shared" ca="1" si="21"/>
        <v>#NAME?</v>
      </c>
      <c r="X93" t="e">
        <f t="shared" ca="1" si="21"/>
        <v>#NAME?</v>
      </c>
      <c r="Z93" s="15">
        <v>0.75</v>
      </c>
    </row>
    <row r="94" spans="1:26">
      <c r="A94" s="22" t="s">
        <v>175</v>
      </c>
      <c r="B94" s="25" t="s">
        <v>152</v>
      </c>
      <c r="C94" s="25" t="s">
        <v>152</v>
      </c>
      <c r="D94" s="25"/>
      <c r="E94" s="25"/>
      <c r="F94" s="25"/>
      <c r="G94" s="110" t="s">
        <v>142</v>
      </c>
      <c r="H94" s="28" t="s">
        <v>119</v>
      </c>
      <c r="J94" t="e">
        <f t="shared" ca="1" si="20"/>
        <v>#NAME?</v>
      </c>
      <c r="K94" t="e">
        <f t="shared" ca="1" si="20"/>
        <v>#NAME?</v>
      </c>
      <c r="L94" t="e">
        <f t="shared" ca="1" si="20"/>
        <v>#NAME?</v>
      </c>
      <c r="M94" t="e">
        <f t="shared" ca="1" si="20"/>
        <v>#NAME?</v>
      </c>
      <c r="N94" t="e">
        <f t="shared" ca="1" si="20"/>
        <v>#NAME?</v>
      </c>
      <c r="O94" t="e">
        <f t="shared" ca="1" si="20"/>
        <v>#NAME?</v>
      </c>
      <c r="P94" t="e">
        <f t="shared" ca="1" si="20"/>
        <v>#NAME?</v>
      </c>
      <c r="R94" t="e">
        <f t="shared" ca="1" si="21"/>
        <v>#NAME?</v>
      </c>
      <c r="S94" t="e">
        <f t="shared" ca="1" si="21"/>
        <v>#NAME?</v>
      </c>
      <c r="T94" t="e">
        <f t="shared" ca="1" si="21"/>
        <v>#NAME?</v>
      </c>
      <c r="U94" t="e">
        <f t="shared" ca="1" si="21"/>
        <v>#NAME?</v>
      </c>
      <c r="V94" t="e">
        <f t="shared" ca="1" si="21"/>
        <v>#NAME?</v>
      </c>
      <c r="W94" t="e">
        <f t="shared" ca="1" si="21"/>
        <v>#NAME?</v>
      </c>
      <c r="X94" t="e">
        <f t="shared" ca="1" si="21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25"/>
      <c r="H95" s="110" t="s">
        <v>142</v>
      </c>
      <c r="J95" t="e">
        <f t="shared" ca="1" si="20"/>
        <v>#NAME?</v>
      </c>
      <c r="K95" t="e">
        <f t="shared" ca="1" si="20"/>
        <v>#NAME?</v>
      </c>
      <c r="L95" t="e">
        <f t="shared" ca="1" si="20"/>
        <v>#NAME?</v>
      </c>
      <c r="M95" t="e">
        <f t="shared" ca="1" si="20"/>
        <v>#NAME?</v>
      </c>
      <c r="N95" t="e">
        <f t="shared" ca="1" si="20"/>
        <v>#NAME?</v>
      </c>
      <c r="O95" t="e">
        <f t="shared" ca="1" si="20"/>
        <v>#NAME?</v>
      </c>
      <c r="P95" t="e">
        <f t="shared" ca="1" si="20"/>
        <v>#NAME?</v>
      </c>
      <c r="R95" t="e">
        <f t="shared" ca="1" si="21"/>
        <v>#NAME?</v>
      </c>
      <c r="S95" t="e">
        <f t="shared" ca="1" si="21"/>
        <v>#NAME?</v>
      </c>
      <c r="T95" t="e">
        <f t="shared" ca="1" si="21"/>
        <v>#NAME?</v>
      </c>
      <c r="U95" t="e">
        <f t="shared" ca="1" si="21"/>
        <v>#NAME?</v>
      </c>
      <c r="V95" t="e">
        <f t="shared" ca="1" si="21"/>
        <v>#NAME?</v>
      </c>
      <c r="W95" t="e">
        <f t="shared" ca="1" si="21"/>
        <v>#NAME?</v>
      </c>
      <c r="X95" t="e">
        <f t="shared" ca="1" si="21"/>
        <v>#NAME?</v>
      </c>
      <c r="Z95" s="15">
        <v>0.25</v>
      </c>
    </row>
    <row r="96" spans="1:26" ht="15" customHeight="1">
      <c r="A96" s="22" t="s">
        <v>177</v>
      </c>
      <c r="B96" s="127" t="s">
        <v>18</v>
      </c>
      <c r="C96" s="128"/>
      <c r="D96" s="128" t="s">
        <v>134</v>
      </c>
      <c r="E96" s="128"/>
      <c r="F96" s="128" t="s">
        <v>134</v>
      </c>
      <c r="G96" s="128"/>
      <c r="H96" s="129" t="s">
        <v>134</v>
      </c>
      <c r="J96" t="e">
        <f t="shared" ca="1" si="20"/>
        <v>#NAME?</v>
      </c>
      <c r="K96" t="e">
        <f t="shared" ca="1" si="20"/>
        <v>#NAME?</v>
      </c>
      <c r="L96" t="e">
        <f t="shared" ca="1" si="20"/>
        <v>#NAME?</v>
      </c>
      <c r="M96" t="e">
        <f t="shared" ca="1" si="20"/>
        <v>#NAME?</v>
      </c>
      <c r="N96" t="e">
        <f t="shared" ca="1" si="20"/>
        <v>#NAME?</v>
      </c>
      <c r="O96" t="e">
        <f t="shared" ca="1" si="20"/>
        <v>#NAME?</v>
      </c>
      <c r="P96" t="e">
        <f t="shared" ca="1" si="20"/>
        <v>#NAME?</v>
      </c>
      <c r="R96" t="e">
        <f t="shared" ca="1" si="21"/>
        <v>#NAME?</v>
      </c>
      <c r="S96" t="e">
        <f t="shared" ca="1" si="21"/>
        <v>#NAME?</v>
      </c>
      <c r="T96" t="e">
        <f t="shared" ca="1" si="21"/>
        <v>#NAME?</v>
      </c>
      <c r="U96" t="e">
        <f t="shared" ca="1" si="21"/>
        <v>#NAME?</v>
      </c>
      <c r="V96" t="e">
        <f t="shared" ca="1" si="21"/>
        <v>#NAME?</v>
      </c>
      <c r="W96" t="e">
        <f t="shared" ca="1" si="21"/>
        <v>#NAME?</v>
      </c>
      <c r="X96" t="e">
        <f t="shared" ca="1" si="21"/>
        <v>#NAME?</v>
      </c>
      <c r="Z96" s="15">
        <v>0.75</v>
      </c>
    </row>
    <row r="97" spans="1:26" ht="15" customHeight="1">
      <c r="A97" s="22" t="s">
        <v>178</v>
      </c>
      <c r="B97" s="25"/>
      <c r="C97" s="121" t="s">
        <v>118</v>
      </c>
      <c r="D97" s="25" t="s">
        <v>141</v>
      </c>
      <c r="E97" s="110" t="s">
        <v>142</v>
      </c>
      <c r="F97" s="121" t="s">
        <v>116</v>
      </c>
      <c r="G97" s="28" t="s">
        <v>115</v>
      </c>
      <c r="H97" s="25"/>
      <c r="J97" t="e">
        <f t="shared" ca="1" si="20"/>
        <v>#NAME?</v>
      </c>
      <c r="K97" t="e">
        <f t="shared" ca="1" si="20"/>
        <v>#NAME?</v>
      </c>
      <c r="L97" t="e">
        <f t="shared" ca="1" si="20"/>
        <v>#NAME?</v>
      </c>
      <c r="M97" t="e">
        <f t="shared" ca="1" si="20"/>
        <v>#NAME?</v>
      </c>
      <c r="N97" t="e">
        <f t="shared" ca="1" si="20"/>
        <v>#NAME?</v>
      </c>
      <c r="O97" t="e">
        <f t="shared" ca="1" si="20"/>
        <v>#NAME?</v>
      </c>
      <c r="P97" t="e">
        <f t="shared" ca="1" si="20"/>
        <v>#NAME?</v>
      </c>
      <c r="R97" t="e">
        <f t="shared" ca="1" si="21"/>
        <v>#NAME?</v>
      </c>
      <c r="S97" t="e">
        <f t="shared" ca="1" si="21"/>
        <v>#NAME?</v>
      </c>
      <c r="T97" t="e">
        <f t="shared" ca="1" si="21"/>
        <v>#NAME?</v>
      </c>
      <c r="U97" t="e">
        <f t="shared" ca="1" si="21"/>
        <v>#NAME?</v>
      </c>
      <c r="V97" t="e">
        <f t="shared" ca="1" si="21"/>
        <v>#NAME?</v>
      </c>
      <c r="W97" t="e">
        <f t="shared" ca="1" si="21"/>
        <v>#NAME?</v>
      </c>
      <c r="X97" t="e">
        <f t="shared" ca="1" si="21"/>
        <v>#NAME?</v>
      </c>
      <c r="Z97" s="15">
        <v>1</v>
      </c>
    </row>
    <row r="98" spans="1:26">
      <c r="A98" s="106" t="s">
        <v>179</v>
      </c>
      <c r="B98" s="107" t="str">
        <f t="shared" ref="B98:H98" si="22">B58</f>
        <v>Mon 8 Jun</v>
      </c>
      <c r="C98" s="107" t="str">
        <f t="shared" si="22"/>
        <v>Tues 9 Jun</v>
      </c>
      <c r="D98" s="107" t="str">
        <f t="shared" si="22"/>
        <v>Wed 10 Jun</v>
      </c>
      <c r="E98" s="107" t="str">
        <f t="shared" si="22"/>
        <v>Thu 11 Jun</v>
      </c>
      <c r="F98" s="107" t="str">
        <f t="shared" si="22"/>
        <v>Fri 12 Jun</v>
      </c>
      <c r="G98" s="107" t="str">
        <f t="shared" si="22"/>
        <v>Sat 13 Jun</v>
      </c>
      <c r="H98" s="107" t="str">
        <f t="shared" si="22"/>
        <v>Sun 14 Jun</v>
      </c>
      <c r="J98" t="e">
        <f t="shared" ca="1" si="17"/>
        <v>#NAME?</v>
      </c>
      <c r="K98" t="e">
        <f t="shared" ca="1" si="17"/>
        <v>#NAME?</v>
      </c>
      <c r="L98" t="e">
        <f t="shared" ca="1" si="17"/>
        <v>#NAME?</v>
      </c>
      <c r="M98" t="e">
        <f t="shared" ca="1" si="17"/>
        <v>#NAME?</v>
      </c>
      <c r="N98" t="e">
        <f t="shared" ca="1" si="17"/>
        <v>#NAME?</v>
      </c>
      <c r="O98" t="e">
        <f t="shared" ca="1" si="17"/>
        <v>#NAME?</v>
      </c>
      <c r="P98" t="e">
        <f t="shared" ca="1" si="17"/>
        <v>#NAME?</v>
      </c>
      <c r="R98" t="e">
        <f t="shared" ca="1" si="18"/>
        <v>#NAME?</v>
      </c>
      <c r="S98" t="e">
        <f t="shared" ca="1" si="18"/>
        <v>#NAME?</v>
      </c>
      <c r="T98" t="e">
        <f t="shared" ca="1" si="18"/>
        <v>#NAME?</v>
      </c>
      <c r="U98" t="e">
        <f t="shared" ca="1" si="18"/>
        <v>#NAME?</v>
      </c>
      <c r="V98" t="e">
        <f t="shared" ca="1" si="18"/>
        <v>#NAME?</v>
      </c>
      <c r="W98" t="e">
        <f t="shared" ca="1" si="18"/>
        <v>#NAME?</v>
      </c>
      <c r="X98" t="e">
        <f t="shared" ca="1" si="18"/>
        <v>#NAME?</v>
      </c>
      <c r="Z98" s="54">
        <f>SUM(Z76:Z97)</f>
        <v>18.25</v>
      </c>
    </row>
    <row r="99" spans="1:26">
      <c r="A99" s="22" t="s">
        <v>180</v>
      </c>
      <c r="B99" s="110" t="s">
        <v>182</v>
      </c>
      <c r="C99" s="110" t="s">
        <v>182</v>
      </c>
      <c r="D99" s="110" t="s">
        <v>182</v>
      </c>
      <c r="E99" s="110" t="s">
        <v>116</v>
      </c>
      <c r="F99" s="110" t="s">
        <v>116</v>
      </c>
      <c r="G99" s="110" t="s">
        <v>116</v>
      </c>
      <c r="H99" s="25"/>
      <c r="J99" t="e">
        <f t="shared" ca="1" si="17"/>
        <v>#NAME?</v>
      </c>
      <c r="K99" t="e">
        <f t="shared" ca="1" si="17"/>
        <v>#NAME?</v>
      </c>
      <c r="L99" t="e">
        <f t="shared" ca="1" si="17"/>
        <v>#NAME?</v>
      </c>
      <c r="M99" t="e">
        <f t="shared" ca="1" si="17"/>
        <v>#NAME?</v>
      </c>
      <c r="N99" t="e">
        <f t="shared" ca="1" si="17"/>
        <v>#NAME?</v>
      </c>
      <c r="O99" t="e">
        <f t="shared" ca="1" si="17"/>
        <v>#NAME?</v>
      </c>
      <c r="P99" t="e">
        <f t="shared" ca="1" si="17"/>
        <v>#NAME?</v>
      </c>
      <c r="R99" t="e">
        <f t="shared" ca="1" si="18"/>
        <v>#NAME?</v>
      </c>
      <c r="S99" t="e">
        <f t="shared" ca="1" si="18"/>
        <v>#NAME?</v>
      </c>
      <c r="T99" t="e">
        <f t="shared" ca="1" si="18"/>
        <v>#NAME?</v>
      </c>
      <c r="U99" t="e">
        <f t="shared" ca="1" si="18"/>
        <v>#NAME?</v>
      </c>
      <c r="V99" t="e">
        <f t="shared" ca="1" si="18"/>
        <v>#NAME?</v>
      </c>
      <c r="W99" t="e">
        <f t="shared" ca="1" si="18"/>
        <v>#NAME?</v>
      </c>
      <c r="X99" t="e">
        <f t="shared" ca="1" si="18"/>
        <v>#NAME?</v>
      </c>
      <c r="Z99" s="15">
        <v>1</v>
      </c>
    </row>
    <row r="100" spans="1:26">
      <c r="A100" s="22" t="s">
        <v>183</v>
      </c>
      <c r="B100" s="110" t="s">
        <v>116</v>
      </c>
      <c r="C100" s="110" t="s">
        <v>116</v>
      </c>
      <c r="D100" s="110" t="s">
        <v>116</v>
      </c>
      <c r="E100" s="25"/>
      <c r="F100" s="25"/>
      <c r="G100" s="25" t="s">
        <v>152</v>
      </c>
      <c r="H100" s="25" t="s">
        <v>152</v>
      </c>
      <c r="J100" t="e">
        <f t="shared" ca="1" si="17"/>
        <v>#NAME?</v>
      </c>
      <c r="K100" t="e">
        <f t="shared" ca="1" si="17"/>
        <v>#NAME?</v>
      </c>
      <c r="L100" t="e">
        <f t="shared" ca="1" si="17"/>
        <v>#NAME?</v>
      </c>
      <c r="M100" t="e">
        <f t="shared" ca="1" si="17"/>
        <v>#NAME?</v>
      </c>
      <c r="N100" t="e">
        <f t="shared" ca="1" si="17"/>
        <v>#NAME?</v>
      </c>
      <c r="O100" t="e">
        <f t="shared" ca="1" si="17"/>
        <v>#NAME?</v>
      </c>
      <c r="P100" t="e">
        <f t="shared" ca="1" si="17"/>
        <v>#NAME?</v>
      </c>
      <c r="R100" t="e">
        <f t="shared" ca="1" si="18"/>
        <v>#NAME?</v>
      </c>
      <c r="S100" t="e">
        <f t="shared" ca="1" si="18"/>
        <v>#NAME?</v>
      </c>
      <c r="T100" t="e">
        <f t="shared" ca="1" si="18"/>
        <v>#NAME?</v>
      </c>
      <c r="U100" t="e">
        <f t="shared" ca="1" si="18"/>
        <v>#NAME?</v>
      </c>
      <c r="V100" t="e">
        <f t="shared" ca="1" si="18"/>
        <v>#NAME?</v>
      </c>
      <c r="W100" t="e">
        <f t="shared" ca="1" si="18"/>
        <v>#NAME?</v>
      </c>
      <c r="X100" t="e">
        <f t="shared" ca="1" si="18"/>
        <v>#NAME?</v>
      </c>
      <c r="Z100" s="15">
        <v>1</v>
      </c>
    </row>
    <row r="101" spans="1:26">
      <c r="A101" s="106" t="s">
        <v>184</v>
      </c>
      <c r="B101" s="107" t="str">
        <f t="shared" ref="B101:H101" si="23">B58</f>
        <v>Mon 8 Jun</v>
      </c>
      <c r="C101" s="107" t="str">
        <f t="shared" si="23"/>
        <v>Tues 9 Jun</v>
      </c>
      <c r="D101" s="107" t="str">
        <f t="shared" si="23"/>
        <v>Wed 10 Jun</v>
      </c>
      <c r="E101" s="107" t="str">
        <f t="shared" si="23"/>
        <v>Thu 11 Jun</v>
      </c>
      <c r="F101" s="107" t="str">
        <f t="shared" si="23"/>
        <v>Fri 12 Jun</v>
      </c>
      <c r="G101" s="107" t="str">
        <f t="shared" si="23"/>
        <v>Sat 13 Jun</v>
      </c>
      <c r="H101" s="107" t="str">
        <f t="shared" si="23"/>
        <v>Sun 14 Jun</v>
      </c>
      <c r="J101" t="e">
        <f t="shared" ca="1" si="17"/>
        <v>#NAME?</v>
      </c>
      <c r="K101" t="e">
        <f t="shared" ref="K101:P137" ca="1" si="24">colorindex(C101)</f>
        <v>#NAME?</v>
      </c>
      <c r="L101" t="e">
        <f t="shared" ca="1" si="24"/>
        <v>#NAME?</v>
      </c>
      <c r="M101" t="e">
        <f t="shared" ca="1" si="24"/>
        <v>#NAME?</v>
      </c>
      <c r="N101" t="e">
        <f t="shared" ca="1" si="24"/>
        <v>#NAME?</v>
      </c>
      <c r="O101" t="e">
        <f t="shared" ca="1" si="24"/>
        <v>#NAME?</v>
      </c>
      <c r="P101" t="e">
        <f t="shared" ca="1" si="24"/>
        <v>#NAME?</v>
      </c>
      <c r="R101" t="e">
        <f t="shared" ca="1" si="18"/>
        <v>#NAME?</v>
      </c>
      <c r="S101" t="e">
        <f t="shared" ref="S101:X137" ca="1" si="25">ShiftIndex(C101)</f>
        <v>#NAME?</v>
      </c>
      <c r="T101" t="e">
        <f t="shared" ca="1" si="25"/>
        <v>#NAME?</v>
      </c>
      <c r="U101" t="e">
        <f t="shared" ca="1" si="25"/>
        <v>#NAME?</v>
      </c>
      <c r="V101" t="e">
        <f t="shared" ca="1" si="25"/>
        <v>#NAME?</v>
      </c>
      <c r="W101" t="e">
        <f t="shared" ca="1" si="25"/>
        <v>#NAME?</v>
      </c>
      <c r="X101" t="e">
        <f t="shared" ca="1" si="25"/>
        <v>#NAME?</v>
      </c>
      <c r="Z101" s="53">
        <f>SUM(Z99:Z100)</f>
        <v>2</v>
      </c>
    </row>
    <row r="102" spans="1:26">
      <c r="A102" s="22" t="s">
        <v>185</v>
      </c>
      <c r="B102" s="127" t="s">
        <v>29</v>
      </c>
      <c r="C102" s="128"/>
      <c r="D102" s="128"/>
      <c r="E102" s="128"/>
      <c r="F102" s="128"/>
      <c r="G102" s="128"/>
      <c r="H102" s="129"/>
      <c r="J102" t="e">
        <f t="shared" ref="J102:M140" ca="1" si="26">colorindex(B102)</f>
        <v>#NAME?</v>
      </c>
      <c r="K102" t="e">
        <f t="shared" ca="1" si="24"/>
        <v>#NAME?</v>
      </c>
      <c r="L102" t="e">
        <f t="shared" ca="1" si="24"/>
        <v>#NAME?</v>
      </c>
      <c r="M102" t="e">
        <f t="shared" ca="1" si="24"/>
        <v>#NAME?</v>
      </c>
      <c r="N102" t="e">
        <f t="shared" ca="1" si="24"/>
        <v>#NAME?</v>
      </c>
      <c r="O102" t="e">
        <f t="shared" ca="1" si="24"/>
        <v>#NAME?</v>
      </c>
      <c r="P102" t="e">
        <f t="shared" ca="1" si="24"/>
        <v>#NAME?</v>
      </c>
      <c r="R102" t="e">
        <f t="shared" ref="R102:U140" ca="1" si="27">ShiftIndex(B102)</f>
        <v>#NAME?</v>
      </c>
      <c r="S102" t="e">
        <f t="shared" ca="1" si="25"/>
        <v>#NAME?</v>
      </c>
      <c r="T102" t="e">
        <f t="shared" ca="1" si="25"/>
        <v>#NAME?</v>
      </c>
      <c r="U102" t="e">
        <f t="shared" ca="1" si="25"/>
        <v>#NAME?</v>
      </c>
      <c r="V102" t="e">
        <f t="shared" ca="1" si="25"/>
        <v>#NAME?</v>
      </c>
      <c r="W102" t="e">
        <f t="shared" ca="1" si="25"/>
        <v>#NAME?</v>
      </c>
      <c r="X102" t="e">
        <f t="shared" ca="1" si="25"/>
        <v>#NAME?</v>
      </c>
      <c r="Z102" s="15">
        <v>1</v>
      </c>
    </row>
    <row r="103" spans="1:26">
      <c r="A103" s="22" t="s">
        <v>187</v>
      </c>
      <c r="B103" s="127" t="s">
        <v>29</v>
      </c>
      <c r="C103" s="128"/>
      <c r="D103" s="128"/>
      <c r="E103" s="128"/>
      <c r="F103" s="128"/>
      <c r="G103" s="128"/>
      <c r="H103" s="129"/>
      <c r="J103" t="e">
        <f t="shared" ca="1" si="26"/>
        <v>#NAME?</v>
      </c>
      <c r="K103" t="e">
        <f t="shared" ca="1" si="24"/>
        <v>#NAME?</v>
      </c>
      <c r="L103" t="e">
        <f t="shared" ca="1" si="24"/>
        <v>#NAME?</v>
      </c>
      <c r="M103" t="e">
        <f t="shared" ca="1" si="24"/>
        <v>#NAME?</v>
      </c>
      <c r="N103" t="e">
        <f t="shared" ca="1" si="24"/>
        <v>#NAME?</v>
      </c>
      <c r="O103" t="e">
        <f t="shared" ca="1" si="24"/>
        <v>#NAME?</v>
      </c>
      <c r="P103" t="e">
        <f t="shared" ca="1" si="24"/>
        <v>#NAME?</v>
      </c>
      <c r="R103" t="e">
        <f t="shared" ca="1" si="27"/>
        <v>#NAME?</v>
      </c>
      <c r="S103" t="e">
        <f t="shared" ca="1" si="25"/>
        <v>#NAME?</v>
      </c>
      <c r="T103" t="e">
        <f t="shared" ca="1" si="25"/>
        <v>#NAME?</v>
      </c>
      <c r="U103" t="e">
        <f t="shared" ca="1" si="25"/>
        <v>#NAME?</v>
      </c>
      <c r="V103" t="e">
        <f t="shared" ca="1" si="25"/>
        <v>#NAME?</v>
      </c>
      <c r="W103" t="e">
        <f t="shared" ca="1" si="25"/>
        <v>#NAME?</v>
      </c>
      <c r="X103" t="e">
        <f t="shared" ca="1" si="25"/>
        <v>#NAME?</v>
      </c>
      <c r="Z103" s="15">
        <v>1</v>
      </c>
    </row>
    <row r="104" spans="1:26">
      <c r="A104" s="22" t="s">
        <v>188</v>
      </c>
      <c r="B104" s="121" t="s">
        <v>118</v>
      </c>
      <c r="C104" s="91" t="s">
        <v>118</v>
      </c>
      <c r="D104" s="110" t="s">
        <v>142</v>
      </c>
      <c r="E104" s="25"/>
      <c r="F104" s="25"/>
      <c r="G104" s="44" t="s">
        <v>189</v>
      </c>
      <c r="H104" s="101" t="s">
        <v>116</v>
      </c>
      <c r="J104" t="e">
        <f t="shared" ca="1" si="26"/>
        <v>#NAME?</v>
      </c>
      <c r="K104" t="e">
        <f t="shared" ca="1" si="24"/>
        <v>#NAME?</v>
      </c>
      <c r="L104" t="e">
        <f t="shared" ca="1" si="24"/>
        <v>#NAME?</v>
      </c>
      <c r="M104" t="e">
        <f t="shared" ca="1" si="24"/>
        <v>#NAME?</v>
      </c>
      <c r="N104" t="e">
        <f t="shared" ca="1" si="24"/>
        <v>#NAME?</v>
      </c>
      <c r="O104" t="e">
        <f t="shared" ca="1" si="24"/>
        <v>#NAME?</v>
      </c>
      <c r="P104" t="e">
        <f t="shared" ca="1" si="24"/>
        <v>#NAME?</v>
      </c>
      <c r="R104" t="e">
        <f t="shared" ca="1" si="27"/>
        <v>#NAME?</v>
      </c>
      <c r="S104" t="e">
        <f t="shared" ca="1" si="25"/>
        <v>#NAME?</v>
      </c>
      <c r="T104" t="e">
        <f t="shared" ca="1" si="25"/>
        <v>#NAME?</v>
      </c>
      <c r="U104" t="e">
        <f t="shared" ca="1" si="25"/>
        <v>#NAME?</v>
      </c>
      <c r="V104" t="e">
        <f t="shared" ca="1" si="25"/>
        <v>#NAME?</v>
      </c>
      <c r="W104" t="e">
        <f t="shared" ca="1" si="25"/>
        <v>#NAME?</v>
      </c>
      <c r="X104" t="e">
        <f t="shared" ca="1" si="25"/>
        <v>#NAME?</v>
      </c>
      <c r="Z104" s="15">
        <v>1</v>
      </c>
    </row>
    <row r="105" spans="1:26">
      <c r="A105" s="22" t="s">
        <v>190</v>
      </c>
      <c r="B105" s="91" t="s">
        <v>118</v>
      </c>
      <c r="C105" s="44" t="s">
        <v>186</v>
      </c>
      <c r="D105" s="25"/>
      <c r="E105" s="25" t="s">
        <v>152</v>
      </c>
      <c r="F105" s="25" t="s">
        <v>152</v>
      </c>
      <c r="G105" s="25"/>
      <c r="H105" s="25"/>
      <c r="J105" t="e">
        <f t="shared" ca="1" si="26"/>
        <v>#NAME?</v>
      </c>
      <c r="K105" t="e">
        <f t="shared" ca="1" si="24"/>
        <v>#NAME?</v>
      </c>
      <c r="L105" t="e">
        <f t="shared" ca="1" si="24"/>
        <v>#NAME?</v>
      </c>
      <c r="M105" t="e">
        <f t="shared" ca="1" si="24"/>
        <v>#NAME?</v>
      </c>
      <c r="N105" t="e">
        <f t="shared" ca="1" si="24"/>
        <v>#NAME?</v>
      </c>
      <c r="O105" t="e">
        <f t="shared" ca="1" si="24"/>
        <v>#NAME?</v>
      </c>
      <c r="P105" t="e">
        <f t="shared" ca="1" si="24"/>
        <v>#NAME?</v>
      </c>
      <c r="R105" t="e">
        <f t="shared" ca="1" si="27"/>
        <v>#NAME?</v>
      </c>
      <c r="S105" t="e">
        <f t="shared" ca="1" si="25"/>
        <v>#NAME?</v>
      </c>
      <c r="T105" t="e">
        <f t="shared" ca="1" si="25"/>
        <v>#NAME?</v>
      </c>
      <c r="U105" t="e">
        <f t="shared" ca="1" si="25"/>
        <v>#NAME?</v>
      </c>
      <c r="V105" t="e">
        <f t="shared" ca="1" si="25"/>
        <v>#NAME?</v>
      </c>
      <c r="W105" t="e">
        <f t="shared" ca="1" si="25"/>
        <v>#NAME?</v>
      </c>
      <c r="X105" t="e">
        <f t="shared" ca="1" si="25"/>
        <v>#NAME?</v>
      </c>
      <c r="Z105" s="15">
        <v>1</v>
      </c>
    </row>
    <row r="106" spans="1:26">
      <c r="A106" s="22" t="s">
        <v>191</v>
      </c>
      <c r="B106" s="91" t="s">
        <v>118</v>
      </c>
      <c r="C106" s="121" t="s">
        <v>118</v>
      </c>
      <c r="D106" s="91" t="s">
        <v>118</v>
      </c>
      <c r="E106" s="91" t="s">
        <v>118</v>
      </c>
      <c r="F106" s="25"/>
      <c r="G106" s="127" t="s">
        <v>20</v>
      </c>
      <c r="H106" s="129"/>
      <c r="J106" t="e">
        <f t="shared" ca="1" si="26"/>
        <v>#NAME?</v>
      </c>
      <c r="K106" t="e">
        <f t="shared" ca="1" si="24"/>
        <v>#NAME?</v>
      </c>
      <c r="L106" t="e">
        <f t="shared" ca="1" si="24"/>
        <v>#NAME?</v>
      </c>
      <c r="M106" t="e">
        <f t="shared" ca="1" si="24"/>
        <v>#NAME?</v>
      </c>
      <c r="N106" t="e">
        <f t="shared" ca="1" si="24"/>
        <v>#NAME?</v>
      </c>
      <c r="O106" t="e">
        <f t="shared" ca="1" si="24"/>
        <v>#NAME?</v>
      </c>
      <c r="P106" t="e">
        <f t="shared" ca="1" si="24"/>
        <v>#NAME?</v>
      </c>
      <c r="R106" t="e">
        <f t="shared" ca="1" si="27"/>
        <v>#NAME?</v>
      </c>
      <c r="S106" t="e">
        <f t="shared" ca="1" si="25"/>
        <v>#NAME?</v>
      </c>
      <c r="T106" t="e">
        <f t="shared" ca="1" si="25"/>
        <v>#NAME?</v>
      </c>
      <c r="U106" t="e">
        <f t="shared" ca="1" si="25"/>
        <v>#NAME?</v>
      </c>
      <c r="V106" t="e">
        <f t="shared" ca="1" si="25"/>
        <v>#NAME?</v>
      </c>
      <c r="W106" t="e">
        <f t="shared" ca="1" si="25"/>
        <v>#NAME?</v>
      </c>
      <c r="X106" t="e">
        <f t="shared" ca="1" si="25"/>
        <v>#NAME?</v>
      </c>
      <c r="Z106" s="15">
        <v>1</v>
      </c>
    </row>
    <row r="107" spans="1:26">
      <c r="A107" s="22" t="s">
        <v>192</v>
      </c>
      <c r="B107" s="25" t="s">
        <v>152</v>
      </c>
      <c r="C107" s="25"/>
      <c r="D107" s="25"/>
      <c r="E107" s="110" t="s">
        <v>139</v>
      </c>
      <c r="F107" s="101" t="s">
        <v>116</v>
      </c>
      <c r="G107" s="25"/>
      <c r="H107" s="25"/>
      <c r="J107" t="e">
        <f t="shared" ca="1" si="26"/>
        <v>#NAME?</v>
      </c>
      <c r="K107" t="e">
        <f t="shared" ca="1" si="24"/>
        <v>#NAME?</v>
      </c>
      <c r="L107" t="e">
        <f t="shared" ca="1" si="24"/>
        <v>#NAME?</v>
      </c>
      <c r="M107" t="e">
        <f t="shared" ca="1" si="24"/>
        <v>#NAME?</v>
      </c>
      <c r="N107" t="e">
        <f t="shared" ca="1" si="24"/>
        <v>#NAME?</v>
      </c>
      <c r="O107" t="e">
        <f t="shared" ca="1" si="24"/>
        <v>#NAME?</v>
      </c>
      <c r="P107" t="e">
        <f t="shared" ca="1" si="24"/>
        <v>#NAME?</v>
      </c>
      <c r="R107" t="e">
        <f t="shared" ca="1" si="27"/>
        <v>#NAME?</v>
      </c>
      <c r="S107" t="e">
        <f t="shared" ca="1" si="25"/>
        <v>#NAME?</v>
      </c>
      <c r="T107" t="e">
        <f t="shared" ca="1" si="25"/>
        <v>#NAME?</v>
      </c>
      <c r="U107" t="e">
        <f t="shared" ca="1" si="25"/>
        <v>#NAME?</v>
      </c>
      <c r="V107" t="e">
        <f t="shared" ca="1" si="25"/>
        <v>#NAME?</v>
      </c>
      <c r="W107" t="e">
        <f t="shared" ca="1" si="25"/>
        <v>#NAME?</v>
      </c>
      <c r="X107" t="e">
        <f t="shared" ca="1" si="25"/>
        <v>#NAME?</v>
      </c>
      <c r="Z107" s="15">
        <v>0.875</v>
      </c>
    </row>
    <row r="108" spans="1:26">
      <c r="A108" s="22" t="s">
        <v>193</v>
      </c>
      <c r="B108" s="28" t="s">
        <v>115</v>
      </c>
      <c r="C108" s="25"/>
      <c r="D108" s="121" t="s">
        <v>118</v>
      </c>
      <c r="E108" s="101" t="s">
        <v>118</v>
      </c>
      <c r="F108" s="44" t="s">
        <v>186</v>
      </c>
      <c r="G108" s="25"/>
      <c r="H108" s="25"/>
      <c r="J108" t="e">
        <f t="shared" ca="1" si="26"/>
        <v>#NAME?</v>
      </c>
      <c r="K108" t="e">
        <f t="shared" ca="1" si="24"/>
        <v>#NAME?</v>
      </c>
      <c r="L108" t="e">
        <f t="shared" ca="1" si="24"/>
        <v>#NAME?</v>
      </c>
      <c r="M108" t="e">
        <f t="shared" ca="1" si="24"/>
        <v>#NAME?</v>
      </c>
      <c r="N108" t="e">
        <f t="shared" ca="1" si="24"/>
        <v>#NAME?</v>
      </c>
      <c r="O108" t="e">
        <f t="shared" ca="1" si="24"/>
        <v>#NAME?</v>
      </c>
      <c r="P108" t="e">
        <f t="shared" ca="1" si="24"/>
        <v>#NAME?</v>
      </c>
      <c r="R108" t="e">
        <f t="shared" ca="1" si="27"/>
        <v>#NAME?</v>
      </c>
      <c r="S108" t="e">
        <f t="shared" ca="1" si="25"/>
        <v>#NAME?</v>
      </c>
      <c r="T108" t="e">
        <f t="shared" ca="1" si="25"/>
        <v>#NAME?</v>
      </c>
      <c r="U108" t="e">
        <f t="shared" ca="1" si="25"/>
        <v>#NAME?</v>
      </c>
      <c r="V108" t="e">
        <f t="shared" ca="1" si="25"/>
        <v>#NAME?</v>
      </c>
      <c r="W108" t="e">
        <f t="shared" ca="1" si="25"/>
        <v>#NAME?</v>
      </c>
      <c r="X108" t="e">
        <f t="shared" ca="1" si="25"/>
        <v>#NAME?</v>
      </c>
      <c r="Z108" s="15">
        <v>1</v>
      </c>
    </row>
    <row r="109" spans="1:26" ht="14.45" customHeight="1">
      <c r="A109" s="22" t="s">
        <v>283</v>
      </c>
      <c r="B109" s="121" t="s">
        <v>118</v>
      </c>
      <c r="C109" s="101" t="s">
        <v>116</v>
      </c>
      <c r="D109" s="110" t="s">
        <v>139</v>
      </c>
      <c r="E109" s="25"/>
      <c r="F109" s="127" t="s">
        <v>20</v>
      </c>
      <c r="G109" s="128"/>
      <c r="H109" s="129"/>
      <c r="J109" t="e">
        <f t="shared" ca="1" si="26"/>
        <v>#NAME?</v>
      </c>
      <c r="K109" t="e">
        <f t="shared" ca="1" si="24"/>
        <v>#NAME?</v>
      </c>
      <c r="L109" t="e">
        <f t="shared" ca="1" si="24"/>
        <v>#NAME?</v>
      </c>
      <c r="M109" t="e">
        <f t="shared" ca="1" si="24"/>
        <v>#NAME?</v>
      </c>
      <c r="N109" t="e">
        <f t="shared" ca="1" si="24"/>
        <v>#NAME?</v>
      </c>
      <c r="O109" t="e">
        <f t="shared" ca="1" si="24"/>
        <v>#NAME?</v>
      </c>
      <c r="P109" t="e">
        <f t="shared" ca="1" si="24"/>
        <v>#NAME?</v>
      </c>
      <c r="R109" t="e">
        <f t="shared" ca="1" si="27"/>
        <v>#NAME?</v>
      </c>
      <c r="S109" t="e">
        <f t="shared" ca="1" si="25"/>
        <v>#NAME?</v>
      </c>
      <c r="T109" t="e">
        <f t="shared" ca="1" si="25"/>
        <v>#NAME?</v>
      </c>
      <c r="U109" t="e">
        <f t="shared" ca="1" si="25"/>
        <v>#NAME?</v>
      </c>
      <c r="V109" t="e">
        <f t="shared" ca="1" si="25"/>
        <v>#NAME?</v>
      </c>
      <c r="W109" t="e">
        <f t="shared" ca="1" si="25"/>
        <v>#NAME?</v>
      </c>
      <c r="X109" t="e">
        <f t="shared" ca="1" si="25"/>
        <v>#NAME?</v>
      </c>
      <c r="Z109" s="15">
        <v>1</v>
      </c>
    </row>
    <row r="110" spans="1:26">
      <c r="A110" s="22" t="s">
        <v>195</v>
      </c>
      <c r="B110" s="101" t="s">
        <v>118</v>
      </c>
      <c r="C110" s="44" t="s">
        <v>189</v>
      </c>
      <c r="D110" s="91" t="s">
        <v>116</v>
      </c>
      <c r="E110" s="25"/>
      <c r="F110" s="25"/>
      <c r="G110" s="25"/>
      <c r="H110" s="25"/>
      <c r="J110" t="e">
        <f t="shared" ca="1" si="26"/>
        <v>#NAME?</v>
      </c>
      <c r="K110" t="e">
        <f t="shared" ca="1" si="24"/>
        <v>#NAME?</v>
      </c>
      <c r="L110" t="e">
        <f t="shared" ca="1" si="24"/>
        <v>#NAME?</v>
      </c>
      <c r="M110" t="e">
        <f t="shared" ca="1" si="24"/>
        <v>#NAME?</v>
      </c>
      <c r="N110" t="e">
        <f t="shared" ca="1" si="24"/>
        <v>#NAME?</v>
      </c>
      <c r="O110" t="e">
        <f t="shared" ca="1" si="24"/>
        <v>#NAME?</v>
      </c>
      <c r="P110" t="e">
        <f t="shared" ca="1" si="24"/>
        <v>#NAME?</v>
      </c>
      <c r="R110" t="e">
        <f t="shared" ca="1" si="27"/>
        <v>#NAME?</v>
      </c>
      <c r="S110" t="e">
        <f t="shared" ca="1" si="25"/>
        <v>#NAME?</v>
      </c>
      <c r="T110" t="e">
        <f t="shared" ca="1" si="25"/>
        <v>#NAME?</v>
      </c>
      <c r="U110" t="e">
        <f t="shared" ca="1" si="25"/>
        <v>#NAME?</v>
      </c>
      <c r="V110" t="e">
        <f t="shared" ca="1" si="25"/>
        <v>#NAME?</v>
      </c>
      <c r="W110" t="e">
        <f t="shared" ca="1" si="25"/>
        <v>#NAME?</v>
      </c>
      <c r="X110" t="e">
        <f t="shared" ca="1" si="25"/>
        <v>#NAME?</v>
      </c>
      <c r="Z110" s="15">
        <v>0.5</v>
      </c>
    </row>
    <row r="111" spans="1:26">
      <c r="A111" s="42" t="s">
        <v>196</v>
      </c>
      <c r="B111" s="25" t="s">
        <v>152</v>
      </c>
      <c r="C111" s="25"/>
      <c r="D111" s="25"/>
      <c r="E111" s="25"/>
      <c r="F111" s="25"/>
      <c r="G111" s="91" t="s">
        <v>116</v>
      </c>
      <c r="H111" s="25"/>
      <c r="J111" t="e">
        <f t="shared" ca="1" si="26"/>
        <v>#NAME?</v>
      </c>
      <c r="K111" t="e">
        <f t="shared" ca="1" si="24"/>
        <v>#NAME?</v>
      </c>
      <c r="L111" t="e">
        <f t="shared" ca="1" si="24"/>
        <v>#NAME?</v>
      </c>
      <c r="M111" t="e">
        <f t="shared" ca="1" si="24"/>
        <v>#NAME?</v>
      </c>
      <c r="N111" t="e">
        <f t="shared" ca="1" si="24"/>
        <v>#NAME?</v>
      </c>
      <c r="O111" t="e">
        <f t="shared" ca="1" si="24"/>
        <v>#NAME?</v>
      </c>
      <c r="P111" t="e">
        <f t="shared" ca="1" si="24"/>
        <v>#NAME?</v>
      </c>
      <c r="R111" t="e">
        <f t="shared" ca="1" si="27"/>
        <v>#NAME?</v>
      </c>
      <c r="S111" t="e">
        <f t="shared" ca="1" si="25"/>
        <v>#NAME?</v>
      </c>
      <c r="T111" t="e">
        <f t="shared" ca="1" si="25"/>
        <v>#NAME?</v>
      </c>
      <c r="U111" t="e">
        <f t="shared" ca="1" si="25"/>
        <v>#NAME?</v>
      </c>
      <c r="V111" t="e">
        <f t="shared" ca="1" si="25"/>
        <v>#NAME?</v>
      </c>
      <c r="W111" t="e">
        <f t="shared" ca="1" si="25"/>
        <v>#NAME?</v>
      </c>
      <c r="X111" t="e">
        <f t="shared" ca="1" si="25"/>
        <v>#NAME?</v>
      </c>
      <c r="Z111" s="15">
        <v>0.5</v>
      </c>
    </row>
    <row r="112" spans="1:26">
      <c r="A112" s="22" t="s">
        <v>197</v>
      </c>
      <c r="B112" s="25"/>
      <c r="C112" s="25"/>
      <c r="D112" s="91" t="s">
        <v>116</v>
      </c>
      <c r="E112" s="44" t="s">
        <v>189</v>
      </c>
      <c r="F112" s="25"/>
      <c r="G112" s="25"/>
      <c r="H112" s="25"/>
      <c r="J112" t="e">
        <f t="shared" ca="1" si="26"/>
        <v>#NAME?</v>
      </c>
      <c r="K112" t="e">
        <f t="shared" ca="1" si="24"/>
        <v>#NAME?</v>
      </c>
      <c r="L112" t="e">
        <f t="shared" ca="1" si="24"/>
        <v>#NAME?</v>
      </c>
      <c r="M112" t="e">
        <f t="shared" ca="1" si="24"/>
        <v>#NAME?</v>
      </c>
      <c r="N112" t="e">
        <f t="shared" ca="1" si="24"/>
        <v>#NAME?</v>
      </c>
      <c r="O112" t="e">
        <f t="shared" ca="1" si="24"/>
        <v>#NAME?</v>
      </c>
      <c r="P112" t="e">
        <f t="shared" ca="1" si="24"/>
        <v>#NAME?</v>
      </c>
      <c r="R112" t="e">
        <f t="shared" ca="1" si="27"/>
        <v>#NAME?</v>
      </c>
      <c r="S112" t="e">
        <f t="shared" ca="1" si="25"/>
        <v>#NAME?</v>
      </c>
      <c r="T112" t="e">
        <f t="shared" ca="1" si="25"/>
        <v>#NAME?</v>
      </c>
      <c r="U112" t="e">
        <f t="shared" ca="1" si="25"/>
        <v>#NAME?</v>
      </c>
      <c r="V112" t="e">
        <f t="shared" ca="1" si="25"/>
        <v>#NAME?</v>
      </c>
      <c r="W112" t="e">
        <f t="shared" ca="1" si="25"/>
        <v>#NAME?</v>
      </c>
      <c r="X112" t="e">
        <f t="shared" ca="1" si="25"/>
        <v>#NAME?</v>
      </c>
      <c r="Z112" s="15">
        <v>0.5</v>
      </c>
    </row>
    <row r="113" spans="1:26">
      <c r="A113" s="22" t="s">
        <v>199</v>
      </c>
      <c r="B113" s="112"/>
      <c r="C113" s="121" t="s">
        <v>118</v>
      </c>
      <c r="D113" s="112"/>
      <c r="E113" s="121" t="s">
        <v>118</v>
      </c>
      <c r="F113" s="112"/>
      <c r="G113" s="25"/>
      <c r="H113" s="25"/>
      <c r="J113" t="e">
        <f t="shared" ca="1" si="26"/>
        <v>#NAME?</v>
      </c>
      <c r="K113" t="e">
        <f t="shared" ca="1" si="24"/>
        <v>#NAME?</v>
      </c>
      <c r="L113" t="e">
        <f t="shared" ca="1" si="24"/>
        <v>#NAME?</v>
      </c>
      <c r="M113" t="e">
        <f t="shared" ca="1" si="24"/>
        <v>#NAME?</v>
      </c>
      <c r="N113" t="e">
        <f t="shared" ca="1" si="24"/>
        <v>#NAME?</v>
      </c>
      <c r="O113" t="e">
        <f t="shared" ca="1" si="24"/>
        <v>#NAME?</v>
      </c>
      <c r="P113" t="e">
        <f t="shared" ca="1" si="24"/>
        <v>#NAME?</v>
      </c>
      <c r="R113" t="e">
        <f t="shared" ca="1" si="27"/>
        <v>#NAME?</v>
      </c>
      <c r="S113" t="e">
        <f t="shared" ca="1" si="25"/>
        <v>#NAME?</v>
      </c>
      <c r="T113" t="e">
        <f t="shared" ca="1" si="25"/>
        <v>#NAME?</v>
      </c>
      <c r="U113" t="e">
        <f t="shared" ca="1" si="25"/>
        <v>#NAME?</v>
      </c>
      <c r="V113" t="e">
        <f t="shared" ca="1" si="25"/>
        <v>#NAME?</v>
      </c>
      <c r="W113" t="e">
        <f t="shared" ca="1" si="25"/>
        <v>#NAME?</v>
      </c>
      <c r="X113" t="e">
        <f t="shared" ca="1" si="25"/>
        <v>#NAME?</v>
      </c>
      <c r="Z113" s="15">
        <v>0.5</v>
      </c>
    </row>
    <row r="114" spans="1:26">
      <c r="A114" s="22" t="s">
        <v>200</v>
      </c>
      <c r="B114" s="101" t="s">
        <v>116</v>
      </c>
      <c r="C114" s="121" t="s">
        <v>116</v>
      </c>
      <c r="D114" s="25"/>
      <c r="E114" s="25"/>
      <c r="F114" s="25"/>
      <c r="G114" s="101" t="s">
        <v>118</v>
      </c>
      <c r="H114" s="121" t="s">
        <v>118</v>
      </c>
      <c r="J114" t="e">
        <f t="shared" ca="1" si="26"/>
        <v>#NAME?</v>
      </c>
      <c r="K114" t="e">
        <f t="shared" ca="1" si="24"/>
        <v>#NAME?</v>
      </c>
      <c r="L114" t="e">
        <f t="shared" ca="1" si="24"/>
        <v>#NAME?</v>
      </c>
      <c r="M114" t="e">
        <f t="shared" ca="1" si="24"/>
        <v>#NAME?</v>
      </c>
      <c r="N114" t="e">
        <f t="shared" ca="1" si="24"/>
        <v>#NAME?</v>
      </c>
      <c r="O114" t="e">
        <f t="shared" ca="1" si="24"/>
        <v>#NAME?</v>
      </c>
      <c r="P114" t="e">
        <f t="shared" ca="1" si="24"/>
        <v>#NAME?</v>
      </c>
      <c r="R114" t="e">
        <f t="shared" ca="1" si="27"/>
        <v>#NAME?</v>
      </c>
      <c r="S114" t="e">
        <f t="shared" ca="1" si="25"/>
        <v>#NAME?</v>
      </c>
      <c r="T114" t="e">
        <f t="shared" ca="1" si="25"/>
        <v>#NAME?</v>
      </c>
      <c r="U114" t="e">
        <f t="shared" ca="1" si="25"/>
        <v>#NAME?</v>
      </c>
      <c r="V114" t="e">
        <f t="shared" ca="1" si="25"/>
        <v>#NAME?</v>
      </c>
      <c r="W114" t="e">
        <f t="shared" ca="1" si="25"/>
        <v>#NAME?</v>
      </c>
      <c r="X114" t="e">
        <f t="shared" ca="1" si="25"/>
        <v>#NAME?</v>
      </c>
      <c r="Z114" s="15">
        <v>1</v>
      </c>
    </row>
    <row r="115" spans="1:26">
      <c r="A115" s="22" t="s">
        <v>201</v>
      </c>
      <c r="B115" s="25"/>
      <c r="C115" s="25" t="s">
        <v>152</v>
      </c>
      <c r="D115" s="25" t="s">
        <v>152</v>
      </c>
      <c r="E115" s="25" t="s">
        <v>152</v>
      </c>
      <c r="F115" s="25" t="s">
        <v>152</v>
      </c>
      <c r="G115" s="25"/>
      <c r="H115" s="25"/>
      <c r="J115" t="e">
        <f t="shared" ca="1" si="26"/>
        <v>#NAME?</v>
      </c>
      <c r="K115" t="e">
        <f t="shared" ca="1" si="24"/>
        <v>#NAME?</v>
      </c>
      <c r="L115" t="e">
        <f t="shared" ca="1" si="24"/>
        <v>#NAME?</v>
      </c>
      <c r="M115" t="e">
        <f t="shared" ca="1" si="24"/>
        <v>#NAME?</v>
      </c>
      <c r="N115" t="e">
        <f t="shared" ca="1" si="24"/>
        <v>#NAME?</v>
      </c>
      <c r="O115" t="e">
        <f t="shared" ca="1" si="24"/>
        <v>#NAME?</v>
      </c>
      <c r="P115" t="e">
        <f t="shared" ca="1" si="24"/>
        <v>#NAME?</v>
      </c>
      <c r="R115" t="e">
        <f t="shared" ca="1" si="27"/>
        <v>#NAME?</v>
      </c>
      <c r="S115" t="e">
        <f t="shared" ca="1" si="25"/>
        <v>#NAME?</v>
      </c>
      <c r="T115" t="e">
        <f t="shared" ca="1" si="25"/>
        <v>#NAME?</v>
      </c>
      <c r="U115" t="e">
        <f t="shared" ca="1" si="25"/>
        <v>#NAME?</v>
      </c>
      <c r="V115" t="e">
        <f t="shared" ca="1" si="25"/>
        <v>#NAME?</v>
      </c>
      <c r="W115" t="e">
        <f t="shared" ca="1" si="25"/>
        <v>#NAME?</v>
      </c>
      <c r="X115" t="e">
        <f t="shared" ca="1" si="25"/>
        <v>#NAME?</v>
      </c>
      <c r="Z115" s="15">
        <v>1</v>
      </c>
    </row>
    <row r="116" spans="1:26">
      <c r="A116" s="22" t="s">
        <v>202</v>
      </c>
      <c r="B116" s="44" t="s">
        <v>189</v>
      </c>
      <c r="C116" s="25"/>
      <c r="D116" s="91" t="s">
        <v>118</v>
      </c>
      <c r="E116" s="91" t="s">
        <v>118</v>
      </c>
      <c r="F116" s="90" t="s">
        <v>118</v>
      </c>
      <c r="G116" s="25"/>
      <c r="H116" s="25"/>
      <c r="J116" t="e">
        <f t="shared" ca="1" si="26"/>
        <v>#NAME?</v>
      </c>
      <c r="K116" t="e">
        <f t="shared" ca="1" si="24"/>
        <v>#NAME?</v>
      </c>
      <c r="L116" t="e">
        <f t="shared" ca="1" si="24"/>
        <v>#NAME?</v>
      </c>
      <c r="M116" t="e">
        <f t="shared" ca="1" si="24"/>
        <v>#NAME?</v>
      </c>
      <c r="N116" t="e">
        <f t="shared" ca="1" si="24"/>
        <v>#NAME?</v>
      </c>
      <c r="O116" t="e">
        <f t="shared" ca="1" si="24"/>
        <v>#NAME?</v>
      </c>
      <c r="P116" t="e">
        <f t="shared" ca="1" si="24"/>
        <v>#NAME?</v>
      </c>
      <c r="R116" t="e">
        <f t="shared" ca="1" si="27"/>
        <v>#NAME?</v>
      </c>
      <c r="S116" t="e">
        <f t="shared" ca="1" si="25"/>
        <v>#NAME?</v>
      </c>
      <c r="T116" t="e">
        <f t="shared" ca="1" si="25"/>
        <v>#NAME?</v>
      </c>
      <c r="U116" t="e">
        <f t="shared" ca="1" si="25"/>
        <v>#NAME?</v>
      </c>
      <c r="V116" t="e">
        <f t="shared" ca="1" si="25"/>
        <v>#NAME?</v>
      </c>
      <c r="W116" t="e">
        <f t="shared" ca="1" si="25"/>
        <v>#NAME?</v>
      </c>
      <c r="X116" t="e">
        <f t="shared" ca="1" si="25"/>
        <v>#NAME?</v>
      </c>
      <c r="Z116" s="15">
        <v>1</v>
      </c>
    </row>
    <row r="117" spans="1:26">
      <c r="A117" s="42" t="s">
        <v>203</v>
      </c>
      <c r="B117" s="25"/>
      <c r="C117" s="25" t="s">
        <v>152</v>
      </c>
      <c r="D117" s="25" t="s">
        <v>152</v>
      </c>
      <c r="E117" s="25" t="s">
        <v>152</v>
      </c>
      <c r="F117" s="25" t="s">
        <v>152</v>
      </c>
      <c r="G117" s="25"/>
      <c r="H117" s="25"/>
      <c r="J117" t="e">
        <f t="shared" ca="1" si="26"/>
        <v>#NAME?</v>
      </c>
      <c r="K117" t="e">
        <f t="shared" ca="1" si="24"/>
        <v>#NAME?</v>
      </c>
      <c r="L117" t="e">
        <f t="shared" ca="1" si="24"/>
        <v>#NAME?</v>
      </c>
      <c r="M117" t="e">
        <f t="shared" ca="1" si="24"/>
        <v>#NAME?</v>
      </c>
      <c r="N117" t="e">
        <f t="shared" ca="1" si="24"/>
        <v>#NAME?</v>
      </c>
      <c r="O117" t="e">
        <f t="shared" ca="1" si="24"/>
        <v>#NAME?</v>
      </c>
      <c r="P117" t="e">
        <f t="shared" ca="1" si="24"/>
        <v>#NAME?</v>
      </c>
      <c r="R117" t="e">
        <f t="shared" ca="1" si="27"/>
        <v>#NAME?</v>
      </c>
      <c r="S117" t="e">
        <f t="shared" ca="1" si="25"/>
        <v>#NAME?</v>
      </c>
      <c r="T117" t="e">
        <f t="shared" ca="1" si="25"/>
        <v>#NAME?</v>
      </c>
      <c r="U117" t="e">
        <f t="shared" ca="1" si="25"/>
        <v>#NAME?</v>
      </c>
      <c r="V117" t="e">
        <f t="shared" ca="1" si="25"/>
        <v>#NAME?</v>
      </c>
      <c r="W117" t="e">
        <f t="shared" ca="1" si="25"/>
        <v>#NAME?</v>
      </c>
      <c r="X117" t="e">
        <f t="shared" ca="1" si="25"/>
        <v>#NAME?</v>
      </c>
      <c r="Z117" s="15">
        <v>1</v>
      </c>
    </row>
    <row r="118" spans="1:26">
      <c r="A118" s="22" t="s">
        <v>204</v>
      </c>
      <c r="B118" s="25"/>
      <c r="C118" s="25"/>
      <c r="D118" s="90" t="s">
        <v>118</v>
      </c>
      <c r="E118" s="101" t="s">
        <v>116</v>
      </c>
      <c r="F118" s="44" t="s">
        <v>189</v>
      </c>
      <c r="G118" s="25"/>
      <c r="H118" s="25"/>
      <c r="J118" t="e">
        <f t="shared" ca="1" si="26"/>
        <v>#NAME?</v>
      </c>
      <c r="K118" t="e">
        <f t="shared" ca="1" si="24"/>
        <v>#NAME?</v>
      </c>
      <c r="L118" t="e">
        <f t="shared" ca="1" si="24"/>
        <v>#NAME?</v>
      </c>
      <c r="M118" t="e">
        <f t="shared" ca="1" si="24"/>
        <v>#NAME?</v>
      </c>
      <c r="N118" t="e">
        <f t="shared" ca="1" si="24"/>
        <v>#NAME?</v>
      </c>
      <c r="O118" t="e">
        <f t="shared" ca="1" si="24"/>
        <v>#NAME?</v>
      </c>
      <c r="P118" t="e">
        <f t="shared" ca="1" si="24"/>
        <v>#NAME?</v>
      </c>
      <c r="R118" t="e">
        <f t="shared" ca="1" si="27"/>
        <v>#NAME?</v>
      </c>
      <c r="S118" t="e">
        <f t="shared" ca="1" si="25"/>
        <v>#NAME?</v>
      </c>
      <c r="T118" t="e">
        <f t="shared" ca="1" si="25"/>
        <v>#NAME?</v>
      </c>
      <c r="U118" t="e">
        <f t="shared" ca="1" si="25"/>
        <v>#NAME?</v>
      </c>
      <c r="V118" t="e">
        <f t="shared" ca="1" si="25"/>
        <v>#NAME?</v>
      </c>
      <c r="W118" t="e">
        <f t="shared" ca="1" si="25"/>
        <v>#NAME?</v>
      </c>
      <c r="X118" t="e">
        <f t="shared" ca="1" si="25"/>
        <v>#NAME?</v>
      </c>
      <c r="Z118" s="15">
        <v>1</v>
      </c>
    </row>
    <row r="119" spans="1:26">
      <c r="A119" s="22" t="s">
        <v>205</v>
      </c>
      <c r="B119" s="109" t="s">
        <v>20</v>
      </c>
      <c r="C119" s="28" t="s">
        <v>115</v>
      </c>
      <c r="D119" s="44" t="s">
        <v>189</v>
      </c>
      <c r="E119" s="25"/>
      <c r="F119" s="25"/>
      <c r="G119" s="25" t="s">
        <v>152</v>
      </c>
      <c r="H119" s="25" t="s">
        <v>152</v>
      </c>
      <c r="J119" t="e">
        <f t="shared" ca="1" si="26"/>
        <v>#NAME?</v>
      </c>
      <c r="K119" t="e">
        <f t="shared" ca="1" si="24"/>
        <v>#NAME?</v>
      </c>
      <c r="L119" t="e">
        <f t="shared" ca="1" si="24"/>
        <v>#NAME?</v>
      </c>
      <c r="M119" t="e">
        <f t="shared" ca="1" si="24"/>
        <v>#NAME?</v>
      </c>
      <c r="N119" t="e">
        <f t="shared" ca="1" si="24"/>
        <v>#NAME?</v>
      </c>
      <c r="O119" t="e">
        <f t="shared" ca="1" si="24"/>
        <v>#NAME?</v>
      </c>
      <c r="P119" t="e">
        <f t="shared" ca="1" si="24"/>
        <v>#NAME?</v>
      </c>
      <c r="R119" t="e">
        <f t="shared" ca="1" si="27"/>
        <v>#NAME?</v>
      </c>
      <c r="S119" t="e">
        <f t="shared" ca="1" si="25"/>
        <v>#NAME?</v>
      </c>
      <c r="T119" t="e">
        <f t="shared" ca="1" si="25"/>
        <v>#NAME?</v>
      </c>
      <c r="U119" t="e">
        <f t="shared" ca="1" si="25"/>
        <v>#NAME?</v>
      </c>
      <c r="V119" t="e">
        <f t="shared" ca="1" si="25"/>
        <v>#NAME?</v>
      </c>
      <c r="W119" t="e">
        <f t="shared" ca="1" si="25"/>
        <v>#NAME?</v>
      </c>
      <c r="X119" t="e">
        <f t="shared" ca="1" si="25"/>
        <v>#NAME?</v>
      </c>
      <c r="Z119" s="15">
        <v>1</v>
      </c>
    </row>
    <row r="120" spans="1:26">
      <c r="A120" s="22" t="s">
        <v>206</v>
      </c>
      <c r="B120" s="90" t="s">
        <v>116</v>
      </c>
      <c r="C120" s="91" t="s">
        <v>116</v>
      </c>
      <c r="D120" s="25"/>
      <c r="E120" s="90" t="s">
        <v>118</v>
      </c>
      <c r="F120" s="110" t="s">
        <v>142</v>
      </c>
      <c r="G120" s="25"/>
      <c r="H120" s="25"/>
      <c r="J120" t="e">
        <f t="shared" ca="1" si="26"/>
        <v>#NAME?</v>
      </c>
      <c r="K120" t="e">
        <f t="shared" ca="1" si="24"/>
        <v>#NAME?</v>
      </c>
      <c r="L120" t="e">
        <f t="shared" ca="1" si="24"/>
        <v>#NAME?</v>
      </c>
      <c r="M120" t="e">
        <f t="shared" ca="1" si="24"/>
        <v>#NAME?</v>
      </c>
      <c r="N120" t="e">
        <f t="shared" ca="1" si="24"/>
        <v>#NAME?</v>
      </c>
      <c r="O120" t="e">
        <f t="shared" ca="1" si="24"/>
        <v>#NAME?</v>
      </c>
      <c r="P120" t="e">
        <f t="shared" ca="1" si="24"/>
        <v>#NAME?</v>
      </c>
      <c r="R120" t="e">
        <f t="shared" ca="1" si="27"/>
        <v>#NAME?</v>
      </c>
      <c r="S120" t="e">
        <f t="shared" ca="1" si="25"/>
        <v>#NAME?</v>
      </c>
      <c r="T120" t="e">
        <f t="shared" ca="1" si="25"/>
        <v>#NAME?</v>
      </c>
      <c r="U120" t="e">
        <f t="shared" ca="1" si="25"/>
        <v>#NAME?</v>
      </c>
      <c r="V120" t="e">
        <f t="shared" ca="1" si="25"/>
        <v>#NAME?</v>
      </c>
      <c r="W120" t="e">
        <f t="shared" ca="1" si="25"/>
        <v>#NAME?</v>
      </c>
      <c r="X120" t="e">
        <f t="shared" ca="1" si="25"/>
        <v>#NAME?</v>
      </c>
      <c r="Z120" s="15">
        <v>1</v>
      </c>
    </row>
    <row r="121" spans="1:26">
      <c r="A121" s="22" t="s">
        <v>207</v>
      </c>
      <c r="B121" s="25"/>
      <c r="C121" s="25"/>
      <c r="D121" s="25"/>
      <c r="E121" s="25"/>
      <c r="F121" s="25"/>
      <c r="G121" s="109" t="s">
        <v>18</v>
      </c>
      <c r="H121" s="101" t="s">
        <v>118</v>
      </c>
      <c r="J121" t="e">
        <f t="shared" ca="1" si="26"/>
        <v>#NAME?</v>
      </c>
      <c r="K121" t="e">
        <f t="shared" ca="1" si="24"/>
        <v>#NAME?</v>
      </c>
      <c r="L121" t="e">
        <f t="shared" ca="1" si="24"/>
        <v>#NAME?</v>
      </c>
      <c r="M121" t="e">
        <f t="shared" ca="1" si="24"/>
        <v>#NAME?</v>
      </c>
      <c r="N121" t="e">
        <f t="shared" ca="1" si="24"/>
        <v>#NAME?</v>
      </c>
      <c r="O121" t="e">
        <f t="shared" ca="1" si="24"/>
        <v>#NAME?</v>
      </c>
      <c r="P121" t="e">
        <f t="shared" ca="1" si="24"/>
        <v>#NAME?</v>
      </c>
      <c r="R121" t="e">
        <f t="shared" ca="1" si="27"/>
        <v>#NAME?</v>
      </c>
      <c r="S121" t="e">
        <f t="shared" ca="1" si="25"/>
        <v>#NAME?</v>
      </c>
      <c r="T121" t="e">
        <f t="shared" ca="1" si="25"/>
        <v>#NAME?</v>
      </c>
      <c r="U121" t="e">
        <f t="shared" ca="1" si="25"/>
        <v>#NAME?</v>
      </c>
      <c r="V121" t="e">
        <f t="shared" ca="1" si="25"/>
        <v>#NAME?</v>
      </c>
      <c r="W121" t="e">
        <f t="shared" ca="1" si="25"/>
        <v>#NAME?</v>
      </c>
      <c r="X121" t="e">
        <f t="shared" ca="1" si="25"/>
        <v>#NAME?</v>
      </c>
      <c r="Z121" s="15">
        <v>0.5</v>
      </c>
    </row>
    <row r="122" spans="1:26">
      <c r="A122" s="22" t="s">
        <v>208</v>
      </c>
      <c r="B122" s="25"/>
      <c r="C122" s="25"/>
      <c r="D122" s="101" t="s">
        <v>116</v>
      </c>
      <c r="E122" s="109"/>
      <c r="F122" s="109"/>
      <c r="G122" s="25"/>
      <c r="H122" s="110" t="s">
        <v>142</v>
      </c>
      <c r="J122" t="e">
        <f t="shared" ca="1" si="26"/>
        <v>#NAME?</v>
      </c>
      <c r="K122" t="e">
        <f t="shared" ca="1" si="24"/>
        <v>#NAME?</v>
      </c>
      <c r="L122" t="e">
        <f t="shared" ca="1" si="24"/>
        <v>#NAME?</v>
      </c>
      <c r="M122" t="e">
        <f t="shared" ca="1" si="24"/>
        <v>#NAME?</v>
      </c>
      <c r="N122" t="e">
        <f t="shared" ca="1" si="24"/>
        <v>#NAME?</v>
      </c>
      <c r="O122" t="e">
        <f t="shared" ca="1" si="24"/>
        <v>#NAME?</v>
      </c>
      <c r="P122" t="e">
        <f t="shared" ca="1" si="24"/>
        <v>#NAME?</v>
      </c>
      <c r="R122" t="e">
        <f t="shared" ca="1" si="27"/>
        <v>#NAME?</v>
      </c>
      <c r="S122" t="e">
        <f t="shared" ca="1" si="25"/>
        <v>#NAME?</v>
      </c>
      <c r="T122" t="e">
        <f t="shared" ca="1" si="25"/>
        <v>#NAME?</v>
      </c>
      <c r="U122" t="e">
        <f t="shared" ca="1" si="25"/>
        <v>#NAME?</v>
      </c>
      <c r="V122" t="e">
        <f t="shared" ca="1" si="25"/>
        <v>#NAME?</v>
      </c>
      <c r="W122" t="e">
        <f t="shared" ca="1" si="25"/>
        <v>#NAME?</v>
      </c>
      <c r="X122" t="e">
        <f t="shared" ca="1" si="25"/>
        <v>#NAME?</v>
      </c>
      <c r="Z122" s="15">
        <v>0.5</v>
      </c>
    </row>
    <row r="123" spans="1:26">
      <c r="A123" s="22" t="s">
        <v>209</v>
      </c>
      <c r="B123" s="25"/>
      <c r="C123" s="25"/>
      <c r="D123" s="25"/>
      <c r="E123" s="28" t="s">
        <v>115</v>
      </c>
      <c r="F123" s="91" t="s">
        <v>116</v>
      </c>
      <c r="G123" s="25"/>
      <c r="H123" s="25"/>
      <c r="J123" t="e">
        <f t="shared" ca="1" si="26"/>
        <v>#NAME?</v>
      </c>
      <c r="K123" t="e">
        <f t="shared" ca="1" si="24"/>
        <v>#NAME?</v>
      </c>
      <c r="L123" t="e">
        <f t="shared" ca="1" si="24"/>
        <v>#NAME?</v>
      </c>
      <c r="M123" t="e">
        <f t="shared" ca="1" si="24"/>
        <v>#NAME?</v>
      </c>
      <c r="N123" t="e">
        <f t="shared" ca="1" si="24"/>
        <v>#NAME?</v>
      </c>
      <c r="O123" t="e">
        <f t="shared" ca="1" si="24"/>
        <v>#NAME?</v>
      </c>
      <c r="P123" t="e">
        <f t="shared" ca="1" si="24"/>
        <v>#NAME?</v>
      </c>
      <c r="R123" t="e">
        <f t="shared" ca="1" si="27"/>
        <v>#NAME?</v>
      </c>
      <c r="S123" t="e">
        <f t="shared" ca="1" si="25"/>
        <v>#NAME?</v>
      </c>
      <c r="T123" t="e">
        <f t="shared" ca="1" si="25"/>
        <v>#NAME?</v>
      </c>
      <c r="U123" t="e">
        <f t="shared" ca="1" si="25"/>
        <v>#NAME?</v>
      </c>
      <c r="V123" t="e">
        <f t="shared" ca="1" si="25"/>
        <v>#NAME?</v>
      </c>
      <c r="W123" t="e">
        <f t="shared" ca="1" si="25"/>
        <v>#NAME?</v>
      </c>
      <c r="X123" t="e">
        <f t="shared" ca="1" si="25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8" t="s">
        <v>115</v>
      </c>
      <c r="E124" s="91" t="s">
        <v>116</v>
      </c>
      <c r="F124" s="25"/>
      <c r="G124" s="25"/>
      <c r="H124" s="25"/>
      <c r="J124" t="e">
        <f t="shared" ca="1" si="26"/>
        <v>#NAME?</v>
      </c>
      <c r="K124" t="e">
        <f t="shared" ca="1" si="24"/>
        <v>#NAME?</v>
      </c>
      <c r="L124" t="e">
        <f t="shared" ca="1" si="24"/>
        <v>#NAME?</v>
      </c>
      <c r="M124" t="e">
        <f t="shared" ca="1" si="24"/>
        <v>#NAME?</v>
      </c>
      <c r="N124" t="e">
        <f t="shared" ca="1" si="24"/>
        <v>#NAME?</v>
      </c>
      <c r="O124" t="e">
        <f t="shared" ca="1" si="24"/>
        <v>#NAME?</v>
      </c>
      <c r="P124" t="e">
        <f t="shared" ca="1" si="24"/>
        <v>#NAME?</v>
      </c>
      <c r="R124" t="e">
        <f t="shared" ca="1" si="27"/>
        <v>#NAME?</v>
      </c>
      <c r="S124" t="e">
        <f t="shared" ca="1" si="25"/>
        <v>#NAME?</v>
      </c>
      <c r="T124" t="e">
        <f t="shared" ca="1" si="25"/>
        <v>#NAME?</v>
      </c>
      <c r="U124" t="e">
        <f t="shared" ca="1" si="25"/>
        <v>#NAME?</v>
      </c>
      <c r="V124" t="e">
        <f t="shared" ca="1" si="25"/>
        <v>#NAME?</v>
      </c>
      <c r="W124" t="e">
        <f t="shared" ca="1" si="25"/>
        <v>#NAME?</v>
      </c>
      <c r="X124" t="e">
        <f t="shared" ca="1" si="25"/>
        <v>#NAME?</v>
      </c>
      <c r="Z124" s="15">
        <v>0.5</v>
      </c>
    </row>
    <row r="125" spans="1:26">
      <c r="A125" s="22" t="s">
        <v>212</v>
      </c>
      <c r="B125" s="28" t="s">
        <v>115</v>
      </c>
      <c r="C125" s="25"/>
      <c r="D125" s="25"/>
      <c r="E125" s="110" t="s">
        <v>142</v>
      </c>
      <c r="F125" s="91" t="s">
        <v>118</v>
      </c>
      <c r="G125" s="90" t="s">
        <v>116</v>
      </c>
      <c r="H125" s="91" t="s">
        <v>116</v>
      </c>
      <c r="J125" t="e">
        <f t="shared" ca="1" si="26"/>
        <v>#NAME?</v>
      </c>
      <c r="K125" t="e">
        <f t="shared" ca="1" si="24"/>
        <v>#NAME?</v>
      </c>
      <c r="L125" t="e">
        <f t="shared" ca="1" si="24"/>
        <v>#NAME?</v>
      </c>
      <c r="M125" t="e">
        <f t="shared" ca="1" si="24"/>
        <v>#NAME?</v>
      </c>
      <c r="N125" t="e">
        <f t="shared" ca="1" si="24"/>
        <v>#NAME?</v>
      </c>
      <c r="O125" t="e">
        <f t="shared" ca="1" si="24"/>
        <v>#NAME?</v>
      </c>
      <c r="P125" t="e">
        <f t="shared" ca="1" si="24"/>
        <v>#NAME?</v>
      </c>
      <c r="R125" t="e">
        <f t="shared" ca="1" si="27"/>
        <v>#NAME?</v>
      </c>
      <c r="S125" t="e">
        <f t="shared" ca="1" si="25"/>
        <v>#NAME?</v>
      </c>
      <c r="T125" t="e">
        <f t="shared" ca="1" si="25"/>
        <v>#NAME?</v>
      </c>
      <c r="U125" t="e">
        <f t="shared" ca="1" si="25"/>
        <v>#NAME?</v>
      </c>
      <c r="V125" t="e">
        <f t="shared" ca="1" si="25"/>
        <v>#NAME?</v>
      </c>
      <c r="W125" t="e">
        <f t="shared" ca="1" si="25"/>
        <v>#NAME?</v>
      </c>
      <c r="X125" t="e">
        <f t="shared" ca="1" si="25"/>
        <v>#NAME?</v>
      </c>
      <c r="Z125" s="15">
        <v>1</v>
      </c>
    </row>
    <row r="126" spans="1:26">
      <c r="A126" s="22" t="s">
        <v>213</v>
      </c>
      <c r="B126" s="25"/>
      <c r="C126" s="90" t="s">
        <v>118</v>
      </c>
      <c r="D126" s="90" t="s">
        <v>118</v>
      </c>
      <c r="E126" s="113" t="s">
        <v>150</v>
      </c>
      <c r="F126" s="28" t="s">
        <v>115</v>
      </c>
      <c r="G126" s="25"/>
      <c r="H126" s="25"/>
      <c r="J126" t="e">
        <f t="shared" ca="1" si="26"/>
        <v>#NAME?</v>
      </c>
      <c r="K126" t="e">
        <f t="shared" ca="1" si="24"/>
        <v>#NAME?</v>
      </c>
      <c r="L126" t="e">
        <f t="shared" ca="1" si="24"/>
        <v>#NAME?</v>
      </c>
      <c r="M126" t="e">
        <f t="shared" ca="1" si="24"/>
        <v>#NAME?</v>
      </c>
      <c r="N126" t="e">
        <f t="shared" ca="1" si="24"/>
        <v>#NAME?</v>
      </c>
      <c r="O126" t="e">
        <f t="shared" ca="1" si="24"/>
        <v>#NAME?</v>
      </c>
      <c r="P126" t="e">
        <f t="shared" ca="1" si="24"/>
        <v>#NAME?</v>
      </c>
      <c r="R126" t="e">
        <f t="shared" ca="1" si="27"/>
        <v>#NAME?</v>
      </c>
      <c r="S126" t="e">
        <f t="shared" ca="1" si="25"/>
        <v>#NAME?</v>
      </c>
      <c r="T126" t="e">
        <f t="shared" ca="1" si="25"/>
        <v>#NAME?</v>
      </c>
      <c r="U126" t="e">
        <f t="shared" ca="1" si="25"/>
        <v>#NAME?</v>
      </c>
      <c r="V126" t="e">
        <f t="shared" ca="1" si="25"/>
        <v>#NAME?</v>
      </c>
      <c r="W126" t="e">
        <f t="shared" ca="1" si="25"/>
        <v>#NAME?</v>
      </c>
      <c r="X126" t="e">
        <f t="shared" ca="1" si="25"/>
        <v>#NAME?</v>
      </c>
      <c r="Z126" s="15">
        <v>1</v>
      </c>
    </row>
    <row r="127" spans="1:26">
      <c r="A127" s="106" t="s">
        <v>383</v>
      </c>
      <c r="B127" s="107" t="str">
        <f t="shared" ref="B127:H127" si="28">B58</f>
        <v>Mon 8 Jun</v>
      </c>
      <c r="C127" s="107" t="str">
        <f t="shared" si="28"/>
        <v>Tues 9 Jun</v>
      </c>
      <c r="D127" s="107" t="str">
        <f t="shared" si="28"/>
        <v>Wed 10 Jun</v>
      </c>
      <c r="E127" s="107" t="str">
        <f t="shared" si="28"/>
        <v>Thu 11 Jun</v>
      </c>
      <c r="F127" s="107" t="str">
        <f t="shared" si="28"/>
        <v>Fri 12 Jun</v>
      </c>
      <c r="G127" s="107" t="str">
        <f t="shared" si="28"/>
        <v>Sat 13 Jun</v>
      </c>
      <c r="H127" s="107" t="str">
        <f t="shared" si="28"/>
        <v>Sun 14 Jun</v>
      </c>
      <c r="J127" t="e">
        <f t="shared" ca="1" si="26"/>
        <v>#NAME?</v>
      </c>
      <c r="K127" t="e">
        <f t="shared" ca="1" si="24"/>
        <v>#NAME?</v>
      </c>
      <c r="L127" t="e">
        <f t="shared" ca="1" si="24"/>
        <v>#NAME?</v>
      </c>
      <c r="M127" t="e">
        <f t="shared" ca="1" si="24"/>
        <v>#NAME?</v>
      </c>
      <c r="N127" t="e">
        <f t="shared" ca="1" si="24"/>
        <v>#NAME?</v>
      </c>
      <c r="O127" t="e">
        <f t="shared" ca="1" si="24"/>
        <v>#NAME?</v>
      </c>
      <c r="P127" t="e">
        <f t="shared" ca="1" si="24"/>
        <v>#NAME?</v>
      </c>
      <c r="R127" t="e">
        <f t="shared" ca="1" si="27"/>
        <v>#NAME?</v>
      </c>
      <c r="S127" t="e">
        <f t="shared" ca="1" si="25"/>
        <v>#NAME?</v>
      </c>
      <c r="T127" t="e">
        <f t="shared" ca="1" si="25"/>
        <v>#NAME?</v>
      </c>
      <c r="U127" t="e">
        <f t="shared" ca="1" si="25"/>
        <v>#NAME?</v>
      </c>
      <c r="V127" t="e">
        <f t="shared" ca="1" si="25"/>
        <v>#NAME?</v>
      </c>
      <c r="W127" t="e">
        <f t="shared" ca="1" si="25"/>
        <v>#NAME?</v>
      </c>
      <c r="X127" t="e">
        <f t="shared" ca="1" si="25"/>
        <v>#NAME?</v>
      </c>
      <c r="Z127" s="53"/>
    </row>
    <row r="128" spans="1:26">
      <c r="A128" s="22" t="s">
        <v>358</v>
      </c>
      <c r="B128" s="91" t="s">
        <v>116</v>
      </c>
      <c r="C128" s="25"/>
      <c r="D128" s="101" t="s">
        <v>118</v>
      </c>
      <c r="E128" s="44" t="s">
        <v>186</v>
      </c>
      <c r="F128" s="90" t="s">
        <v>116</v>
      </c>
      <c r="G128" s="127" t="s">
        <v>20</v>
      </c>
      <c r="H128" s="129"/>
      <c r="J128" t="e">
        <f t="shared" ca="1" si="26"/>
        <v>#NAME?</v>
      </c>
      <c r="K128" t="e">
        <f t="shared" ca="1" si="24"/>
        <v>#NAME?</v>
      </c>
      <c r="L128" t="e">
        <f t="shared" ca="1" si="24"/>
        <v>#NAME?</v>
      </c>
      <c r="M128" t="e">
        <f t="shared" ca="1" si="24"/>
        <v>#NAME?</v>
      </c>
      <c r="N128" t="e">
        <f t="shared" ca="1" si="24"/>
        <v>#NAME?</v>
      </c>
      <c r="O128" t="e">
        <f t="shared" ca="1" si="24"/>
        <v>#NAME?</v>
      </c>
      <c r="P128" t="e">
        <f t="shared" ca="1" si="24"/>
        <v>#NAME?</v>
      </c>
      <c r="R128" t="e">
        <f t="shared" ca="1" si="27"/>
        <v>#NAME?</v>
      </c>
      <c r="S128" t="e">
        <f t="shared" ca="1" si="25"/>
        <v>#NAME?</v>
      </c>
      <c r="T128" t="e">
        <f t="shared" ca="1" si="25"/>
        <v>#NAME?</v>
      </c>
      <c r="U128" t="e">
        <f t="shared" ca="1" si="25"/>
        <v>#NAME?</v>
      </c>
      <c r="V128" t="e">
        <f t="shared" ca="1" si="25"/>
        <v>#NAME?</v>
      </c>
      <c r="W128" t="e">
        <f t="shared" ca="1" si="25"/>
        <v>#NAME?</v>
      </c>
      <c r="X128" t="e">
        <f t="shared" ca="1" si="25"/>
        <v>#NAME?</v>
      </c>
      <c r="Z128" s="15">
        <v>1</v>
      </c>
    </row>
    <row r="129" spans="1:34">
      <c r="A129" s="22" t="s">
        <v>359</v>
      </c>
      <c r="B129" s="25"/>
      <c r="C129" s="25"/>
      <c r="D129" s="25" t="s">
        <v>152</v>
      </c>
      <c r="E129" s="25" t="s">
        <v>152</v>
      </c>
      <c r="F129" s="25" t="s">
        <v>152</v>
      </c>
      <c r="G129" s="25" t="s">
        <v>152</v>
      </c>
      <c r="H129" s="25"/>
      <c r="J129" t="e">
        <f t="shared" ca="1" si="26"/>
        <v>#NAME?</v>
      </c>
      <c r="K129" t="e">
        <f t="shared" ca="1" si="24"/>
        <v>#NAME?</v>
      </c>
      <c r="L129" t="e">
        <f t="shared" ca="1" si="24"/>
        <v>#NAME?</v>
      </c>
      <c r="M129" t="e">
        <f t="shared" ca="1" si="24"/>
        <v>#NAME?</v>
      </c>
      <c r="N129" t="e">
        <f t="shared" ca="1" si="24"/>
        <v>#NAME?</v>
      </c>
      <c r="O129" t="e">
        <f t="shared" ca="1" si="24"/>
        <v>#NAME?</v>
      </c>
      <c r="P129" t="e">
        <f t="shared" ca="1" si="24"/>
        <v>#NAME?</v>
      </c>
      <c r="R129" t="e">
        <f t="shared" ca="1" si="27"/>
        <v>#NAME?</v>
      </c>
      <c r="S129" t="e">
        <f t="shared" ca="1" si="25"/>
        <v>#NAME?</v>
      </c>
      <c r="T129" t="e">
        <f t="shared" ca="1" si="25"/>
        <v>#NAME?</v>
      </c>
      <c r="U129" t="e">
        <f t="shared" ca="1" si="25"/>
        <v>#NAME?</v>
      </c>
      <c r="V129" t="e">
        <f t="shared" ca="1" si="25"/>
        <v>#NAME?</v>
      </c>
      <c r="W129" t="e">
        <f t="shared" ca="1" si="25"/>
        <v>#NAME?</v>
      </c>
      <c r="X129" t="e">
        <f t="shared" ca="1" si="25"/>
        <v>#NAME?</v>
      </c>
      <c r="Z129" s="15">
        <v>1</v>
      </c>
    </row>
    <row r="130" spans="1:34">
      <c r="A130" s="22" t="s">
        <v>360</v>
      </c>
      <c r="B130" s="25"/>
      <c r="C130" s="25"/>
      <c r="D130" s="25"/>
      <c r="E130" s="25"/>
      <c r="F130" s="101" t="s">
        <v>118</v>
      </c>
      <c r="G130" s="44" t="s">
        <v>186</v>
      </c>
      <c r="H130" s="91" t="s">
        <v>118</v>
      </c>
      <c r="J130" t="e">
        <f t="shared" ca="1" si="26"/>
        <v>#NAME?</v>
      </c>
      <c r="K130" t="e">
        <f t="shared" ca="1" si="24"/>
        <v>#NAME?</v>
      </c>
      <c r="L130" t="e">
        <f t="shared" ca="1" si="24"/>
        <v>#NAME?</v>
      </c>
      <c r="M130" t="e">
        <f t="shared" ca="1" si="24"/>
        <v>#NAME?</v>
      </c>
      <c r="N130" t="e">
        <f t="shared" ca="1" si="24"/>
        <v>#NAME?</v>
      </c>
      <c r="O130" t="e">
        <f t="shared" ca="1" si="24"/>
        <v>#NAME?</v>
      </c>
      <c r="P130" t="e">
        <f t="shared" ca="1" si="24"/>
        <v>#NAME?</v>
      </c>
      <c r="R130" t="e">
        <f t="shared" ca="1" si="27"/>
        <v>#NAME?</v>
      </c>
      <c r="S130" t="e">
        <f t="shared" ca="1" si="25"/>
        <v>#NAME?</v>
      </c>
      <c r="T130" t="e">
        <f t="shared" ca="1" si="25"/>
        <v>#NAME?</v>
      </c>
      <c r="U130" t="e">
        <f t="shared" ca="1" si="25"/>
        <v>#NAME?</v>
      </c>
      <c r="V130" t="e">
        <f t="shared" ca="1" si="25"/>
        <v>#NAME?</v>
      </c>
      <c r="W130" t="e">
        <f t="shared" ca="1" si="25"/>
        <v>#NAME?</v>
      </c>
      <c r="X130" t="e">
        <f t="shared" ca="1" si="25"/>
        <v>#NAME?</v>
      </c>
      <c r="Z130" s="15">
        <v>1</v>
      </c>
    </row>
    <row r="131" spans="1:34">
      <c r="A131" s="22" t="s">
        <v>361</v>
      </c>
      <c r="B131" s="25" t="s">
        <v>152</v>
      </c>
      <c r="C131" s="25" t="s">
        <v>152</v>
      </c>
      <c r="D131" s="25"/>
      <c r="E131" s="25"/>
      <c r="F131" s="25"/>
      <c r="G131" s="101" t="s">
        <v>116</v>
      </c>
      <c r="H131" s="44" t="s">
        <v>189</v>
      </c>
      <c r="J131" t="e">
        <f t="shared" ca="1" si="26"/>
        <v>#NAME?</v>
      </c>
      <c r="K131" t="e">
        <f t="shared" ca="1" si="24"/>
        <v>#NAME?</v>
      </c>
      <c r="L131" t="e">
        <f t="shared" ca="1" si="24"/>
        <v>#NAME?</v>
      </c>
      <c r="M131" t="e">
        <f t="shared" ca="1" si="24"/>
        <v>#NAME?</v>
      </c>
      <c r="N131" t="e">
        <f t="shared" ca="1" si="24"/>
        <v>#NAME?</v>
      </c>
      <c r="O131" t="e">
        <f t="shared" ca="1" si="24"/>
        <v>#NAME?</v>
      </c>
      <c r="P131" t="e">
        <f t="shared" ca="1" si="24"/>
        <v>#NAME?</v>
      </c>
      <c r="R131" t="e">
        <f t="shared" ca="1" si="27"/>
        <v>#NAME?</v>
      </c>
      <c r="S131" t="e">
        <f t="shared" ca="1" si="25"/>
        <v>#NAME?</v>
      </c>
      <c r="T131" t="e">
        <f t="shared" ca="1" si="25"/>
        <v>#NAME?</v>
      </c>
      <c r="U131" t="e">
        <f t="shared" ca="1" si="25"/>
        <v>#NAME?</v>
      </c>
      <c r="V131" t="e">
        <f t="shared" ca="1" si="25"/>
        <v>#NAME?</v>
      </c>
      <c r="W131" t="e">
        <f t="shared" ca="1" si="25"/>
        <v>#NAME?</v>
      </c>
      <c r="X131" t="e">
        <f t="shared" ca="1" si="25"/>
        <v>#NAME?</v>
      </c>
      <c r="Z131" s="15">
        <v>1</v>
      </c>
    </row>
    <row r="132" spans="1:34">
      <c r="A132" s="22" t="s">
        <v>362</v>
      </c>
      <c r="B132" s="110" t="s">
        <v>139</v>
      </c>
      <c r="C132" s="91" t="s">
        <v>116</v>
      </c>
      <c r="D132" s="90" t="s">
        <v>116</v>
      </c>
      <c r="E132" s="25"/>
      <c r="F132" s="25"/>
      <c r="G132" s="25" t="s">
        <v>152</v>
      </c>
      <c r="H132" s="25" t="s">
        <v>152</v>
      </c>
      <c r="J132" t="e">
        <f t="shared" ca="1" si="26"/>
        <v>#NAME?</v>
      </c>
      <c r="K132" t="e">
        <f t="shared" ca="1" si="24"/>
        <v>#NAME?</v>
      </c>
      <c r="L132" t="e">
        <f t="shared" ca="1" si="24"/>
        <v>#NAME?</v>
      </c>
      <c r="M132" t="e">
        <f t="shared" ca="1" si="24"/>
        <v>#NAME?</v>
      </c>
      <c r="N132" t="e">
        <f t="shared" ca="1" si="24"/>
        <v>#NAME?</v>
      </c>
      <c r="O132" t="e">
        <f t="shared" ca="1" si="24"/>
        <v>#NAME?</v>
      </c>
      <c r="P132" t="e">
        <f t="shared" ca="1" si="24"/>
        <v>#NAME?</v>
      </c>
      <c r="R132" t="e">
        <f t="shared" ca="1" si="27"/>
        <v>#NAME?</v>
      </c>
      <c r="S132" t="e">
        <f t="shared" ca="1" si="25"/>
        <v>#NAME?</v>
      </c>
      <c r="T132" t="e">
        <f t="shared" ca="1" si="25"/>
        <v>#NAME?</v>
      </c>
      <c r="U132" t="e">
        <f t="shared" ca="1" si="25"/>
        <v>#NAME?</v>
      </c>
      <c r="V132" t="e">
        <f t="shared" ca="1" si="25"/>
        <v>#NAME?</v>
      </c>
      <c r="W132" t="e">
        <f t="shared" ca="1" si="25"/>
        <v>#NAME?</v>
      </c>
      <c r="X132" t="e">
        <f t="shared" ca="1" si="25"/>
        <v>#NAME?</v>
      </c>
      <c r="Z132" s="15">
        <v>1</v>
      </c>
    </row>
    <row r="133" spans="1:34">
      <c r="A133" s="22" t="s">
        <v>363</v>
      </c>
      <c r="B133" s="44" t="s">
        <v>186</v>
      </c>
      <c r="C133" s="101" t="s">
        <v>118</v>
      </c>
      <c r="D133" s="25"/>
      <c r="E133" s="25"/>
      <c r="F133" s="25"/>
      <c r="G133" s="110" t="s">
        <v>139</v>
      </c>
      <c r="H133" s="90" t="s">
        <v>116</v>
      </c>
      <c r="J133" t="e">
        <f t="shared" ca="1" si="26"/>
        <v>#NAME?</v>
      </c>
      <c r="K133" t="e">
        <f t="shared" ca="1" si="24"/>
        <v>#NAME?</v>
      </c>
      <c r="L133" t="e">
        <f t="shared" ca="1" si="24"/>
        <v>#NAME?</v>
      </c>
      <c r="M133" t="e">
        <f t="shared" ca="1" si="24"/>
        <v>#NAME?</v>
      </c>
      <c r="N133" t="e">
        <f t="shared" ca="1" si="24"/>
        <v>#NAME?</v>
      </c>
      <c r="O133" t="e">
        <f t="shared" ca="1" si="24"/>
        <v>#NAME?</v>
      </c>
      <c r="P133" t="e">
        <f t="shared" ca="1" si="24"/>
        <v>#NAME?</v>
      </c>
      <c r="R133" t="e">
        <f t="shared" ca="1" si="27"/>
        <v>#NAME?</v>
      </c>
      <c r="S133" t="e">
        <f t="shared" ca="1" si="25"/>
        <v>#NAME?</v>
      </c>
      <c r="T133" t="e">
        <f t="shared" ca="1" si="25"/>
        <v>#NAME?</v>
      </c>
      <c r="U133" t="e">
        <f t="shared" ca="1" si="25"/>
        <v>#NAME?</v>
      </c>
      <c r="V133" t="e">
        <f t="shared" ca="1" si="25"/>
        <v>#NAME?</v>
      </c>
      <c r="W133" t="e">
        <f t="shared" ca="1" si="25"/>
        <v>#NAME?</v>
      </c>
      <c r="X133" t="e">
        <f t="shared" ca="1" si="25"/>
        <v>#NAME?</v>
      </c>
      <c r="Z133" s="15">
        <v>1</v>
      </c>
    </row>
    <row r="134" spans="1:34">
      <c r="A134" s="22" t="s">
        <v>364</v>
      </c>
      <c r="B134" s="25"/>
      <c r="C134" s="91" t="s">
        <v>118</v>
      </c>
      <c r="D134" s="44" t="s">
        <v>186</v>
      </c>
      <c r="E134" s="90" t="s">
        <v>116</v>
      </c>
      <c r="F134" s="91" t="s">
        <v>116</v>
      </c>
      <c r="G134" s="25"/>
      <c r="H134" s="25"/>
      <c r="J134" t="e">
        <f t="shared" ca="1" si="26"/>
        <v>#NAME?</v>
      </c>
      <c r="K134" t="e">
        <f t="shared" ca="1" si="24"/>
        <v>#NAME?</v>
      </c>
      <c r="L134" t="e">
        <f t="shared" ca="1" si="24"/>
        <v>#NAME?</v>
      </c>
      <c r="M134" t="e">
        <f t="shared" ca="1" si="24"/>
        <v>#NAME?</v>
      </c>
      <c r="N134" t="e">
        <f t="shared" ca="1" si="24"/>
        <v>#NAME?</v>
      </c>
      <c r="O134" t="e">
        <f t="shared" ca="1" si="24"/>
        <v>#NAME?</v>
      </c>
      <c r="P134" t="e">
        <f t="shared" ca="1" si="24"/>
        <v>#NAME?</v>
      </c>
      <c r="R134" t="e">
        <f t="shared" ca="1" si="27"/>
        <v>#NAME?</v>
      </c>
      <c r="S134" t="e">
        <f t="shared" ca="1" si="25"/>
        <v>#NAME?</v>
      </c>
      <c r="T134" t="e">
        <f t="shared" ca="1" si="25"/>
        <v>#NAME?</v>
      </c>
      <c r="U134" t="e">
        <f t="shared" ca="1" si="25"/>
        <v>#NAME?</v>
      </c>
      <c r="V134" t="e">
        <f t="shared" ca="1" si="25"/>
        <v>#NAME?</v>
      </c>
      <c r="W134" t="e">
        <f t="shared" ca="1" si="25"/>
        <v>#NAME?</v>
      </c>
      <c r="X134" t="e">
        <f t="shared" ca="1" si="25"/>
        <v>#NAME?</v>
      </c>
      <c r="Z134" s="15">
        <v>1</v>
      </c>
    </row>
    <row r="135" spans="1:34">
      <c r="A135" s="22" t="s">
        <v>365</v>
      </c>
      <c r="B135" s="127" t="s">
        <v>18</v>
      </c>
      <c r="C135" s="128"/>
      <c r="D135" s="128"/>
      <c r="E135" s="128"/>
      <c r="F135" s="128"/>
      <c r="G135" s="128"/>
      <c r="H135" s="129"/>
      <c r="J135" t="e">
        <f t="shared" ca="1" si="26"/>
        <v>#NAME?</v>
      </c>
      <c r="K135" t="e">
        <f t="shared" ca="1" si="24"/>
        <v>#NAME?</v>
      </c>
      <c r="L135" t="e">
        <f t="shared" ca="1" si="24"/>
        <v>#NAME?</v>
      </c>
      <c r="M135" t="e">
        <f t="shared" ca="1" si="24"/>
        <v>#NAME?</v>
      </c>
      <c r="N135" t="e">
        <f t="shared" ca="1" si="24"/>
        <v>#NAME?</v>
      </c>
      <c r="O135" t="e">
        <f t="shared" ca="1" si="24"/>
        <v>#NAME?</v>
      </c>
      <c r="P135" t="e">
        <f t="shared" ca="1" si="24"/>
        <v>#NAME?</v>
      </c>
      <c r="R135" t="e">
        <f t="shared" ca="1" si="27"/>
        <v>#NAME?</v>
      </c>
      <c r="S135" t="e">
        <f t="shared" ca="1" si="25"/>
        <v>#NAME?</v>
      </c>
      <c r="T135" t="e">
        <f t="shared" ca="1" si="25"/>
        <v>#NAME?</v>
      </c>
      <c r="U135" t="e">
        <f t="shared" ca="1" si="25"/>
        <v>#NAME?</v>
      </c>
      <c r="V135" t="e">
        <f t="shared" ca="1" si="25"/>
        <v>#NAME?</v>
      </c>
      <c r="W135" t="e">
        <f t="shared" ca="1" si="25"/>
        <v>#NAME?</v>
      </c>
      <c r="X135" t="e">
        <f t="shared" ca="1" si="25"/>
        <v>#NAME?</v>
      </c>
      <c r="Z135" s="15">
        <v>1</v>
      </c>
    </row>
    <row r="136" spans="1:34">
      <c r="A136" s="106" t="s">
        <v>223</v>
      </c>
      <c r="B136" s="107" t="str">
        <f t="shared" ref="B136:H136" si="29">B101</f>
        <v>Mon 8 Jun</v>
      </c>
      <c r="C136" s="107" t="str">
        <f t="shared" si="29"/>
        <v>Tues 9 Jun</v>
      </c>
      <c r="D136" s="107" t="str">
        <f t="shared" si="29"/>
        <v>Wed 10 Jun</v>
      </c>
      <c r="E136" s="107" t="str">
        <f t="shared" si="29"/>
        <v>Thu 11 Jun</v>
      </c>
      <c r="F136" s="107" t="str">
        <f t="shared" si="29"/>
        <v>Fri 12 Jun</v>
      </c>
      <c r="G136" s="107" t="str">
        <f t="shared" si="29"/>
        <v>Sat 13 Jun</v>
      </c>
      <c r="H136" s="107" t="str">
        <f t="shared" si="29"/>
        <v>Sun 14 Jun</v>
      </c>
      <c r="J136" t="e">
        <f t="shared" ca="1" si="26"/>
        <v>#NAME?</v>
      </c>
      <c r="K136" t="e">
        <f t="shared" ca="1" si="24"/>
        <v>#NAME?</v>
      </c>
      <c r="L136" t="e">
        <f t="shared" ca="1" si="24"/>
        <v>#NAME?</v>
      </c>
      <c r="M136" t="e">
        <f t="shared" ca="1" si="24"/>
        <v>#NAME?</v>
      </c>
      <c r="N136" t="e">
        <f t="shared" ca="1" si="24"/>
        <v>#NAME?</v>
      </c>
      <c r="O136" t="e">
        <f t="shared" ca="1" si="24"/>
        <v>#NAME?</v>
      </c>
      <c r="P136" t="e">
        <f t="shared" ca="1" si="24"/>
        <v>#NAME?</v>
      </c>
      <c r="R136" t="e">
        <f t="shared" ca="1" si="27"/>
        <v>#NAME?</v>
      </c>
      <c r="S136" t="e">
        <f t="shared" ca="1" si="25"/>
        <v>#NAME?</v>
      </c>
      <c r="T136" t="e">
        <f t="shared" ca="1" si="25"/>
        <v>#NAME?</v>
      </c>
      <c r="U136" t="e">
        <f t="shared" ca="1" si="25"/>
        <v>#NAME?</v>
      </c>
      <c r="V136" t="e">
        <f t="shared" ca="1" si="25"/>
        <v>#NAME?</v>
      </c>
      <c r="W136" t="e">
        <f t="shared" ca="1" si="25"/>
        <v>#NAME?</v>
      </c>
      <c r="X136" t="e">
        <f t="shared" ca="1" si="25"/>
        <v>#NAME?</v>
      </c>
      <c r="Z136" s="53">
        <f>SUM(Z128:Z135)</f>
        <v>8</v>
      </c>
      <c r="AA136" s="55"/>
      <c r="AB136" s="55"/>
      <c r="AC136" s="55"/>
    </row>
    <row r="137" spans="1:34">
      <c r="A137" s="21" t="s">
        <v>384</v>
      </c>
      <c r="B137" s="25"/>
      <c r="C137" s="25"/>
      <c r="D137" s="25"/>
      <c r="E137" s="25"/>
      <c r="F137" s="25"/>
      <c r="G137" s="90" t="s">
        <v>118</v>
      </c>
      <c r="H137" s="25"/>
      <c r="J137" t="e">
        <f t="shared" ca="1" si="26"/>
        <v>#NAME?</v>
      </c>
      <c r="K137" t="e">
        <f t="shared" ca="1" si="24"/>
        <v>#NAME?</v>
      </c>
      <c r="L137" t="e">
        <f t="shared" ca="1" si="24"/>
        <v>#NAME?</v>
      </c>
      <c r="M137" t="e">
        <f t="shared" ca="1" si="24"/>
        <v>#NAME?</v>
      </c>
      <c r="N137" t="e">
        <f t="shared" ref="N137:P140" ca="1" si="30">colorindex(F137)</f>
        <v>#NAME?</v>
      </c>
      <c r="O137" t="e">
        <f t="shared" ca="1" si="30"/>
        <v>#NAME?</v>
      </c>
      <c r="P137" t="e">
        <f t="shared" ca="1" si="30"/>
        <v>#NAME?</v>
      </c>
      <c r="R137" t="e">
        <f t="shared" ca="1" si="27"/>
        <v>#NAME?</v>
      </c>
      <c r="S137" t="e">
        <f t="shared" ca="1" si="25"/>
        <v>#NAME?</v>
      </c>
      <c r="T137" t="e">
        <f t="shared" ca="1" si="25"/>
        <v>#NAME?</v>
      </c>
      <c r="U137" t="e">
        <f t="shared" ca="1" si="25"/>
        <v>#NAME?</v>
      </c>
      <c r="V137" t="e">
        <f t="shared" ref="V137:X140" ca="1" si="31">ShiftIndex(F137)</f>
        <v>#NAME?</v>
      </c>
      <c r="W137" t="e">
        <f t="shared" ca="1" si="31"/>
        <v>#NAME?</v>
      </c>
      <c r="X137" t="e">
        <f t="shared" ca="1" si="31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6"/>
        <v>#NAME?</v>
      </c>
      <c r="K138" t="e">
        <f t="shared" ca="1" si="26"/>
        <v>#NAME?</v>
      </c>
      <c r="L138" t="e">
        <f t="shared" ca="1" si="26"/>
        <v>#NAME?</v>
      </c>
      <c r="M138" t="e">
        <f t="shared" ca="1" si="26"/>
        <v>#NAME?</v>
      </c>
      <c r="N138" t="e">
        <f t="shared" ca="1" si="30"/>
        <v>#NAME?</v>
      </c>
      <c r="O138" t="e">
        <f t="shared" ca="1" si="30"/>
        <v>#NAME?</v>
      </c>
      <c r="P138" t="e">
        <f t="shared" ca="1" si="30"/>
        <v>#NAME?</v>
      </c>
      <c r="R138" t="e">
        <f t="shared" ca="1" si="27"/>
        <v>#NAME?</v>
      </c>
      <c r="S138" t="e">
        <f t="shared" ca="1" si="27"/>
        <v>#NAME?</v>
      </c>
      <c r="T138" t="e">
        <f t="shared" ca="1" si="27"/>
        <v>#NAME?</v>
      </c>
      <c r="U138" t="e">
        <f t="shared" ca="1" si="27"/>
        <v>#NAME?</v>
      </c>
      <c r="V138" t="e">
        <f t="shared" ca="1" si="31"/>
        <v>#NAME?</v>
      </c>
      <c r="W138" t="e">
        <f t="shared" ca="1" si="31"/>
        <v>#NAME?</v>
      </c>
      <c r="X138" t="e">
        <f t="shared" ca="1" si="31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2">B136</f>
        <v>Mon 8 Jun</v>
      </c>
      <c r="C139" s="107" t="str">
        <f t="shared" si="32"/>
        <v>Tues 9 Jun</v>
      </c>
      <c r="D139" s="107" t="str">
        <f t="shared" si="32"/>
        <v>Wed 10 Jun</v>
      </c>
      <c r="E139" s="107" t="str">
        <f t="shared" si="32"/>
        <v>Thu 11 Jun</v>
      </c>
      <c r="F139" s="107" t="str">
        <f t="shared" si="32"/>
        <v>Fri 12 Jun</v>
      </c>
      <c r="G139" s="107" t="str">
        <f t="shared" si="32"/>
        <v>Sat 13 Jun</v>
      </c>
      <c r="H139" s="107" t="str">
        <f t="shared" si="32"/>
        <v>Sun 14 Jun</v>
      </c>
      <c r="J139" t="e">
        <f t="shared" ca="1" si="26"/>
        <v>#NAME?</v>
      </c>
      <c r="K139" t="e">
        <f t="shared" ca="1" si="26"/>
        <v>#NAME?</v>
      </c>
      <c r="L139" t="e">
        <f t="shared" ca="1" si="26"/>
        <v>#NAME?</v>
      </c>
      <c r="M139" t="e">
        <f t="shared" ca="1" si="26"/>
        <v>#NAME?</v>
      </c>
      <c r="N139" t="e">
        <f t="shared" ca="1" si="30"/>
        <v>#NAME?</v>
      </c>
      <c r="O139" t="e">
        <f t="shared" ca="1" si="30"/>
        <v>#NAME?</v>
      </c>
      <c r="P139" t="e">
        <f t="shared" ca="1" si="30"/>
        <v>#NAME?</v>
      </c>
      <c r="Q139"/>
      <c r="R139" t="e">
        <f t="shared" ca="1" si="27"/>
        <v>#NAME?</v>
      </c>
      <c r="S139" t="e">
        <f t="shared" ca="1" si="27"/>
        <v>#NAME?</v>
      </c>
      <c r="T139" t="e">
        <f t="shared" ca="1" si="27"/>
        <v>#NAME?</v>
      </c>
      <c r="U139" t="e">
        <f t="shared" ca="1" si="27"/>
        <v>#NAME?</v>
      </c>
      <c r="V139" t="e">
        <f t="shared" ca="1" si="31"/>
        <v>#NAME?</v>
      </c>
      <c r="W139" t="e">
        <f t="shared" ca="1" si="31"/>
        <v>#NAME?</v>
      </c>
      <c r="X139" t="e">
        <f t="shared" ca="1" si="31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6"/>
        <v>#NAME?</v>
      </c>
      <c r="K140" t="e">
        <f t="shared" ca="1" si="26"/>
        <v>#NAME?</v>
      </c>
      <c r="L140" t="e">
        <f t="shared" ca="1" si="26"/>
        <v>#NAME?</v>
      </c>
      <c r="M140" t="e">
        <f t="shared" ca="1" si="26"/>
        <v>#NAME?</v>
      </c>
      <c r="N140" t="e">
        <f t="shared" ca="1" si="30"/>
        <v>#NAME?</v>
      </c>
      <c r="O140" t="e">
        <f t="shared" ca="1" si="30"/>
        <v>#NAME?</v>
      </c>
      <c r="P140" t="e">
        <f t="shared" ca="1" si="30"/>
        <v>#NAME?</v>
      </c>
      <c r="Q140"/>
      <c r="R140" t="e">
        <f t="shared" ca="1" si="27"/>
        <v>#NAME?</v>
      </c>
      <c r="S140" t="e">
        <f t="shared" ca="1" si="27"/>
        <v>#NAME?</v>
      </c>
      <c r="T140" t="e">
        <f t="shared" ca="1" si="27"/>
        <v>#NAME?</v>
      </c>
      <c r="U140" t="e">
        <f t="shared" ca="1" si="27"/>
        <v>#NAME?</v>
      </c>
      <c r="V140" t="e">
        <f t="shared" ca="1" si="31"/>
        <v>#NAME?</v>
      </c>
      <c r="W140" t="e">
        <f t="shared" ca="1" si="31"/>
        <v>#NAME?</v>
      </c>
      <c r="X140" t="e">
        <f t="shared" ca="1" si="31"/>
        <v>#NAME?</v>
      </c>
      <c r="Z140" s="12"/>
      <c r="AA140"/>
    </row>
    <row r="141" spans="1:34">
      <c r="A141" s="106" t="s">
        <v>242</v>
      </c>
      <c r="B141" s="107" t="str">
        <f t="shared" ref="B141:H141" si="33">B58</f>
        <v>Mon 8 Jun</v>
      </c>
      <c r="C141" s="107" t="str">
        <f t="shared" si="33"/>
        <v>Tues 9 Jun</v>
      </c>
      <c r="D141" s="107" t="str">
        <f t="shared" si="33"/>
        <v>Wed 10 Jun</v>
      </c>
      <c r="E141" s="107" t="str">
        <f t="shared" si="33"/>
        <v>Thu 11 Jun</v>
      </c>
      <c r="F141" s="107" t="str">
        <f t="shared" si="33"/>
        <v>Fri 12 Jun</v>
      </c>
      <c r="G141" s="107" t="str">
        <f t="shared" si="33"/>
        <v>Sat 13 Jun</v>
      </c>
      <c r="H141" s="107" t="str">
        <f t="shared" si="33"/>
        <v>Sun 14 Jun</v>
      </c>
    </row>
    <row r="142" spans="1:34">
      <c r="A142" s="27" t="s">
        <v>243</v>
      </c>
      <c r="B142" s="17">
        <f t="shared" ref="B142:H142" ca="1" si="34">COUNTIFS(J:J,"Red",R:R,"AM")</f>
        <v>0</v>
      </c>
      <c r="C142" s="17">
        <f t="shared" ca="1" si="34"/>
        <v>0</v>
      </c>
      <c r="D142" s="17">
        <f t="shared" ca="1" si="34"/>
        <v>0</v>
      </c>
      <c r="E142" s="17">
        <f t="shared" ca="1" si="34"/>
        <v>0</v>
      </c>
      <c r="F142" s="17">
        <f t="shared" ca="1" si="34"/>
        <v>0</v>
      </c>
      <c r="G142" s="17">
        <f t="shared" ca="1" si="34"/>
        <v>0</v>
      </c>
      <c r="H142" s="17">
        <f t="shared" ca="1" si="34"/>
        <v>0</v>
      </c>
    </row>
    <row r="143" spans="1:34">
      <c r="A143" s="2" t="s">
        <v>244</v>
      </c>
      <c r="B143" s="17">
        <f t="shared" ref="B143:H143" ca="1" si="35">COUNTIFS(J:J,"Green",R:R,"AM")</f>
        <v>0</v>
      </c>
      <c r="C143" s="17">
        <f t="shared" ca="1" si="35"/>
        <v>0</v>
      </c>
      <c r="D143" s="17">
        <f t="shared" ca="1" si="35"/>
        <v>0</v>
      </c>
      <c r="E143" s="17">
        <f t="shared" ca="1" si="35"/>
        <v>0</v>
      </c>
      <c r="F143" s="17">
        <f t="shared" ca="1" si="35"/>
        <v>0</v>
      </c>
      <c r="G143" s="17">
        <f t="shared" ca="1" si="35"/>
        <v>0</v>
      </c>
      <c r="H143" s="17">
        <f t="shared" ca="1" si="35"/>
        <v>0</v>
      </c>
    </row>
    <row r="144" spans="1:34">
      <c r="A144" s="26" t="s">
        <v>245</v>
      </c>
      <c r="B144" s="17">
        <f t="shared" ref="B144:H144" ca="1" si="36">COUNTIFS(J:J,"Gold",R:R,"AM")</f>
        <v>0</v>
      </c>
      <c r="C144" s="17">
        <f t="shared" ca="1" si="36"/>
        <v>0</v>
      </c>
      <c r="D144" s="17">
        <f t="shared" ca="1" si="36"/>
        <v>0</v>
      </c>
      <c r="E144" s="17">
        <f t="shared" ca="1" si="36"/>
        <v>0</v>
      </c>
      <c r="F144" s="17">
        <f t="shared" ca="1" si="36"/>
        <v>0</v>
      </c>
      <c r="G144" s="17">
        <f t="shared" ca="1" si="36"/>
        <v>0</v>
      </c>
      <c r="H144" s="17">
        <f t="shared" ca="1" si="36"/>
        <v>0</v>
      </c>
    </row>
    <row r="145" spans="1:26">
      <c r="A145" s="29" t="s">
        <v>246</v>
      </c>
      <c r="B145" s="17">
        <f t="shared" ref="B145:H145" ca="1" si="37">COUNTIFS(J:J,"LGreen",R:R,"AM")</f>
        <v>0</v>
      </c>
      <c r="C145" s="17">
        <f t="shared" ca="1" si="37"/>
        <v>0</v>
      </c>
      <c r="D145" s="17">
        <f t="shared" ca="1" si="37"/>
        <v>0</v>
      </c>
      <c r="E145" s="17">
        <f t="shared" ca="1" si="37"/>
        <v>0</v>
      </c>
      <c r="F145" s="17">
        <f t="shared" ca="1" si="37"/>
        <v>0</v>
      </c>
      <c r="G145" s="17">
        <f t="shared" ca="1" si="37"/>
        <v>0</v>
      </c>
      <c r="H145" s="17">
        <f t="shared" ca="1" si="37"/>
        <v>0</v>
      </c>
    </row>
    <row r="146" spans="1:26">
      <c r="A146" s="43" t="s">
        <v>26</v>
      </c>
      <c r="B146" s="17">
        <f t="shared" ref="B146:H146" ca="1" si="38">COUNTIFS(J:J,"Blue",R:R,"AM")</f>
        <v>0</v>
      </c>
      <c r="C146" s="17">
        <f t="shared" ca="1" si="38"/>
        <v>0</v>
      </c>
      <c r="D146" s="17">
        <f t="shared" ca="1" si="38"/>
        <v>0</v>
      </c>
      <c r="E146" s="17">
        <f t="shared" ca="1" si="38"/>
        <v>0</v>
      </c>
      <c r="F146" s="17">
        <f t="shared" ca="1" si="38"/>
        <v>0</v>
      </c>
      <c r="G146" s="17">
        <f t="shared" ca="1" si="38"/>
        <v>0</v>
      </c>
      <c r="H146" s="17">
        <f t="shared" ca="1" si="38"/>
        <v>0</v>
      </c>
    </row>
    <row r="147" spans="1:26">
      <c r="A147" s="3" t="s">
        <v>16</v>
      </c>
      <c r="B147" s="17">
        <f t="shared" ref="B147:H147" ca="1" si="39">COUNTIFS(J:J,"Pink",R:R,"AM")</f>
        <v>0</v>
      </c>
      <c r="C147" s="17">
        <f t="shared" ca="1" si="39"/>
        <v>0</v>
      </c>
      <c r="D147" s="17">
        <f t="shared" ca="1" si="39"/>
        <v>0</v>
      </c>
      <c r="E147" s="17">
        <f t="shared" ca="1" si="39"/>
        <v>0</v>
      </c>
      <c r="F147" s="17">
        <f t="shared" ca="1" si="39"/>
        <v>0</v>
      </c>
      <c r="G147" s="17">
        <f t="shared" ca="1" si="39"/>
        <v>0</v>
      </c>
      <c r="H147" s="17">
        <f t="shared" ca="1" si="39"/>
        <v>0</v>
      </c>
    </row>
    <row r="148" spans="1:26">
      <c r="A148" s="5" t="s">
        <v>247</v>
      </c>
      <c r="B148" s="17">
        <f t="shared" ref="B148:H148" ca="1" si="40">COUNTIFS(R:R,"AM") - B142-B143-B144-B145-B146-B147</f>
        <v>0</v>
      </c>
      <c r="C148" s="17">
        <f t="shared" ca="1" si="40"/>
        <v>1</v>
      </c>
      <c r="D148" s="17">
        <f t="shared" ca="1" si="40"/>
        <v>0</v>
      </c>
      <c r="E148" s="17">
        <f t="shared" ca="1" si="40"/>
        <v>0</v>
      </c>
      <c r="F148" s="17">
        <f t="shared" ca="1" si="40"/>
        <v>0</v>
      </c>
      <c r="G148" s="17">
        <f t="shared" ca="1" si="40"/>
        <v>1</v>
      </c>
      <c r="H148" s="17">
        <f t="shared" ca="1" si="40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41">SUM(C142:C147)</f>
        <v>0</v>
      </c>
      <c r="D149" s="47">
        <f t="shared" ca="1" si="41"/>
        <v>0</v>
      </c>
      <c r="E149" s="47">
        <f t="shared" ca="1" si="41"/>
        <v>0</v>
      </c>
      <c r="F149" s="47">
        <f t="shared" ca="1" si="41"/>
        <v>0</v>
      </c>
      <c r="G149" s="47">
        <f t="shared" ca="1" si="41"/>
        <v>0</v>
      </c>
      <c r="H149" s="47">
        <f t="shared" ca="1" si="41"/>
        <v>0</v>
      </c>
      <c r="Z149" s="48"/>
    </row>
    <row r="150" spans="1:26">
      <c r="A150" s="27" t="s">
        <v>249</v>
      </c>
      <c r="B150" s="17">
        <f t="shared" ref="B150:H150" ca="1" si="42">COUNTIFS(J:J,"Red",R:R,"PM")</f>
        <v>0</v>
      </c>
      <c r="C150" s="17">
        <f t="shared" ca="1" si="42"/>
        <v>0</v>
      </c>
      <c r="D150" s="17">
        <f t="shared" ca="1" si="42"/>
        <v>0</v>
      </c>
      <c r="E150" s="17">
        <f t="shared" ca="1" si="42"/>
        <v>0</v>
      </c>
      <c r="F150" s="17">
        <f t="shared" ca="1" si="42"/>
        <v>0</v>
      </c>
      <c r="G150" s="17">
        <f t="shared" ca="1" si="42"/>
        <v>0</v>
      </c>
      <c r="H150" s="17">
        <f t="shared" ca="1" si="42"/>
        <v>0</v>
      </c>
    </row>
    <row r="151" spans="1:26">
      <c r="A151" s="2" t="s">
        <v>250</v>
      </c>
      <c r="B151" s="17">
        <f t="shared" ref="B151:H151" ca="1" si="43">COUNTIFS(J:J,"Green",R:R,"PM")</f>
        <v>0</v>
      </c>
      <c r="C151" s="17">
        <f t="shared" ca="1" si="43"/>
        <v>0</v>
      </c>
      <c r="D151" s="17">
        <f t="shared" ca="1" si="43"/>
        <v>0</v>
      </c>
      <c r="E151" s="17">
        <f t="shared" ca="1" si="43"/>
        <v>0</v>
      </c>
      <c r="F151" s="17">
        <f t="shared" ca="1" si="43"/>
        <v>0</v>
      </c>
      <c r="G151" s="17">
        <f t="shared" ca="1" si="43"/>
        <v>0</v>
      </c>
      <c r="H151" s="17">
        <f t="shared" ca="1" si="43"/>
        <v>0</v>
      </c>
    </row>
    <row r="152" spans="1:26">
      <c r="A152" s="26" t="s">
        <v>251</v>
      </c>
      <c r="B152" s="17">
        <f t="shared" ref="B152:H152" ca="1" si="44">COUNTIFS(J:J,"Gold",R:R,"PM")</f>
        <v>0</v>
      </c>
      <c r="C152" s="17">
        <f t="shared" ca="1" si="44"/>
        <v>0</v>
      </c>
      <c r="D152" s="17">
        <f t="shared" ca="1" si="44"/>
        <v>0</v>
      </c>
      <c r="E152" s="17">
        <f t="shared" ca="1" si="44"/>
        <v>0</v>
      </c>
      <c r="F152" s="17">
        <f t="shared" ca="1" si="44"/>
        <v>0</v>
      </c>
      <c r="G152" s="17">
        <f t="shared" ca="1" si="44"/>
        <v>0</v>
      </c>
      <c r="H152" s="17">
        <f t="shared" ca="1" si="44"/>
        <v>0</v>
      </c>
    </row>
    <row r="153" spans="1:26">
      <c r="A153" s="29" t="s">
        <v>252</v>
      </c>
      <c r="B153" s="17">
        <f t="shared" ref="B153:H153" ca="1" si="45">COUNTIFS(J:J,"LGreen",R:R,"PM")</f>
        <v>0</v>
      </c>
      <c r="C153" s="17">
        <f t="shared" ca="1" si="45"/>
        <v>0</v>
      </c>
      <c r="D153" s="17">
        <f t="shared" ca="1" si="45"/>
        <v>0</v>
      </c>
      <c r="E153" s="17">
        <f t="shared" ca="1" si="45"/>
        <v>0</v>
      </c>
      <c r="F153" s="17">
        <f t="shared" ca="1" si="45"/>
        <v>0</v>
      </c>
      <c r="G153" s="17">
        <f t="shared" ca="1" si="45"/>
        <v>0</v>
      </c>
      <c r="H153" s="17">
        <f t="shared" ca="1" si="45"/>
        <v>0</v>
      </c>
    </row>
    <row r="154" spans="1:26">
      <c r="A154" s="10" t="s">
        <v>253</v>
      </c>
      <c r="B154" s="17">
        <f t="shared" ref="B154:H154" ca="1" si="46">COUNTIFS(J:J,"Blue",R:R,"PM")</f>
        <v>0</v>
      </c>
      <c r="C154" s="17">
        <f t="shared" ca="1" si="46"/>
        <v>0</v>
      </c>
      <c r="D154" s="17">
        <f t="shared" ca="1" si="46"/>
        <v>0</v>
      </c>
      <c r="E154" s="17">
        <f t="shared" ca="1" si="46"/>
        <v>0</v>
      </c>
      <c r="F154" s="17">
        <f t="shared" ca="1" si="46"/>
        <v>0</v>
      </c>
      <c r="G154" s="17">
        <f t="shared" ca="1" si="46"/>
        <v>0</v>
      </c>
      <c r="H154" s="17">
        <f t="shared" ca="1" si="46"/>
        <v>0</v>
      </c>
    </row>
    <row r="155" spans="1:26">
      <c r="A155" s="3" t="s">
        <v>59</v>
      </c>
      <c r="B155" s="17">
        <f t="shared" ref="B155:H155" ca="1" si="47">COUNTIFS(J:J,"Pink",R:R,"PM")</f>
        <v>0</v>
      </c>
      <c r="C155" s="17">
        <f t="shared" ca="1" si="47"/>
        <v>0</v>
      </c>
      <c r="D155" s="17">
        <f t="shared" ca="1" si="47"/>
        <v>0</v>
      </c>
      <c r="E155" s="17">
        <f t="shared" ca="1" si="47"/>
        <v>0</v>
      </c>
      <c r="F155" s="17">
        <f t="shared" ca="1" si="47"/>
        <v>0</v>
      </c>
      <c r="G155" s="17">
        <f t="shared" ca="1" si="47"/>
        <v>0</v>
      </c>
      <c r="H155" s="17">
        <f t="shared" ca="1" si="47"/>
        <v>0</v>
      </c>
    </row>
    <row r="156" spans="1:26">
      <c r="A156" s="5" t="s">
        <v>254</v>
      </c>
      <c r="B156" s="17">
        <f t="shared" ref="B156:H156" ca="1" si="48">COUNTIFS(R:R,"PM") -B151-B152-B155-B154-B150-B153</f>
        <v>0</v>
      </c>
      <c r="C156" s="17">
        <f t="shared" ca="1" si="48"/>
        <v>0</v>
      </c>
      <c r="D156" s="17">
        <f t="shared" ca="1" si="48"/>
        <v>0</v>
      </c>
      <c r="E156" s="17">
        <f t="shared" ca="1" si="48"/>
        <v>0</v>
      </c>
      <c r="F156" s="17">
        <f t="shared" ca="1" si="48"/>
        <v>0</v>
      </c>
      <c r="G156" s="17">
        <f t="shared" ca="1" si="48"/>
        <v>0</v>
      </c>
      <c r="H156" s="17">
        <f t="shared" ca="1" si="48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9">SUM(C150:C155)</f>
        <v>0</v>
      </c>
      <c r="D157" s="47">
        <f t="shared" ca="1" si="49"/>
        <v>0</v>
      </c>
      <c r="E157" s="47">
        <f t="shared" ca="1" si="49"/>
        <v>0</v>
      </c>
      <c r="F157" s="47">
        <f t="shared" ca="1" si="49"/>
        <v>0</v>
      </c>
      <c r="G157" s="47">
        <f t="shared" ca="1" si="49"/>
        <v>0</v>
      </c>
      <c r="H157" s="47">
        <f t="shared" ca="1" si="49"/>
        <v>0</v>
      </c>
      <c r="Z157" s="48"/>
    </row>
    <row r="158" spans="1:26">
      <c r="A158" s="4" t="s">
        <v>256</v>
      </c>
      <c r="B158" s="17">
        <f t="shared" ref="B158:H158" ca="1" si="50">COUNTIFS(R:R,"ND")</f>
        <v>0</v>
      </c>
      <c r="C158" s="17">
        <f t="shared" ca="1" si="50"/>
        <v>0</v>
      </c>
      <c r="D158" s="17">
        <f t="shared" ca="1" si="50"/>
        <v>0</v>
      </c>
      <c r="E158" s="17">
        <f t="shared" ca="1" si="50"/>
        <v>0</v>
      </c>
      <c r="F158" s="17">
        <f t="shared" ca="1" si="50"/>
        <v>0</v>
      </c>
      <c r="G158" s="17">
        <f t="shared" ca="1" si="50"/>
        <v>0</v>
      </c>
      <c r="H158" s="17">
        <f t="shared" ca="1" si="50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48:AH52">
    <sortCondition ref="A48"/>
  </sortState>
  <mergeCells count="25">
    <mergeCell ref="B38:H38"/>
    <mergeCell ref="B40:H40"/>
    <mergeCell ref="B48:H48"/>
    <mergeCell ref="B50:H50"/>
    <mergeCell ref="B23:H23"/>
    <mergeCell ref="B28:H28"/>
    <mergeCell ref="B29:H29"/>
    <mergeCell ref="B34:H34"/>
    <mergeCell ref="B35:H35"/>
    <mergeCell ref="B12:H12"/>
    <mergeCell ref="B14:H14"/>
    <mergeCell ref="B15:H15"/>
    <mergeCell ref="B18:H18"/>
    <mergeCell ref="B20:H20"/>
    <mergeCell ref="B102:H102"/>
    <mergeCell ref="B103:H103"/>
    <mergeCell ref="F109:H109"/>
    <mergeCell ref="G106:H106"/>
    <mergeCell ref="B135:H135"/>
    <mergeCell ref="G128:H128"/>
    <mergeCell ref="B61:H61"/>
    <mergeCell ref="B76:H76"/>
    <mergeCell ref="B87:H87"/>
    <mergeCell ref="B96:H96"/>
    <mergeCell ref="B91:H91"/>
  </mergeCells>
  <conditionalFormatting sqref="B145:H145 B147:H147 B153:H153 B155:H155">
    <cfRule type="cellIs" dxfId="47" priority="4" operator="lessThan">
      <formula>2</formula>
    </cfRule>
  </conditionalFormatting>
  <conditionalFormatting sqref="B146:H146">
    <cfRule type="cellIs" dxfId="46" priority="2" operator="lessThan">
      <formula>2</formula>
    </cfRule>
  </conditionalFormatting>
  <conditionalFormatting sqref="B143:H144 B151:H152">
    <cfRule type="cellIs" dxfId="45" priority="5" operator="lessThan">
      <formula>4</formula>
    </cfRule>
  </conditionalFormatting>
  <conditionalFormatting sqref="B142:H142 B150:H150">
    <cfRule type="cellIs" dxfId="44" priority="6" operator="lessThan">
      <formula>2</formula>
    </cfRule>
  </conditionalFormatting>
  <conditionalFormatting sqref="B158:H158">
    <cfRule type="cellIs" dxfId="43" priority="3" operator="lessThan">
      <formula>7</formula>
    </cfRule>
  </conditionalFormatting>
  <conditionalFormatting sqref="B154:H154">
    <cfRule type="cellIs" dxfId="42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37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>
    <tabColor theme="0"/>
    <pageSetUpPr fitToPage="1"/>
  </sheetPr>
  <dimension ref="A1:AH161"/>
  <sheetViews>
    <sheetView topLeftCell="A99" zoomScaleNormal="100" workbookViewId="0">
      <selection activeCell="G116" sqref="G116:H116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46188</v>
      </c>
      <c r="C2" s="105">
        <f>B2+1</f>
        <v>46189</v>
      </c>
      <c r="D2" s="105">
        <f t="shared" ref="D2:H2" si="0">C2+1</f>
        <v>46190</v>
      </c>
      <c r="E2" s="105">
        <f t="shared" si="0"/>
        <v>46191</v>
      </c>
      <c r="F2" s="105">
        <f t="shared" si="0"/>
        <v>46192</v>
      </c>
      <c r="G2" s="105">
        <f t="shared" si="0"/>
        <v>46193</v>
      </c>
      <c r="H2" s="105">
        <f t="shared" si="0"/>
        <v>46194</v>
      </c>
    </row>
    <row r="3" spans="1:26" ht="14.45" customHeight="1">
      <c r="A3" s="21" t="s">
        <v>15</v>
      </c>
      <c r="B3" s="25"/>
      <c r="C3" s="110" t="s">
        <v>59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8" t="s">
        <v>34</v>
      </c>
      <c r="E4" s="25"/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18" t="s">
        <v>36</v>
      </c>
      <c r="C7" s="25"/>
      <c r="D7" s="25" t="s">
        <v>24</v>
      </c>
      <c r="E7" s="25"/>
      <c r="F7" s="25" t="s">
        <v>24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 t="s">
        <v>24</v>
      </c>
      <c r="F8" s="116" t="s">
        <v>45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7" t="s">
        <v>36</v>
      </c>
      <c r="C9" s="25"/>
      <c r="D9" s="25"/>
      <c r="E9" s="25"/>
      <c r="F9" s="110" t="s">
        <v>16</v>
      </c>
      <c r="G9" s="25"/>
      <c r="H9" s="118" t="s">
        <v>36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28" t="s">
        <v>25</v>
      </c>
      <c r="E10" s="25" t="s">
        <v>24</v>
      </c>
      <c r="F10" s="25"/>
      <c r="G10" s="116" t="s">
        <v>45</v>
      </c>
      <c r="H10" s="110" t="s">
        <v>59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27" t="s">
        <v>29</v>
      </c>
      <c r="C11" s="128"/>
      <c r="D11" s="128"/>
      <c r="E11" s="128"/>
      <c r="F11" s="128"/>
      <c r="G11" s="128"/>
      <c r="H11" s="129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25"/>
      <c r="C12" s="118" t="s">
        <v>31</v>
      </c>
      <c r="D12" s="25" t="s">
        <v>24</v>
      </c>
      <c r="E12" s="110" t="s">
        <v>16</v>
      </c>
      <c r="F12" s="116" t="s">
        <v>32</v>
      </c>
      <c r="G12" s="25"/>
      <c r="H12" s="25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27" t="s">
        <v>20</v>
      </c>
      <c r="C13" s="128"/>
      <c r="D13" s="128"/>
      <c r="E13" s="128"/>
      <c r="F13" s="128"/>
      <c r="G13" s="128"/>
      <c r="H13" s="129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127" t="s">
        <v>18</v>
      </c>
      <c r="C15" s="128"/>
      <c r="D15" s="128"/>
      <c r="E15" s="128"/>
      <c r="F15" s="128"/>
      <c r="G15" s="128"/>
      <c r="H15" s="129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44" t="s">
        <v>26</v>
      </c>
      <c r="E16" s="25" t="s">
        <v>24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27" t="s">
        <v>18</v>
      </c>
      <c r="C17" s="128"/>
      <c r="D17" s="128"/>
      <c r="E17" s="128"/>
      <c r="F17" s="128"/>
      <c r="G17" s="128"/>
      <c r="H17" s="129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127" t="s">
        <v>29</v>
      </c>
      <c r="C18" s="128"/>
      <c r="D18" s="128"/>
      <c r="E18" s="128"/>
      <c r="F18" s="128" t="s">
        <v>385</v>
      </c>
      <c r="G18" s="128"/>
      <c r="H18" s="129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8" t="s">
        <v>31</v>
      </c>
      <c r="G19" s="25"/>
      <c r="H19" s="44" t="s">
        <v>26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25"/>
      <c r="C20" s="115" t="s">
        <v>287</v>
      </c>
      <c r="D20" s="25" t="s">
        <v>386</v>
      </c>
      <c r="E20" s="25"/>
      <c r="F20" s="25"/>
      <c r="G20" s="25" t="s">
        <v>387</v>
      </c>
      <c r="H20" s="118" t="s">
        <v>31</v>
      </c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8" t="s">
        <v>288</v>
      </c>
      <c r="C22" s="25" t="s">
        <v>24</v>
      </c>
      <c r="D22" s="117" t="s">
        <v>337</v>
      </c>
      <c r="E22" s="25"/>
      <c r="F22" s="25" t="s">
        <v>24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16" t="s">
        <v>45</v>
      </c>
      <c r="C23" s="25"/>
      <c r="D23" s="25"/>
      <c r="E23" s="115" t="s">
        <v>287</v>
      </c>
      <c r="F23" s="118" t="s">
        <v>36</v>
      </c>
      <c r="G23" s="110" t="s">
        <v>59</v>
      </c>
      <c r="H23" s="25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 t="s">
        <v>24</v>
      </c>
      <c r="D24" s="110" t="s">
        <v>59</v>
      </c>
      <c r="E24" s="25"/>
      <c r="F24" s="28" t="s">
        <v>34</v>
      </c>
      <c r="G24" s="28" t="s">
        <v>388</v>
      </c>
      <c r="H24" s="25" t="s">
        <v>389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8" t="s">
        <v>31</v>
      </c>
      <c r="E25" s="117" t="s">
        <v>36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25" t="s">
        <v>24</v>
      </c>
      <c r="E26" s="25"/>
      <c r="F26" s="117" t="s">
        <v>36</v>
      </c>
      <c r="G26" s="118" t="s">
        <v>36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25"/>
      <c r="C27" s="117" t="s">
        <v>31</v>
      </c>
      <c r="D27" s="25"/>
      <c r="E27" s="25"/>
      <c r="F27" s="115" t="s">
        <v>287</v>
      </c>
      <c r="G27" s="117" t="s">
        <v>36</v>
      </c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/>
      <c r="C29" s="25"/>
      <c r="D29" s="25" t="s">
        <v>24</v>
      </c>
      <c r="E29" s="28" t="s">
        <v>25</v>
      </c>
      <c r="F29" s="25"/>
      <c r="G29" s="25"/>
      <c r="H29" s="116" t="s">
        <v>32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25"/>
      <c r="C30" s="25"/>
      <c r="D30" s="25" t="s">
        <v>24</v>
      </c>
      <c r="E30" s="118" t="s">
        <v>31</v>
      </c>
      <c r="F30" s="44" t="s">
        <v>26</v>
      </c>
      <c r="G30" s="25"/>
      <c r="H30" s="110" t="s">
        <v>16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28" t="s">
        <v>34</v>
      </c>
      <c r="C32" s="117" t="s">
        <v>36</v>
      </c>
      <c r="D32" s="25" t="s">
        <v>24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28" t="s">
        <v>25</v>
      </c>
      <c r="C33" s="25" t="s">
        <v>24</v>
      </c>
      <c r="D33" s="116" t="s">
        <v>45</v>
      </c>
      <c r="E33" s="28" t="s">
        <v>34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59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25"/>
      <c r="D35" s="25" t="s">
        <v>24</v>
      </c>
      <c r="E35" s="117" t="s">
        <v>31</v>
      </c>
      <c r="F35" s="25"/>
      <c r="G35" s="25"/>
      <c r="H35" s="117" t="s">
        <v>31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25" t="s">
        <v>24</v>
      </c>
      <c r="C36" s="28" t="s">
        <v>25</v>
      </c>
      <c r="D36" s="117" t="s">
        <v>31</v>
      </c>
      <c r="E36" s="116" t="s">
        <v>32</v>
      </c>
      <c r="F36" s="25"/>
      <c r="G36" s="25"/>
      <c r="H36" s="25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 t="s">
        <v>24</v>
      </c>
      <c r="C37" s="44" t="s">
        <v>26</v>
      </c>
      <c r="D37" s="25" t="s">
        <v>24</v>
      </c>
      <c r="E37" s="25"/>
      <c r="F37" s="25"/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289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25"/>
      <c r="C39" s="28" t="s">
        <v>34</v>
      </c>
      <c r="D39" s="25" t="s">
        <v>24</v>
      </c>
      <c r="E39" s="116" t="s">
        <v>45</v>
      </c>
      <c r="F39" s="28" t="s">
        <v>25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10" t="s">
        <v>59</v>
      </c>
      <c r="C40" s="118" t="s">
        <v>36</v>
      </c>
      <c r="D40" s="25" t="s">
        <v>24</v>
      </c>
      <c r="E40" s="25"/>
      <c r="F40" s="117" t="s">
        <v>31</v>
      </c>
      <c r="G40" s="25"/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6" t="s">
        <v>32</v>
      </c>
      <c r="E41" s="110" t="s">
        <v>59</v>
      </c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20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115" t="s">
        <v>287</v>
      </c>
      <c r="C43" s="25"/>
      <c r="D43" s="25"/>
      <c r="E43" s="25"/>
      <c r="F43" s="25"/>
      <c r="G43" s="117" t="s">
        <v>31</v>
      </c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116" t="s">
        <v>32</v>
      </c>
      <c r="C44" s="25"/>
      <c r="D44" s="25" t="s">
        <v>24</v>
      </c>
      <c r="E44" s="44" t="s">
        <v>26</v>
      </c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110" t="s">
        <v>16</v>
      </c>
      <c r="E45" s="25"/>
      <c r="F45" s="25"/>
      <c r="G45" s="28" t="s">
        <v>25</v>
      </c>
      <c r="H45" s="117" t="s">
        <v>36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116" t="s">
        <v>45</v>
      </c>
      <c r="D46" s="25"/>
      <c r="E46" s="118" t="s">
        <v>36</v>
      </c>
      <c r="F46" s="25"/>
      <c r="G46" s="110" t="s">
        <v>16</v>
      </c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5"/>
      <c r="C47" s="25"/>
      <c r="D47" s="25"/>
      <c r="E47" s="25"/>
      <c r="F47" s="25"/>
      <c r="G47" s="118" t="s">
        <v>31</v>
      </c>
      <c r="H47" s="28" t="s">
        <v>25</v>
      </c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44" t="s">
        <v>26</v>
      </c>
      <c r="C48" s="110" t="s">
        <v>16</v>
      </c>
      <c r="D48" s="115" t="s">
        <v>287</v>
      </c>
      <c r="E48" s="25"/>
      <c r="F48" s="25"/>
      <c r="G48" s="44" t="s">
        <v>26</v>
      </c>
      <c r="H48" s="116" t="s">
        <v>45</v>
      </c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117" t="s">
        <v>31</v>
      </c>
      <c r="C49" s="25"/>
      <c r="D49" s="117" t="s">
        <v>36</v>
      </c>
      <c r="E49" s="25"/>
      <c r="F49" s="25"/>
      <c r="G49" s="116" t="s">
        <v>32</v>
      </c>
      <c r="H49" s="28" t="s">
        <v>34</v>
      </c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18" t="s">
        <v>31</v>
      </c>
      <c r="C50" s="116" t="s">
        <v>32</v>
      </c>
      <c r="D50" s="118" t="s">
        <v>36</v>
      </c>
      <c r="E50" s="25" t="s">
        <v>24</v>
      </c>
      <c r="F50" s="25"/>
      <c r="G50" s="25"/>
      <c r="H50" s="25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390</v>
      </c>
      <c r="B51" s="28" t="s">
        <v>34</v>
      </c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272</v>
      </c>
      <c r="C53" s="51" t="s">
        <v>339</v>
      </c>
      <c r="D53" s="51" t="s">
        <v>391</v>
      </c>
      <c r="E53" s="51" t="s">
        <v>341</v>
      </c>
      <c r="F53" s="51" t="s">
        <v>392</v>
      </c>
      <c r="G53" s="51" t="s">
        <v>95</v>
      </c>
      <c r="H53" s="51" t="s">
        <v>393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15 Jun</v>
      </c>
      <c r="C54" s="107" t="str">
        <f>C58</f>
        <v>Tues 16 Jun</v>
      </c>
      <c r="D54" s="107" t="str">
        <f t="shared" ref="D54:H54" si="11">D58</f>
        <v>Wed 17 Jun</v>
      </c>
      <c r="E54" s="107" t="str">
        <f t="shared" si="11"/>
        <v>Thu 18 Jun</v>
      </c>
      <c r="F54" s="107" t="str">
        <f t="shared" si="11"/>
        <v>Fri 19 Jun</v>
      </c>
      <c r="G54" s="107" t="str">
        <f t="shared" si="11"/>
        <v>Sat 20 Jun</v>
      </c>
      <c r="H54" s="107" t="str">
        <f t="shared" si="11"/>
        <v>Sun 21 Jun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/>
      <c r="D55" s="25" t="s">
        <v>108</v>
      </c>
      <c r="E55" s="25" t="s">
        <v>108</v>
      </c>
      <c r="F55" s="25"/>
      <c r="G55" s="25"/>
      <c r="H55" s="25"/>
      <c r="J55" t="e">
        <f t="shared" ref="J55:P56" ca="1" si="12">colorindex(B55)</f>
        <v>#NAME?</v>
      </c>
      <c r="K55" t="e">
        <f t="shared" ca="1" si="12"/>
        <v>#NAME?</v>
      </c>
      <c r="L55" t="e">
        <f t="shared" ca="1" si="12"/>
        <v>#NAME?</v>
      </c>
      <c r="M55" t="e">
        <f t="shared" ca="1" si="12"/>
        <v>#NAME?</v>
      </c>
      <c r="N55" t="e">
        <f t="shared" ca="1" si="12"/>
        <v>#NAME?</v>
      </c>
      <c r="O55" t="e">
        <f t="shared" ca="1" si="12"/>
        <v>#NAME?</v>
      </c>
      <c r="P55" t="e">
        <f t="shared" ca="1" si="12"/>
        <v>#NAME?</v>
      </c>
      <c r="R55" t="e">
        <f t="shared" ref="R55:X56" ca="1" si="13">ShiftIndex(B55)</f>
        <v>#NAME?</v>
      </c>
      <c r="S55" t="e">
        <f t="shared" ca="1" si="13"/>
        <v>#NAME?</v>
      </c>
      <c r="T55" t="e">
        <f t="shared" ca="1" si="13"/>
        <v>#NAME?</v>
      </c>
      <c r="U55" t="e">
        <f t="shared" ca="1" si="13"/>
        <v>#NAME?</v>
      </c>
      <c r="V55" t="e">
        <f t="shared" ca="1" si="13"/>
        <v>#NAME?</v>
      </c>
      <c r="W55" t="e">
        <f t="shared" ca="1" si="13"/>
        <v>#NAME?</v>
      </c>
      <c r="X55" t="e">
        <f t="shared" ca="1" si="13"/>
        <v>#NAME?</v>
      </c>
    </row>
    <row r="56" spans="1:26" ht="15" customHeight="1">
      <c r="A56" s="22" t="s">
        <v>109</v>
      </c>
      <c r="B56" s="25" t="s">
        <v>108</v>
      </c>
      <c r="C56" s="25"/>
      <c r="D56" s="25"/>
      <c r="E56" s="25" t="s">
        <v>24</v>
      </c>
      <c r="F56" s="25" t="s">
        <v>108</v>
      </c>
      <c r="G56" s="25"/>
      <c r="H56" s="25"/>
      <c r="J56" t="e">
        <f t="shared" ca="1" si="12"/>
        <v>#NAME?</v>
      </c>
      <c r="K56" t="e">
        <f t="shared" ca="1" si="12"/>
        <v>#NAME?</v>
      </c>
      <c r="L56" t="e">
        <f t="shared" ca="1" si="12"/>
        <v>#NAME?</v>
      </c>
      <c r="M56" t="e">
        <f t="shared" ca="1" si="12"/>
        <v>#NAME?</v>
      </c>
      <c r="N56" t="e">
        <f t="shared" ca="1" si="12"/>
        <v>#NAME?</v>
      </c>
      <c r="O56" t="e">
        <f t="shared" ca="1" si="12"/>
        <v>#NAME?</v>
      </c>
      <c r="P56" t="e">
        <f t="shared" ca="1" si="12"/>
        <v>#NAME?</v>
      </c>
      <c r="R56" t="e">
        <f t="shared" ca="1" si="13"/>
        <v>#NAME?</v>
      </c>
      <c r="S56" t="e">
        <f t="shared" ca="1" si="13"/>
        <v>#NAME?</v>
      </c>
      <c r="T56" t="e">
        <f t="shared" ca="1" si="13"/>
        <v>#NAME?</v>
      </c>
      <c r="U56" t="e">
        <f t="shared" ca="1" si="13"/>
        <v>#NAME?</v>
      </c>
      <c r="V56" t="e">
        <f t="shared" ca="1" si="13"/>
        <v>#NAME?</v>
      </c>
      <c r="W56" t="e">
        <f t="shared" ca="1" si="13"/>
        <v>#NAME?</v>
      </c>
      <c r="X56" t="e">
        <f t="shared" ca="1" si="13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 t="s">
        <v>111</v>
      </c>
      <c r="H57" s="25"/>
      <c r="J57" t="s">
        <v>296</v>
      </c>
      <c r="K57" t="s">
        <v>296</v>
      </c>
      <c r="L57" t="s">
        <v>296</v>
      </c>
      <c r="M57" t="s">
        <v>296</v>
      </c>
      <c r="N57" t="s">
        <v>296</v>
      </c>
      <c r="O57" t="s">
        <v>296</v>
      </c>
      <c r="P57" t="s">
        <v>296</v>
      </c>
      <c r="R57" t="s">
        <v>296</v>
      </c>
      <c r="S57" t="s">
        <v>288</v>
      </c>
      <c r="T57" t="s">
        <v>296</v>
      </c>
      <c r="U57" t="s">
        <v>296</v>
      </c>
      <c r="V57" t="s">
        <v>296</v>
      </c>
      <c r="W57" t="s">
        <v>288</v>
      </c>
      <c r="X57" t="s">
        <v>296</v>
      </c>
    </row>
    <row r="58" spans="1:26" ht="15" customHeight="1">
      <c r="A58" s="106" t="s">
        <v>113</v>
      </c>
      <c r="B58" s="107" t="s">
        <v>394</v>
      </c>
      <c r="C58" s="107" t="s">
        <v>395</v>
      </c>
      <c r="D58" s="107" t="s">
        <v>396</v>
      </c>
      <c r="E58" s="107" t="s">
        <v>397</v>
      </c>
      <c r="F58" s="107" t="s">
        <v>398</v>
      </c>
      <c r="G58" s="107" t="s">
        <v>399</v>
      </c>
      <c r="H58" s="107" t="s">
        <v>400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113" t="s">
        <v>150</v>
      </c>
      <c r="C59" s="120" t="s">
        <v>118</v>
      </c>
      <c r="D59" s="25"/>
      <c r="E59" s="25"/>
      <c r="F59" s="25"/>
      <c r="G59" s="28" t="s">
        <v>119</v>
      </c>
      <c r="H59" s="120" t="s">
        <v>118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8" t="s">
        <v>119</v>
      </c>
      <c r="D60" s="120" t="s">
        <v>118</v>
      </c>
      <c r="E60" s="121" t="s">
        <v>116</v>
      </c>
      <c r="F60" s="28" t="s">
        <v>115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1" t="s">
        <v>122</v>
      </c>
      <c r="C62" s="120" t="s">
        <v>122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4">colorindex(E62)</f>
        <v>#NAME?</v>
      </c>
      <c r="N62" t="e">
        <f t="shared" ca="1" si="14"/>
        <v>#NAME?</v>
      </c>
      <c r="O62" t="e">
        <f t="shared" ca="1" si="14"/>
        <v>#NAME?</v>
      </c>
      <c r="P62" t="e">
        <f t="shared" ca="1" si="14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5">ShiftIndex(E62)</f>
        <v>#NAME?</v>
      </c>
      <c r="V62" t="e">
        <f t="shared" ca="1" si="15"/>
        <v>#NAME?</v>
      </c>
      <c r="W62" t="e">
        <f t="shared" ca="1" si="15"/>
        <v>#NAME?</v>
      </c>
      <c r="X62" t="e">
        <f t="shared" ca="1" si="15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15 Jun</v>
      </c>
      <c r="C63" s="107" t="str">
        <f t="shared" ref="C63:H63" si="16">C58</f>
        <v>Tues 16 Jun</v>
      </c>
      <c r="D63" s="107" t="str">
        <f t="shared" si="16"/>
        <v>Wed 17 Jun</v>
      </c>
      <c r="E63" s="107" t="str">
        <f t="shared" si="16"/>
        <v>Thu 18 Jun</v>
      </c>
      <c r="F63" s="107" t="str">
        <f t="shared" si="16"/>
        <v>Fri 19 Jun</v>
      </c>
      <c r="G63" s="107" t="str">
        <f t="shared" si="16"/>
        <v>Sat 20 Jun</v>
      </c>
      <c r="H63" s="107" t="str">
        <f t="shared" si="16"/>
        <v>Sun 21 Jun</v>
      </c>
      <c r="J63" t="e">
        <f t="shared" ref="J63:P101" ca="1" si="17">colorindex(B63)</f>
        <v>#NAME?</v>
      </c>
      <c r="K63" t="e">
        <f t="shared" ca="1" si="17"/>
        <v>#NAME?</v>
      </c>
      <c r="L63" t="e">
        <f t="shared" ca="1" si="17"/>
        <v>#NAME?</v>
      </c>
      <c r="M63" t="e">
        <f t="shared" ca="1" si="14"/>
        <v>#NAME?</v>
      </c>
      <c r="N63" t="e">
        <f t="shared" ca="1" si="14"/>
        <v>#NAME?</v>
      </c>
      <c r="O63" t="e">
        <f t="shared" ca="1" si="14"/>
        <v>#NAME?</v>
      </c>
      <c r="P63" t="e">
        <f t="shared" ca="1" si="14"/>
        <v>#NAME?</v>
      </c>
      <c r="R63" t="e">
        <f t="shared" ref="R63:X101" ca="1" si="18">ShiftIndex(B63)</f>
        <v>#NAME?</v>
      </c>
      <c r="S63" t="e">
        <f t="shared" ca="1" si="18"/>
        <v>#NAME?</v>
      </c>
      <c r="T63" t="e">
        <f t="shared" ca="1" si="18"/>
        <v>#NAME?</v>
      </c>
      <c r="U63" t="e">
        <f t="shared" ca="1" si="15"/>
        <v>#NAME?</v>
      </c>
      <c r="V63" t="e">
        <f t="shared" ca="1" si="15"/>
        <v>#NAME?</v>
      </c>
      <c r="W63" t="e">
        <f t="shared" ca="1" si="15"/>
        <v>#NAME?</v>
      </c>
      <c r="X63" t="e">
        <f t="shared" ca="1" si="15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0" t="s">
        <v>118</v>
      </c>
      <c r="F64" s="25"/>
      <c r="G64" s="120" t="s">
        <v>118</v>
      </c>
      <c r="H64" s="121" t="s">
        <v>118</v>
      </c>
      <c r="J64" t="e">
        <f t="shared" ca="1" si="17"/>
        <v>#NAME?</v>
      </c>
      <c r="K64" t="e">
        <f t="shared" ca="1" si="17"/>
        <v>#NAME?</v>
      </c>
      <c r="L64" t="e">
        <f t="shared" ca="1" si="17"/>
        <v>#NAME?</v>
      </c>
      <c r="M64" t="e">
        <f t="shared" ca="1" si="14"/>
        <v>#NAME?</v>
      </c>
      <c r="N64" t="e">
        <f t="shared" ca="1" si="14"/>
        <v>#NAME?</v>
      </c>
      <c r="O64" t="e">
        <f t="shared" ca="1" si="14"/>
        <v>#NAME?</v>
      </c>
      <c r="P64" t="e">
        <f t="shared" ca="1" si="14"/>
        <v>#NAME?</v>
      </c>
      <c r="R64" t="e">
        <f t="shared" ca="1" si="18"/>
        <v>#NAME?</v>
      </c>
      <c r="S64" t="e">
        <f t="shared" ca="1" si="18"/>
        <v>#NAME?</v>
      </c>
      <c r="T64" t="e">
        <f t="shared" ca="1" si="18"/>
        <v>#NAME?</v>
      </c>
      <c r="U64" t="e">
        <f t="shared" ca="1" si="15"/>
        <v>#NAME?</v>
      </c>
      <c r="V64" t="e">
        <f t="shared" ca="1" si="15"/>
        <v>#NAME?</v>
      </c>
      <c r="W64" t="e">
        <f t="shared" ca="1" si="15"/>
        <v>#NAME?</v>
      </c>
      <c r="X64" t="e">
        <f t="shared" ca="1" si="15"/>
        <v>#NAME?</v>
      </c>
      <c r="Z64" s="15">
        <v>1</v>
      </c>
    </row>
    <row r="65" spans="1:26" ht="15" customHeight="1">
      <c r="A65" s="22" t="s">
        <v>128</v>
      </c>
      <c r="B65" s="25"/>
      <c r="C65" s="121" t="s">
        <v>118</v>
      </c>
      <c r="D65" s="25"/>
      <c r="E65" s="25"/>
      <c r="F65" s="25"/>
      <c r="G65" s="25"/>
      <c r="H65" s="25"/>
      <c r="J65" t="e">
        <f t="shared" ca="1" si="17"/>
        <v>#NAME?</v>
      </c>
      <c r="K65" t="e">
        <f t="shared" ca="1" si="17"/>
        <v>#NAME?</v>
      </c>
      <c r="L65" t="e">
        <f t="shared" ca="1" si="17"/>
        <v>#NAME?</v>
      </c>
      <c r="M65" t="e">
        <f t="shared" ca="1" si="14"/>
        <v>#NAME?</v>
      </c>
      <c r="N65" t="e">
        <f t="shared" ca="1" si="14"/>
        <v>#NAME?</v>
      </c>
      <c r="O65" t="e">
        <f t="shared" ca="1" si="14"/>
        <v>#NAME?</v>
      </c>
      <c r="P65" t="e">
        <f t="shared" ca="1" si="14"/>
        <v>#NAME?</v>
      </c>
      <c r="R65" t="e">
        <f t="shared" ca="1" si="18"/>
        <v>#NAME?</v>
      </c>
      <c r="S65" t="e">
        <f t="shared" ca="1" si="18"/>
        <v>#NAME?</v>
      </c>
      <c r="T65" t="e">
        <f t="shared" ca="1" si="18"/>
        <v>#NAME?</v>
      </c>
      <c r="U65" t="e">
        <f t="shared" ca="1" si="15"/>
        <v>#NAME?</v>
      </c>
      <c r="V65" t="e">
        <f t="shared" ca="1" si="15"/>
        <v>#NAME?</v>
      </c>
      <c r="W65" t="e">
        <f t="shared" ca="1" si="15"/>
        <v>#NAME?</v>
      </c>
      <c r="X65" t="e">
        <f t="shared" ca="1" si="15"/>
        <v>#NAME?</v>
      </c>
      <c r="Z65" s="15">
        <v>0.25</v>
      </c>
    </row>
    <row r="66" spans="1:26" ht="15" customHeight="1">
      <c r="A66" s="22" t="s">
        <v>129</v>
      </c>
      <c r="B66" s="28" t="s">
        <v>119</v>
      </c>
      <c r="C66" s="25"/>
      <c r="D66" s="121" t="s">
        <v>118</v>
      </c>
      <c r="E66" s="25"/>
      <c r="F66" s="25"/>
      <c r="G66" s="25"/>
      <c r="H66" s="25"/>
      <c r="J66" t="e">
        <f t="shared" ca="1" si="17"/>
        <v>#NAME?</v>
      </c>
      <c r="K66" t="e">
        <f t="shared" ca="1" si="17"/>
        <v>#NAME?</v>
      </c>
      <c r="L66" t="e">
        <f t="shared" ca="1" si="17"/>
        <v>#NAME?</v>
      </c>
      <c r="M66" t="e">
        <f t="shared" ca="1" si="14"/>
        <v>#NAME?</v>
      </c>
      <c r="N66" t="e">
        <f t="shared" ca="1" si="14"/>
        <v>#NAME?</v>
      </c>
      <c r="O66" t="e">
        <f t="shared" ca="1" si="14"/>
        <v>#NAME?</v>
      </c>
      <c r="P66" t="e">
        <f t="shared" ca="1" si="14"/>
        <v>#NAME?</v>
      </c>
      <c r="R66" t="e">
        <f t="shared" ca="1" si="18"/>
        <v>#NAME?</v>
      </c>
      <c r="S66" t="e">
        <f t="shared" ca="1" si="18"/>
        <v>#NAME?</v>
      </c>
      <c r="T66" t="e">
        <f t="shared" ca="1" si="18"/>
        <v>#NAME?</v>
      </c>
      <c r="U66" t="e">
        <f t="shared" ca="1" si="15"/>
        <v>#NAME?</v>
      </c>
      <c r="V66" t="e">
        <f t="shared" ca="1" si="15"/>
        <v>#NAME?</v>
      </c>
      <c r="W66" t="e">
        <f t="shared" ca="1" si="15"/>
        <v>#NAME?</v>
      </c>
      <c r="X66" t="e">
        <f t="shared" ca="1" si="15"/>
        <v>#NAME?</v>
      </c>
      <c r="Z66" s="15">
        <v>0.5</v>
      </c>
    </row>
    <row r="67" spans="1:26" ht="26.25">
      <c r="A67" s="106" t="s">
        <v>130</v>
      </c>
      <c r="B67" s="108" t="str">
        <f>B58</f>
        <v>Mon 15 Jun</v>
      </c>
      <c r="C67" s="107" t="str">
        <f t="shared" ref="C67:H67" si="19">C58</f>
        <v>Tues 16 Jun</v>
      </c>
      <c r="D67" s="108" t="s">
        <v>401</v>
      </c>
      <c r="E67" s="107" t="str">
        <f t="shared" si="19"/>
        <v>Thu 18 Jun</v>
      </c>
      <c r="F67" s="107" t="str">
        <f t="shared" si="19"/>
        <v>Fri 19 Jun</v>
      </c>
      <c r="G67" s="107" t="str">
        <f t="shared" si="19"/>
        <v>Sat 20 Jun</v>
      </c>
      <c r="H67" s="107" t="str">
        <f t="shared" si="19"/>
        <v>Sun 21 Jun</v>
      </c>
      <c r="J67" t="e">
        <f t="shared" ca="1" si="17"/>
        <v>#NAME?</v>
      </c>
      <c r="K67" t="e">
        <f t="shared" ca="1" si="17"/>
        <v>#NAME?</v>
      </c>
      <c r="L67" t="e">
        <f t="shared" ca="1" si="17"/>
        <v>#NAME?</v>
      </c>
      <c r="M67" t="e">
        <f t="shared" ca="1" si="14"/>
        <v>#NAME?</v>
      </c>
      <c r="N67" t="e">
        <f t="shared" ca="1" si="14"/>
        <v>#NAME?</v>
      </c>
      <c r="O67" t="e">
        <f t="shared" ca="1" si="14"/>
        <v>#NAME?</v>
      </c>
      <c r="P67" t="e">
        <f t="shared" ca="1" si="14"/>
        <v>#NAME?</v>
      </c>
      <c r="R67" t="e">
        <f t="shared" ca="1" si="18"/>
        <v>#NAME?</v>
      </c>
      <c r="S67" t="e">
        <f t="shared" ca="1" si="18"/>
        <v>#NAME?</v>
      </c>
      <c r="T67" t="e">
        <f t="shared" ca="1" si="18"/>
        <v>#NAME?</v>
      </c>
      <c r="U67" t="e">
        <f t="shared" ca="1" si="15"/>
        <v>#NAME?</v>
      </c>
      <c r="V67" t="e">
        <f t="shared" ca="1" si="15"/>
        <v>#NAME?</v>
      </c>
      <c r="W67" t="e">
        <f t="shared" ca="1" si="15"/>
        <v>#NAME?</v>
      </c>
      <c r="X67" t="e">
        <f t="shared" ca="1" si="15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25" t="s">
        <v>141</v>
      </c>
      <c r="E68" s="110" t="s">
        <v>139</v>
      </c>
      <c r="F68" s="25"/>
      <c r="G68" s="25"/>
      <c r="H68" s="25"/>
      <c r="J68" t="e">
        <f t="shared" ca="1" si="17"/>
        <v>#NAME?</v>
      </c>
      <c r="K68" t="e">
        <f t="shared" ca="1" si="17"/>
        <v>#NAME?</v>
      </c>
      <c r="L68" t="e">
        <f t="shared" ca="1" si="17"/>
        <v>#NAME?</v>
      </c>
      <c r="M68" t="e">
        <f t="shared" ca="1" si="14"/>
        <v>#NAME?</v>
      </c>
      <c r="N68" t="e">
        <f t="shared" ca="1" si="14"/>
        <v>#NAME?</v>
      </c>
      <c r="O68" t="e">
        <f t="shared" ca="1" si="14"/>
        <v>#NAME?</v>
      </c>
      <c r="P68" t="e">
        <f t="shared" ca="1" si="14"/>
        <v>#NAME?</v>
      </c>
      <c r="R68" t="e">
        <f t="shared" ca="1" si="18"/>
        <v>#NAME?</v>
      </c>
      <c r="S68" t="e">
        <f t="shared" ca="1" si="18"/>
        <v>#NAME?</v>
      </c>
      <c r="T68" t="e">
        <f t="shared" ca="1" si="18"/>
        <v>#NAME?</v>
      </c>
      <c r="U68" t="e">
        <f t="shared" ca="1" si="15"/>
        <v>#NAME?</v>
      </c>
      <c r="V68" t="e">
        <f t="shared" ca="1" si="15"/>
        <v>#NAME?</v>
      </c>
      <c r="W68" t="e">
        <f t="shared" ca="1" si="15"/>
        <v>#NAME?</v>
      </c>
      <c r="X68" t="e">
        <f t="shared" ca="1" si="15"/>
        <v>#NAME?</v>
      </c>
      <c r="Z68" s="15">
        <v>0.5</v>
      </c>
    </row>
    <row r="69" spans="1:26" ht="14.45" customHeight="1">
      <c r="A69" s="22" t="s">
        <v>135</v>
      </c>
      <c r="B69" s="25" t="s">
        <v>123</v>
      </c>
      <c r="C69" s="25"/>
      <c r="D69" s="25" t="s">
        <v>141</v>
      </c>
      <c r="E69" s="25"/>
      <c r="F69" s="25"/>
      <c r="G69" s="25"/>
      <c r="H69" s="25"/>
      <c r="J69" t="e">
        <f t="shared" ca="1" si="17"/>
        <v>#NAME?</v>
      </c>
      <c r="K69" t="e">
        <f t="shared" ca="1" si="17"/>
        <v>#NAME?</v>
      </c>
      <c r="L69" t="e">
        <f t="shared" ca="1" si="17"/>
        <v>#NAME?</v>
      </c>
      <c r="M69" t="e">
        <f t="shared" ca="1" si="14"/>
        <v>#NAME?</v>
      </c>
      <c r="N69" t="e">
        <f t="shared" ca="1" si="14"/>
        <v>#NAME?</v>
      </c>
      <c r="O69" t="e">
        <f t="shared" ca="1" si="14"/>
        <v>#NAME?</v>
      </c>
      <c r="P69" t="e">
        <f t="shared" ca="1" si="14"/>
        <v>#NAME?</v>
      </c>
      <c r="R69" t="e">
        <f t="shared" ca="1" si="18"/>
        <v>#NAME?</v>
      </c>
      <c r="S69" t="e">
        <f t="shared" ca="1" si="18"/>
        <v>#NAME?</v>
      </c>
      <c r="T69" t="e">
        <f t="shared" ca="1" si="18"/>
        <v>#NAME?</v>
      </c>
      <c r="U69" t="e">
        <f t="shared" ca="1" si="15"/>
        <v>#NAME?</v>
      </c>
      <c r="V69" t="e">
        <f t="shared" ca="1" si="15"/>
        <v>#NAME?</v>
      </c>
      <c r="W69" t="e">
        <f t="shared" ca="1" si="15"/>
        <v>#NAME?</v>
      </c>
      <c r="X69" t="e">
        <f t="shared" ca="1" si="15"/>
        <v>#NAME?</v>
      </c>
      <c r="Z69" s="15">
        <v>0.5</v>
      </c>
    </row>
    <row r="70" spans="1:26" ht="15" customHeight="1">
      <c r="A70" s="22" t="s">
        <v>136</v>
      </c>
      <c r="B70" s="110" t="s">
        <v>142</v>
      </c>
      <c r="C70" s="25"/>
      <c r="D70" s="110" t="s">
        <v>139</v>
      </c>
      <c r="E70" s="25"/>
      <c r="F70" s="121" t="s">
        <v>118</v>
      </c>
      <c r="G70" s="120" t="s">
        <v>116</v>
      </c>
      <c r="H70" s="25"/>
      <c r="J70" t="e">
        <f t="shared" ca="1" si="17"/>
        <v>#NAME?</v>
      </c>
      <c r="K70" t="e">
        <f t="shared" ca="1" si="17"/>
        <v>#NAME?</v>
      </c>
      <c r="L70" t="e">
        <f t="shared" ca="1" si="17"/>
        <v>#NAME?</v>
      </c>
      <c r="M70" t="e">
        <f t="shared" ca="1" si="14"/>
        <v>#NAME?</v>
      </c>
      <c r="N70" t="e">
        <f t="shared" ca="1" si="14"/>
        <v>#NAME?</v>
      </c>
      <c r="O70" t="e">
        <f t="shared" ca="1" si="14"/>
        <v>#NAME?</v>
      </c>
      <c r="P70" t="e">
        <f t="shared" ca="1" si="14"/>
        <v>#NAME?</v>
      </c>
      <c r="R70" t="e">
        <f t="shared" ca="1" si="18"/>
        <v>#NAME?</v>
      </c>
      <c r="S70" t="e">
        <f t="shared" ca="1" si="18"/>
        <v>#NAME?</v>
      </c>
      <c r="T70" t="e">
        <f t="shared" ca="1" si="18"/>
        <v>#NAME?</v>
      </c>
      <c r="U70" t="e">
        <f t="shared" ca="1" si="15"/>
        <v>#NAME?</v>
      </c>
      <c r="V70" t="e">
        <f t="shared" ca="1" si="15"/>
        <v>#NAME?</v>
      </c>
      <c r="W70" t="e">
        <f t="shared" ca="1" si="15"/>
        <v>#NAME?</v>
      </c>
      <c r="X70" t="e">
        <f t="shared" ca="1" si="15"/>
        <v>#NAME?</v>
      </c>
      <c r="Z70" s="24">
        <v>1</v>
      </c>
    </row>
    <row r="71" spans="1:26" ht="15" customHeight="1">
      <c r="A71" s="22" t="s">
        <v>137</v>
      </c>
      <c r="B71" s="25"/>
      <c r="C71" s="25"/>
      <c r="D71" s="25" t="s">
        <v>141</v>
      </c>
      <c r="E71" s="25"/>
      <c r="F71" s="25"/>
      <c r="G71" s="110" t="s">
        <v>142</v>
      </c>
      <c r="H71" s="121" t="s">
        <v>118</v>
      </c>
      <c r="J71" t="e">
        <f t="shared" ca="1" si="17"/>
        <v>#NAME?</v>
      </c>
      <c r="K71" t="e">
        <f t="shared" ca="1" si="17"/>
        <v>#NAME?</v>
      </c>
      <c r="L71" t="e">
        <f t="shared" ca="1" si="17"/>
        <v>#NAME?</v>
      </c>
      <c r="M71" t="e">
        <f t="shared" ca="1" si="14"/>
        <v>#NAME?</v>
      </c>
      <c r="N71" t="e">
        <f t="shared" ca="1" si="14"/>
        <v>#NAME?</v>
      </c>
      <c r="O71" t="e">
        <f t="shared" ca="1" si="14"/>
        <v>#NAME?</v>
      </c>
      <c r="P71" t="e">
        <f t="shared" ca="1" si="14"/>
        <v>#NAME?</v>
      </c>
      <c r="R71" t="e">
        <f t="shared" ca="1" si="18"/>
        <v>#NAME?</v>
      </c>
      <c r="S71" t="e">
        <f t="shared" ca="1" si="18"/>
        <v>#NAME?</v>
      </c>
      <c r="T71" t="e">
        <f t="shared" ca="1" si="18"/>
        <v>#NAME?</v>
      </c>
      <c r="U71" t="e">
        <f t="shared" ca="1" si="15"/>
        <v>#NAME?</v>
      </c>
      <c r="V71" t="e">
        <f t="shared" ca="1" si="15"/>
        <v>#NAME?</v>
      </c>
      <c r="W71" t="e">
        <f t="shared" ca="1" si="15"/>
        <v>#NAME?</v>
      </c>
      <c r="X71" t="e">
        <f t="shared" ca="1" si="15"/>
        <v>#NAME?</v>
      </c>
      <c r="Z71" s="24">
        <v>1</v>
      </c>
    </row>
    <row r="72" spans="1:26" ht="15" customHeight="1">
      <c r="A72" s="22" t="s">
        <v>140</v>
      </c>
      <c r="B72" s="120" t="s">
        <v>118</v>
      </c>
      <c r="C72" s="25" t="s">
        <v>123</v>
      </c>
      <c r="D72" s="25" t="s">
        <v>123</v>
      </c>
      <c r="E72" s="25" t="s">
        <v>123</v>
      </c>
      <c r="F72" s="25"/>
      <c r="G72" s="25"/>
      <c r="H72" s="25"/>
      <c r="J72" t="e">
        <f t="shared" ca="1" si="17"/>
        <v>#NAME?</v>
      </c>
      <c r="K72" t="e">
        <f t="shared" ca="1" si="17"/>
        <v>#NAME?</v>
      </c>
      <c r="L72" t="e">
        <f t="shared" ca="1" si="17"/>
        <v>#NAME?</v>
      </c>
      <c r="M72" t="e">
        <f t="shared" ca="1" si="14"/>
        <v>#NAME?</v>
      </c>
      <c r="N72" t="e">
        <f t="shared" ca="1" si="14"/>
        <v>#NAME?</v>
      </c>
      <c r="O72" t="e">
        <f t="shared" ca="1" si="14"/>
        <v>#NAME?</v>
      </c>
      <c r="P72" t="e">
        <f t="shared" ca="1" si="14"/>
        <v>#NAME?</v>
      </c>
      <c r="R72" t="e">
        <f t="shared" ca="1" si="18"/>
        <v>#NAME?</v>
      </c>
      <c r="S72" t="e">
        <f t="shared" ca="1" si="18"/>
        <v>#NAME?</v>
      </c>
      <c r="T72" t="e">
        <f t="shared" ca="1" si="18"/>
        <v>#NAME?</v>
      </c>
      <c r="U72" t="e">
        <f t="shared" ca="1" si="15"/>
        <v>#NAME?</v>
      </c>
      <c r="V72" t="e">
        <f t="shared" ca="1" si="15"/>
        <v>#NAME?</v>
      </c>
      <c r="W72" t="e">
        <f t="shared" ca="1" si="15"/>
        <v>#NAME?</v>
      </c>
      <c r="X72" t="e">
        <f t="shared" ca="1" si="15"/>
        <v>#NAME?</v>
      </c>
      <c r="Z72" s="24">
        <v>1</v>
      </c>
    </row>
    <row r="73" spans="1:26" ht="15" customHeight="1">
      <c r="A73" s="22" t="s">
        <v>143</v>
      </c>
      <c r="B73" s="25"/>
      <c r="C73" s="25"/>
      <c r="D73" s="25" t="s">
        <v>141</v>
      </c>
      <c r="E73" s="25"/>
      <c r="F73" s="120" t="s">
        <v>116</v>
      </c>
      <c r="G73" s="121" t="s">
        <v>116</v>
      </c>
      <c r="H73" s="120" t="s">
        <v>116</v>
      </c>
      <c r="J73" t="e">
        <f t="shared" ca="1" si="17"/>
        <v>#NAME?</v>
      </c>
      <c r="K73" t="e">
        <f t="shared" ca="1" si="17"/>
        <v>#NAME?</v>
      </c>
      <c r="L73" t="e">
        <f t="shared" ca="1" si="17"/>
        <v>#NAME?</v>
      </c>
      <c r="M73" t="e">
        <f t="shared" ca="1" si="17"/>
        <v>#NAME?</v>
      </c>
      <c r="N73" t="e">
        <f t="shared" ca="1" si="17"/>
        <v>#NAME?</v>
      </c>
      <c r="O73" t="e">
        <f t="shared" ca="1" si="17"/>
        <v>#NAME?</v>
      </c>
      <c r="P73" t="e">
        <f t="shared" ca="1" si="17"/>
        <v>#NAME?</v>
      </c>
      <c r="R73" t="e">
        <f t="shared" ca="1" si="18"/>
        <v>#NAME?</v>
      </c>
      <c r="S73" t="e">
        <f t="shared" ca="1" si="18"/>
        <v>#NAME?</v>
      </c>
      <c r="T73" t="e">
        <f t="shared" ca="1" si="18"/>
        <v>#NAME?</v>
      </c>
      <c r="U73" t="e">
        <f t="shared" ca="1" si="18"/>
        <v>#NAME?</v>
      </c>
      <c r="V73" t="e">
        <f t="shared" ca="1" si="18"/>
        <v>#NAME?</v>
      </c>
      <c r="W73" t="e">
        <f t="shared" ca="1" si="18"/>
        <v>#NAME?</v>
      </c>
      <c r="X73" t="e">
        <f t="shared" ca="1" si="18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123</v>
      </c>
      <c r="G74" s="25" t="s">
        <v>123</v>
      </c>
      <c r="H74" s="25" t="s">
        <v>123</v>
      </c>
      <c r="J74" t="e">
        <f t="shared" ca="1" si="17"/>
        <v>#NAME?</v>
      </c>
      <c r="K74" t="e">
        <f t="shared" ca="1" si="17"/>
        <v>#NAME?</v>
      </c>
      <c r="L74" t="e">
        <f t="shared" ca="1" si="17"/>
        <v>#NAME?</v>
      </c>
      <c r="M74" t="e">
        <f t="shared" ca="1" si="17"/>
        <v>#NAME?</v>
      </c>
      <c r="N74" t="e">
        <f t="shared" ca="1" si="17"/>
        <v>#NAME?</v>
      </c>
      <c r="O74" t="e">
        <f t="shared" ca="1" si="17"/>
        <v>#NAME?</v>
      </c>
      <c r="P74" t="e">
        <f t="shared" ca="1" si="17"/>
        <v>#NAME?</v>
      </c>
      <c r="R74" t="e">
        <f t="shared" ca="1" si="18"/>
        <v>#NAME?</v>
      </c>
      <c r="S74" t="e">
        <f t="shared" ca="1" si="18"/>
        <v>#NAME?</v>
      </c>
      <c r="T74" t="e">
        <f t="shared" ca="1" si="18"/>
        <v>#NAME?</v>
      </c>
      <c r="U74" t="e">
        <f t="shared" ca="1" si="18"/>
        <v>#NAME?</v>
      </c>
      <c r="V74" t="e">
        <f t="shared" ca="1" si="18"/>
        <v>#NAME?</v>
      </c>
      <c r="W74" t="e">
        <f t="shared" ca="1" si="18"/>
        <v>#NAME?</v>
      </c>
      <c r="X74" t="e">
        <f t="shared" ca="1" si="18"/>
        <v>#NAME?</v>
      </c>
      <c r="Z74" s="24">
        <v>1</v>
      </c>
    </row>
    <row r="75" spans="1:26" ht="26.25">
      <c r="A75" s="106" t="s">
        <v>146</v>
      </c>
      <c r="B75" s="108" t="str">
        <f>B58</f>
        <v>Mon 15 Jun</v>
      </c>
      <c r="C75" s="107" t="str">
        <f>C67</f>
        <v>Tues 16 Jun</v>
      </c>
      <c r="D75" s="108" t="s">
        <v>401</v>
      </c>
      <c r="E75" s="107" t="str">
        <f>E67</f>
        <v>Thu 18 Jun</v>
      </c>
      <c r="F75" s="107" t="str">
        <f>F67</f>
        <v>Fri 19 Jun</v>
      </c>
      <c r="G75" s="107" t="str">
        <f>G67</f>
        <v>Sat 20 Jun</v>
      </c>
      <c r="H75" s="107" t="str">
        <f>H67</f>
        <v>Sun 21 Jun</v>
      </c>
      <c r="J75" t="e">
        <f t="shared" ca="1" si="17"/>
        <v>#NAME?</v>
      </c>
      <c r="K75" t="e">
        <f t="shared" ca="1" si="17"/>
        <v>#NAME?</v>
      </c>
      <c r="L75" t="e">
        <f t="shared" ca="1" si="17"/>
        <v>#NAME?</v>
      </c>
      <c r="M75" t="e">
        <f t="shared" ca="1" si="17"/>
        <v>#NAME?</v>
      </c>
      <c r="N75" t="e">
        <f t="shared" ca="1" si="17"/>
        <v>#NAME?</v>
      </c>
      <c r="O75" t="e">
        <f t="shared" ca="1" si="17"/>
        <v>#NAME?</v>
      </c>
      <c r="P75" t="e">
        <f t="shared" ca="1" si="17"/>
        <v>#NAME?</v>
      </c>
      <c r="R75" t="e">
        <f t="shared" ca="1" si="18"/>
        <v>#NAME?</v>
      </c>
      <c r="S75" t="e">
        <f t="shared" ca="1" si="18"/>
        <v>#NAME?</v>
      </c>
      <c r="T75" t="e">
        <f t="shared" ca="1" si="18"/>
        <v>#NAME?</v>
      </c>
      <c r="U75" t="e">
        <f t="shared" ca="1" si="18"/>
        <v>#NAME?</v>
      </c>
      <c r="V75" t="e">
        <f t="shared" ca="1" si="18"/>
        <v>#NAME?</v>
      </c>
      <c r="W75" t="e">
        <f t="shared" ca="1" si="18"/>
        <v>#NAME?</v>
      </c>
      <c r="X75" t="e">
        <f t="shared" ca="1" si="18"/>
        <v>#NAME?</v>
      </c>
      <c r="Z75" s="53">
        <f>SUM(Z68:Z74)</f>
        <v>6</v>
      </c>
    </row>
    <row r="76" spans="1:26" ht="15" customHeight="1">
      <c r="A76" s="22" t="s">
        <v>147</v>
      </c>
      <c r="B76" s="25"/>
      <c r="C76" s="121" t="s">
        <v>116</v>
      </c>
      <c r="D76" s="25" t="s">
        <v>141</v>
      </c>
      <c r="E76" s="25" t="s">
        <v>152</v>
      </c>
      <c r="F76" s="25" t="s">
        <v>152</v>
      </c>
      <c r="G76" s="25" t="s">
        <v>152</v>
      </c>
      <c r="H76" s="25" t="s">
        <v>152</v>
      </c>
      <c r="J76" t="e">
        <f t="shared" ca="1" si="17"/>
        <v>#NAME?</v>
      </c>
      <c r="K76" t="e">
        <f t="shared" ca="1" si="17"/>
        <v>#NAME?</v>
      </c>
      <c r="L76" t="e">
        <f t="shared" ca="1" si="17"/>
        <v>#NAME?</v>
      </c>
      <c r="M76" t="e">
        <f t="shared" ca="1" si="17"/>
        <v>#NAME?</v>
      </c>
      <c r="N76" t="e">
        <f t="shared" ca="1" si="17"/>
        <v>#NAME?</v>
      </c>
      <c r="O76" t="e">
        <f t="shared" ca="1" si="17"/>
        <v>#NAME?</v>
      </c>
      <c r="P76" t="e">
        <f t="shared" ca="1" si="17"/>
        <v>#NAME?</v>
      </c>
      <c r="R76" t="e">
        <f t="shared" ca="1" si="18"/>
        <v>#NAME?</v>
      </c>
      <c r="S76" t="e">
        <f t="shared" ca="1" si="18"/>
        <v>#NAME?</v>
      </c>
      <c r="T76" t="e">
        <f t="shared" ca="1" si="18"/>
        <v>#NAME?</v>
      </c>
      <c r="U76" t="e">
        <f t="shared" ca="1" si="18"/>
        <v>#NAME?</v>
      </c>
      <c r="V76" t="e">
        <f t="shared" ca="1" si="18"/>
        <v>#NAME?</v>
      </c>
      <c r="W76" t="e">
        <f t="shared" ca="1" si="18"/>
        <v>#NAME?</v>
      </c>
      <c r="X76" t="e">
        <f t="shared" ca="1" si="18"/>
        <v>#NAME?</v>
      </c>
      <c r="Z76" s="24">
        <v>1</v>
      </c>
    </row>
    <row r="77" spans="1:26" ht="15" customHeight="1">
      <c r="A77" s="22" t="s">
        <v>151</v>
      </c>
      <c r="B77" s="25"/>
      <c r="C77" s="25"/>
      <c r="D77" s="25" t="s">
        <v>141</v>
      </c>
      <c r="E77" s="110" t="s">
        <v>142</v>
      </c>
      <c r="F77" s="121" t="s">
        <v>118</v>
      </c>
      <c r="G77" s="120" t="s">
        <v>116</v>
      </c>
      <c r="H77" s="25"/>
      <c r="J77" t="e">
        <f t="shared" ca="1" si="17"/>
        <v>#NAME?</v>
      </c>
      <c r="K77" t="e">
        <f t="shared" ca="1" si="17"/>
        <v>#NAME?</v>
      </c>
      <c r="L77" t="e">
        <f t="shared" ca="1" si="17"/>
        <v>#NAME?</v>
      </c>
      <c r="M77" t="e">
        <f t="shared" ca="1" si="17"/>
        <v>#NAME?</v>
      </c>
      <c r="N77" t="e">
        <f t="shared" ca="1" si="17"/>
        <v>#NAME?</v>
      </c>
      <c r="O77" t="e">
        <f t="shared" ca="1" si="17"/>
        <v>#NAME?</v>
      </c>
      <c r="P77" t="e">
        <f t="shared" ca="1" si="17"/>
        <v>#NAME?</v>
      </c>
      <c r="R77" t="e">
        <f t="shared" ca="1" si="18"/>
        <v>#NAME?</v>
      </c>
      <c r="S77" t="e">
        <f t="shared" ca="1" si="18"/>
        <v>#NAME?</v>
      </c>
      <c r="T77" t="e">
        <f t="shared" ca="1" si="18"/>
        <v>#NAME?</v>
      </c>
      <c r="U77" t="e">
        <f t="shared" ca="1" si="18"/>
        <v>#NAME?</v>
      </c>
      <c r="V77" t="e">
        <f t="shared" ca="1" si="18"/>
        <v>#NAME?</v>
      </c>
      <c r="W77" t="e">
        <f t="shared" ca="1" si="18"/>
        <v>#NAME?</v>
      </c>
      <c r="X77" t="e">
        <f t="shared" ca="1" si="18"/>
        <v>#NAME?</v>
      </c>
      <c r="Z77" s="15">
        <v>1</v>
      </c>
    </row>
    <row r="78" spans="1:26" ht="15" customHeight="1">
      <c r="A78" s="22" t="s">
        <v>153</v>
      </c>
      <c r="B78" s="25" t="s">
        <v>152</v>
      </c>
      <c r="C78" s="25"/>
      <c r="D78" s="25" t="s">
        <v>141</v>
      </c>
      <c r="E78" s="25"/>
      <c r="F78" s="110" t="s">
        <v>142</v>
      </c>
      <c r="G78" s="25"/>
      <c r="H78" s="25"/>
      <c r="J78" t="e">
        <f t="shared" ca="1" si="17"/>
        <v>#NAME?</v>
      </c>
      <c r="K78" t="e">
        <f t="shared" ca="1" si="17"/>
        <v>#NAME?</v>
      </c>
      <c r="L78" t="e">
        <f t="shared" ca="1" si="17"/>
        <v>#NAME?</v>
      </c>
      <c r="M78" t="e">
        <f t="shared" ca="1" si="17"/>
        <v>#NAME?</v>
      </c>
      <c r="N78" t="e">
        <f t="shared" ca="1" si="17"/>
        <v>#NAME?</v>
      </c>
      <c r="O78" t="e">
        <f t="shared" ca="1" si="17"/>
        <v>#NAME?</v>
      </c>
      <c r="P78" t="e">
        <f t="shared" ca="1" si="17"/>
        <v>#NAME?</v>
      </c>
      <c r="R78" t="e">
        <f t="shared" ca="1" si="18"/>
        <v>#NAME?</v>
      </c>
      <c r="S78" t="e">
        <f t="shared" ca="1" si="18"/>
        <v>#NAME?</v>
      </c>
      <c r="T78" t="e">
        <f t="shared" ca="1" si="18"/>
        <v>#NAME?</v>
      </c>
      <c r="U78" t="e">
        <f t="shared" ca="1" si="18"/>
        <v>#NAME?</v>
      </c>
      <c r="V78" t="e">
        <f t="shared" ca="1" si="18"/>
        <v>#NAME?</v>
      </c>
      <c r="W78" t="e">
        <f t="shared" ca="1" si="18"/>
        <v>#NAME?</v>
      </c>
      <c r="X78" t="e">
        <f t="shared" ca="1" si="18"/>
        <v>#NAME?</v>
      </c>
      <c r="Z78" s="15">
        <v>0.5</v>
      </c>
    </row>
    <row r="79" spans="1:26">
      <c r="A79" s="22" t="s">
        <v>154</v>
      </c>
      <c r="B79" s="25"/>
      <c r="C79" s="110" t="s">
        <v>142</v>
      </c>
      <c r="D79" s="25" t="s">
        <v>141</v>
      </c>
      <c r="E79" s="25"/>
      <c r="F79" s="25" t="s">
        <v>152</v>
      </c>
      <c r="G79" s="25" t="s">
        <v>152</v>
      </c>
      <c r="H79" s="25" t="s">
        <v>152</v>
      </c>
      <c r="J79" t="e">
        <f t="shared" ref="J79:P97" ca="1" si="20">colorindex(B79)</f>
        <v>#NAME?</v>
      </c>
      <c r="K79" t="e">
        <f t="shared" ca="1" si="20"/>
        <v>#NAME?</v>
      </c>
      <c r="L79" t="e">
        <f t="shared" ca="1" si="20"/>
        <v>#NAME?</v>
      </c>
      <c r="M79" t="e">
        <f t="shared" ca="1" si="20"/>
        <v>#NAME?</v>
      </c>
      <c r="N79" t="e">
        <f t="shared" ca="1" si="20"/>
        <v>#NAME?</v>
      </c>
      <c r="O79" t="e">
        <f t="shared" ca="1" si="20"/>
        <v>#NAME?</v>
      </c>
      <c r="P79" t="e">
        <f t="shared" ca="1" si="20"/>
        <v>#NAME?</v>
      </c>
      <c r="R79" t="e">
        <f t="shared" ref="R79:X97" ca="1" si="21">ShiftIndex(B79)</f>
        <v>#NAME?</v>
      </c>
      <c r="S79" t="e">
        <f t="shared" ca="1" si="21"/>
        <v>#NAME?</v>
      </c>
      <c r="T79" t="e">
        <f t="shared" ca="1" si="21"/>
        <v>#NAME?</v>
      </c>
      <c r="U79" t="e">
        <f t="shared" ca="1" si="21"/>
        <v>#NAME?</v>
      </c>
      <c r="V79" t="e">
        <f t="shared" ca="1" si="21"/>
        <v>#NAME?</v>
      </c>
      <c r="W79" t="e">
        <f t="shared" ca="1" si="21"/>
        <v>#NAME?</v>
      </c>
      <c r="X79" t="e">
        <f t="shared" ca="1" si="21"/>
        <v>#NAME?</v>
      </c>
      <c r="Z79" s="15">
        <v>1</v>
      </c>
    </row>
    <row r="80" spans="1:26">
      <c r="A80" s="22" t="s">
        <v>155</v>
      </c>
      <c r="B80" s="25"/>
      <c r="C80" s="25"/>
      <c r="D80" s="25" t="s">
        <v>141</v>
      </c>
      <c r="E80" s="120" t="s">
        <v>116</v>
      </c>
      <c r="F80" s="25"/>
      <c r="G80" s="25"/>
      <c r="H80" s="28" t="s">
        <v>119</v>
      </c>
      <c r="J80" t="e">
        <f t="shared" ca="1" si="20"/>
        <v>#NAME?</v>
      </c>
      <c r="K80" t="e">
        <f t="shared" ca="1" si="20"/>
        <v>#NAME?</v>
      </c>
      <c r="L80" t="e">
        <f t="shared" ca="1" si="20"/>
        <v>#NAME?</v>
      </c>
      <c r="M80" t="e">
        <f t="shared" ca="1" si="20"/>
        <v>#NAME?</v>
      </c>
      <c r="N80" t="e">
        <f t="shared" ca="1" si="20"/>
        <v>#NAME?</v>
      </c>
      <c r="O80" t="e">
        <f t="shared" ca="1" si="20"/>
        <v>#NAME?</v>
      </c>
      <c r="P80" t="e">
        <f t="shared" ca="1" si="20"/>
        <v>#NAME?</v>
      </c>
      <c r="R80" t="e">
        <f t="shared" ca="1" si="21"/>
        <v>#NAME?</v>
      </c>
      <c r="S80" t="e">
        <f t="shared" ca="1" si="21"/>
        <v>#NAME?</v>
      </c>
      <c r="T80" t="e">
        <f t="shared" ca="1" si="21"/>
        <v>#NAME?</v>
      </c>
      <c r="U80" t="e">
        <f t="shared" ca="1" si="21"/>
        <v>#NAME?</v>
      </c>
      <c r="V80" t="e">
        <f t="shared" ca="1" si="21"/>
        <v>#NAME?</v>
      </c>
      <c r="W80" t="e">
        <f t="shared" ca="1" si="21"/>
        <v>#NAME?</v>
      </c>
      <c r="X80" t="e">
        <f t="shared" ca="1" si="21"/>
        <v>#NAME?</v>
      </c>
      <c r="Z80" s="15">
        <v>0.5</v>
      </c>
    </row>
    <row r="81" spans="1:26" ht="15" customHeight="1">
      <c r="A81" s="22" t="s">
        <v>156</v>
      </c>
      <c r="B81" s="25"/>
      <c r="C81" s="121" t="s">
        <v>116</v>
      </c>
      <c r="D81" s="120" t="s">
        <v>116</v>
      </c>
      <c r="E81" s="120" t="s">
        <v>116</v>
      </c>
      <c r="F81" s="25"/>
      <c r="G81" s="120" t="s">
        <v>118</v>
      </c>
      <c r="H81" s="110" t="s">
        <v>142</v>
      </c>
      <c r="J81" t="e">
        <f t="shared" ca="1" si="20"/>
        <v>#NAME?</v>
      </c>
      <c r="K81" t="e">
        <f t="shared" ca="1" si="20"/>
        <v>#NAME?</v>
      </c>
      <c r="L81" t="e">
        <f t="shared" ca="1" si="20"/>
        <v>#NAME?</v>
      </c>
      <c r="M81" t="e">
        <f t="shared" ca="1" si="20"/>
        <v>#NAME?</v>
      </c>
      <c r="N81" t="e">
        <f t="shared" ca="1" si="20"/>
        <v>#NAME?</v>
      </c>
      <c r="O81" t="e">
        <f t="shared" ca="1" si="20"/>
        <v>#NAME?</v>
      </c>
      <c r="P81" t="e">
        <f t="shared" ca="1" si="20"/>
        <v>#NAME?</v>
      </c>
      <c r="R81" t="e">
        <f t="shared" ca="1" si="21"/>
        <v>#NAME?</v>
      </c>
      <c r="S81" t="e">
        <f t="shared" ca="1" si="21"/>
        <v>#NAME?</v>
      </c>
      <c r="T81" t="e">
        <f t="shared" ca="1" si="21"/>
        <v>#NAME?</v>
      </c>
      <c r="U81" t="e">
        <f t="shared" ca="1" si="21"/>
        <v>#NAME?</v>
      </c>
      <c r="V81" t="e">
        <f t="shared" ca="1" si="21"/>
        <v>#NAME?</v>
      </c>
      <c r="W81" t="e">
        <f t="shared" ca="1" si="21"/>
        <v>#NAME?</v>
      </c>
      <c r="X81" t="e">
        <f t="shared" ca="1" si="21"/>
        <v>#NAME?</v>
      </c>
      <c r="Z81" s="15">
        <v>1</v>
      </c>
    </row>
    <row r="82" spans="1:26" ht="15" customHeight="1">
      <c r="A82" s="22" t="s">
        <v>158</v>
      </c>
      <c r="B82" s="110" t="s">
        <v>139</v>
      </c>
      <c r="C82" s="25"/>
      <c r="D82" s="25" t="s">
        <v>141</v>
      </c>
      <c r="E82" s="121" t="s">
        <v>118</v>
      </c>
      <c r="F82" s="28" t="s">
        <v>119</v>
      </c>
      <c r="G82" s="25"/>
      <c r="H82" s="25"/>
      <c r="J82" t="e">
        <f t="shared" ca="1" si="20"/>
        <v>#NAME?</v>
      </c>
      <c r="K82" t="e">
        <f t="shared" ca="1" si="20"/>
        <v>#NAME?</v>
      </c>
      <c r="L82" t="e">
        <f t="shared" ca="1" si="20"/>
        <v>#NAME?</v>
      </c>
      <c r="M82" t="e">
        <f t="shared" ca="1" si="20"/>
        <v>#NAME?</v>
      </c>
      <c r="N82" t="e">
        <f t="shared" ca="1" si="20"/>
        <v>#NAME?</v>
      </c>
      <c r="O82" t="e">
        <f t="shared" ca="1" si="20"/>
        <v>#NAME?</v>
      </c>
      <c r="P82" t="e">
        <f t="shared" ca="1" si="20"/>
        <v>#NAME?</v>
      </c>
      <c r="R82" t="e">
        <f t="shared" ca="1" si="21"/>
        <v>#NAME?</v>
      </c>
      <c r="S82" t="e">
        <f t="shared" ca="1" si="21"/>
        <v>#NAME?</v>
      </c>
      <c r="T82" t="e">
        <f t="shared" ca="1" si="21"/>
        <v>#NAME?</v>
      </c>
      <c r="U82" t="e">
        <f t="shared" ca="1" si="21"/>
        <v>#NAME?</v>
      </c>
      <c r="V82" t="e">
        <f t="shared" ca="1" si="21"/>
        <v>#NAME?</v>
      </c>
      <c r="W82" t="e">
        <f t="shared" ca="1" si="21"/>
        <v>#NAME?</v>
      </c>
      <c r="X82" t="e">
        <f t="shared" ca="1" si="21"/>
        <v>#NAME?</v>
      </c>
      <c r="Z82" s="15">
        <v>1</v>
      </c>
    </row>
    <row r="83" spans="1:26" ht="15" customHeight="1">
      <c r="A83" s="22" t="s">
        <v>159</v>
      </c>
      <c r="B83" s="120" t="s">
        <v>116</v>
      </c>
      <c r="C83" s="25"/>
      <c r="D83" s="120" t="s">
        <v>116</v>
      </c>
      <c r="E83" s="25"/>
      <c r="F83" s="120" t="s">
        <v>118</v>
      </c>
      <c r="G83" s="25"/>
      <c r="H83" s="25"/>
      <c r="J83" t="e">
        <f t="shared" ca="1" si="20"/>
        <v>#NAME?</v>
      </c>
      <c r="K83" t="e">
        <f t="shared" ca="1" si="20"/>
        <v>#NAME?</v>
      </c>
      <c r="L83" t="e">
        <f t="shared" ca="1" si="20"/>
        <v>#NAME?</v>
      </c>
      <c r="M83" t="e">
        <f t="shared" ca="1" si="20"/>
        <v>#NAME?</v>
      </c>
      <c r="N83" t="e">
        <f t="shared" ca="1" si="20"/>
        <v>#NAME?</v>
      </c>
      <c r="O83" t="e">
        <f t="shared" ca="1" si="20"/>
        <v>#NAME?</v>
      </c>
      <c r="P83" t="e">
        <f t="shared" ca="1" si="20"/>
        <v>#NAME?</v>
      </c>
      <c r="R83" t="e">
        <f t="shared" ca="1" si="21"/>
        <v>#NAME?</v>
      </c>
      <c r="S83" t="e">
        <f t="shared" ca="1" si="21"/>
        <v>#NAME?</v>
      </c>
      <c r="T83" t="e">
        <f t="shared" ca="1" si="21"/>
        <v>#NAME?</v>
      </c>
      <c r="U83" t="e">
        <f t="shared" ca="1" si="21"/>
        <v>#NAME?</v>
      </c>
      <c r="V83" t="e">
        <f t="shared" ca="1" si="21"/>
        <v>#NAME?</v>
      </c>
      <c r="W83" t="e">
        <f t="shared" ca="1" si="21"/>
        <v>#NAME?</v>
      </c>
      <c r="X83" t="e">
        <f t="shared" ca="1" si="21"/>
        <v>#NAME?</v>
      </c>
      <c r="Z83" s="15">
        <v>1</v>
      </c>
    </row>
    <row r="84" spans="1:26" ht="15" customHeight="1">
      <c r="A84" s="22" t="s">
        <v>160</v>
      </c>
      <c r="B84" s="120" t="s">
        <v>116</v>
      </c>
      <c r="C84" s="25" t="s">
        <v>152</v>
      </c>
      <c r="D84" s="25" t="s">
        <v>152</v>
      </c>
      <c r="E84" s="25" t="s">
        <v>152</v>
      </c>
      <c r="F84" s="25"/>
      <c r="G84" s="25"/>
      <c r="H84" s="25"/>
      <c r="J84" t="e">
        <f t="shared" ca="1" si="20"/>
        <v>#NAME?</v>
      </c>
      <c r="K84" t="e">
        <f t="shared" ca="1" si="20"/>
        <v>#NAME?</v>
      </c>
      <c r="L84" t="e">
        <f t="shared" ca="1" si="20"/>
        <v>#NAME?</v>
      </c>
      <c r="M84" t="e">
        <f t="shared" ca="1" si="20"/>
        <v>#NAME?</v>
      </c>
      <c r="N84" t="e">
        <f t="shared" ca="1" si="20"/>
        <v>#NAME?</v>
      </c>
      <c r="O84" t="e">
        <f t="shared" ca="1" si="20"/>
        <v>#NAME?</v>
      </c>
      <c r="P84" t="e">
        <f t="shared" ca="1" si="20"/>
        <v>#NAME?</v>
      </c>
      <c r="R84" t="e">
        <f t="shared" ca="1" si="21"/>
        <v>#NAME?</v>
      </c>
      <c r="S84" t="e">
        <f t="shared" ca="1" si="21"/>
        <v>#NAME?</v>
      </c>
      <c r="T84" t="e">
        <f t="shared" ca="1" si="21"/>
        <v>#NAME?</v>
      </c>
      <c r="U84" t="e">
        <f t="shared" ca="1" si="21"/>
        <v>#NAME?</v>
      </c>
      <c r="V84" t="e">
        <f t="shared" ca="1" si="21"/>
        <v>#NAME?</v>
      </c>
      <c r="W84" t="e">
        <f t="shared" ca="1" si="21"/>
        <v>#NAME?</v>
      </c>
      <c r="X84" t="e">
        <f t="shared" ca="1" si="21"/>
        <v>#NAME?</v>
      </c>
      <c r="Z84" s="15">
        <v>1</v>
      </c>
    </row>
    <row r="85" spans="1:26">
      <c r="A85" s="22" t="s">
        <v>161</v>
      </c>
      <c r="B85" s="25" t="s">
        <v>152</v>
      </c>
      <c r="C85" s="25"/>
      <c r="D85" s="25" t="s">
        <v>141</v>
      </c>
      <c r="E85" s="25"/>
      <c r="F85" s="25"/>
      <c r="G85" s="25"/>
      <c r="H85" s="25"/>
      <c r="J85" t="e">
        <f t="shared" ca="1" si="20"/>
        <v>#NAME?</v>
      </c>
      <c r="K85" t="e">
        <f t="shared" ca="1" si="20"/>
        <v>#NAME?</v>
      </c>
      <c r="L85" t="e">
        <f t="shared" ca="1" si="20"/>
        <v>#NAME?</v>
      </c>
      <c r="M85" t="e">
        <f t="shared" ca="1" si="20"/>
        <v>#NAME?</v>
      </c>
      <c r="N85" t="e">
        <f t="shared" ca="1" si="20"/>
        <v>#NAME?</v>
      </c>
      <c r="O85" t="e">
        <f t="shared" ca="1" si="20"/>
        <v>#NAME?</v>
      </c>
      <c r="P85" t="e">
        <f t="shared" ca="1" si="20"/>
        <v>#NAME?</v>
      </c>
      <c r="R85" t="e">
        <f t="shared" ca="1" si="21"/>
        <v>#NAME?</v>
      </c>
      <c r="S85" t="e">
        <f t="shared" ca="1" si="21"/>
        <v>#NAME?</v>
      </c>
      <c r="T85" t="e">
        <f t="shared" ca="1" si="21"/>
        <v>#NAME?</v>
      </c>
      <c r="U85" t="e">
        <f t="shared" ca="1" si="21"/>
        <v>#NAME?</v>
      </c>
      <c r="V85" t="e">
        <f t="shared" ca="1" si="21"/>
        <v>#NAME?</v>
      </c>
      <c r="W85" t="e">
        <f t="shared" ca="1" si="21"/>
        <v>#NAME?</v>
      </c>
      <c r="X85" t="e">
        <f t="shared" ca="1" si="21"/>
        <v>#NAME?</v>
      </c>
      <c r="Z85" s="15">
        <v>0.25</v>
      </c>
    </row>
    <row r="86" spans="1:26">
      <c r="A86" s="22" t="s">
        <v>162</v>
      </c>
      <c r="B86" s="120" t="s">
        <v>116</v>
      </c>
      <c r="C86" s="25" t="s">
        <v>152</v>
      </c>
      <c r="D86" s="25" t="s">
        <v>152</v>
      </c>
      <c r="E86" s="25" t="s">
        <v>152</v>
      </c>
      <c r="F86" s="25"/>
      <c r="G86" s="25"/>
      <c r="H86" s="25"/>
      <c r="J86" t="e">
        <f t="shared" ca="1" si="20"/>
        <v>#NAME?</v>
      </c>
      <c r="K86" t="e">
        <f t="shared" ca="1" si="20"/>
        <v>#NAME?</v>
      </c>
      <c r="L86" t="e">
        <f t="shared" ca="1" si="20"/>
        <v>#NAME?</v>
      </c>
      <c r="M86" t="e">
        <f t="shared" ca="1" si="20"/>
        <v>#NAME?</v>
      </c>
      <c r="N86" t="e">
        <f t="shared" ca="1" si="20"/>
        <v>#NAME?</v>
      </c>
      <c r="O86" t="e">
        <f t="shared" ca="1" si="20"/>
        <v>#NAME?</v>
      </c>
      <c r="P86" t="e">
        <f t="shared" ca="1" si="20"/>
        <v>#NAME?</v>
      </c>
      <c r="R86" t="e">
        <f t="shared" ca="1" si="21"/>
        <v>#NAME?</v>
      </c>
      <c r="S86" t="e">
        <f t="shared" ca="1" si="21"/>
        <v>#NAME?</v>
      </c>
      <c r="T86" t="e">
        <f t="shared" ca="1" si="21"/>
        <v>#NAME?</v>
      </c>
      <c r="U86" t="e">
        <f t="shared" ca="1" si="21"/>
        <v>#NAME?</v>
      </c>
      <c r="V86" t="e">
        <f t="shared" ca="1" si="21"/>
        <v>#NAME?</v>
      </c>
      <c r="W86" t="e">
        <f t="shared" ca="1" si="21"/>
        <v>#NAME?</v>
      </c>
      <c r="X86" t="e">
        <f t="shared" ca="1" si="21"/>
        <v>#NAME?</v>
      </c>
      <c r="Z86" s="15">
        <v>1</v>
      </c>
    </row>
    <row r="87" spans="1:26" ht="15" customHeight="1">
      <c r="A87" s="22" t="s">
        <v>163</v>
      </c>
      <c r="B87" s="25"/>
      <c r="C87" s="25"/>
      <c r="D87" s="25" t="s">
        <v>141</v>
      </c>
      <c r="E87" s="28" t="s">
        <v>115</v>
      </c>
      <c r="F87" s="110" t="s">
        <v>139</v>
      </c>
      <c r="G87" s="121" t="s">
        <v>116</v>
      </c>
      <c r="H87" s="121" t="s">
        <v>116</v>
      </c>
      <c r="J87" t="e">
        <f t="shared" ca="1" si="20"/>
        <v>#NAME?</v>
      </c>
      <c r="K87" t="e">
        <f t="shared" ca="1" si="20"/>
        <v>#NAME?</v>
      </c>
      <c r="L87" t="e">
        <f t="shared" ca="1" si="20"/>
        <v>#NAME?</v>
      </c>
      <c r="M87" t="e">
        <f t="shared" ca="1" si="20"/>
        <v>#NAME?</v>
      </c>
      <c r="N87" t="e">
        <f t="shared" ca="1" si="20"/>
        <v>#NAME?</v>
      </c>
      <c r="O87" t="e">
        <f t="shared" ca="1" si="20"/>
        <v>#NAME?</v>
      </c>
      <c r="P87" t="e">
        <f t="shared" ca="1" si="20"/>
        <v>#NAME?</v>
      </c>
      <c r="R87" t="e">
        <f t="shared" ca="1" si="21"/>
        <v>#NAME?</v>
      </c>
      <c r="S87" t="e">
        <f t="shared" ca="1" si="21"/>
        <v>#NAME?</v>
      </c>
      <c r="T87" t="e">
        <f t="shared" ca="1" si="21"/>
        <v>#NAME?</v>
      </c>
      <c r="U87" t="e">
        <f t="shared" ca="1" si="21"/>
        <v>#NAME?</v>
      </c>
      <c r="V87" t="e">
        <f t="shared" ca="1" si="21"/>
        <v>#NAME?</v>
      </c>
      <c r="W87" t="e">
        <f t="shared" ca="1" si="21"/>
        <v>#NAME?</v>
      </c>
      <c r="X87" t="e">
        <f t="shared" ca="1" si="21"/>
        <v>#NAME?</v>
      </c>
      <c r="Z87" s="15">
        <v>1</v>
      </c>
    </row>
    <row r="88" spans="1:26" ht="15" customHeight="1">
      <c r="A88" s="22" t="s">
        <v>164</v>
      </c>
      <c r="B88" s="25"/>
      <c r="C88" s="25"/>
      <c r="D88" s="121" t="s">
        <v>116</v>
      </c>
      <c r="E88" s="25"/>
      <c r="F88" s="25" t="s">
        <v>152</v>
      </c>
      <c r="G88" s="25" t="s">
        <v>152</v>
      </c>
      <c r="H88" s="25"/>
      <c r="J88" t="e">
        <f t="shared" ca="1" si="20"/>
        <v>#NAME?</v>
      </c>
      <c r="K88" t="e">
        <f t="shared" ca="1" si="20"/>
        <v>#NAME?</v>
      </c>
      <c r="L88" t="e">
        <f t="shared" ca="1" si="20"/>
        <v>#NAME?</v>
      </c>
      <c r="M88" t="e">
        <f t="shared" ca="1" si="20"/>
        <v>#NAME?</v>
      </c>
      <c r="N88" t="e">
        <f t="shared" ca="1" si="20"/>
        <v>#NAME?</v>
      </c>
      <c r="O88" t="e">
        <f t="shared" ca="1" si="20"/>
        <v>#NAME?</v>
      </c>
      <c r="P88" t="e">
        <f t="shared" ca="1" si="20"/>
        <v>#NAME?</v>
      </c>
      <c r="R88" t="e">
        <f t="shared" ca="1" si="21"/>
        <v>#NAME?</v>
      </c>
      <c r="S88" t="e">
        <f t="shared" ca="1" si="21"/>
        <v>#NAME?</v>
      </c>
      <c r="T88" t="e">
        <f t="shared" ca="1" si="21"/>
        <v>#NAME?</v>
      </c>
      <c r="U88" t="e">
        <f t="shared" ca="1" si="21"/>
        <v>#NAME?</v>
      </c>
      <c r="V88" t="e">
        <f t="shared" ca="1" si="21"/>
        <v>#NAME?</v>
      </c>
      <c r="W88" t="e">
        <f t="shared" ca="1" si="21"/>
        <v>#NAME?</v>
      </c>
      <c r="X88" t="e">
        <f t="shared" ca="1" si="21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25" t="s">
        <v>141</v>
      </c>
      <c r="E89" s="25"/>
      <c r="F89" s="25"/>
      <c r="G89" s="25"/>
      <c r="H89" s="25"/>
      <c r="J89" t="e">
        <f t="shared" ca="1" si="20"/>
        <v>#NAME?</v>
      </c>
      <c r="K89" t="e">
        <f t="shared" ca="1" si="20"/>
        <v>#NAME?</v>
      </c>
      <c r="L89" t="e">
        <f t="shared" ca="1" si="20"/>
        <v>#NAME?</v>
      </c>
      <c r="M89" t="e">
        <f t="shared" ca="1" si="20"/>
        <v>#NAME?</v>
      </c>
      <c r="N89" t="e">
        <f t="shared" ca="1" si="20"/>
        <v>#NAME?</v>
      </c>
      <c r="O89" t="e">
        <f t="shared" ca="1" si="20"/>
        <v>#NAME?</v>
      </c>
      <c r="P89" t="e">
        <f t="shared" ca="1" si="20"/>
        <v>#NAME?</v>
      </c>
      <c r="R89" t="e">
        <f t="shared" ca="1" si="21"/>
        <v>#NAME?</v>
      </c>
      <c r="S89" t="e">
        <f t="shared" ca="1" si="21"/>
        <v>#NAME?</v>
      </c>
      <c r="T89" t="e">
        <f t="shared" ca="1" si="21"/>
        <v>#NAME?</v>
      </c>
      <c r="U89" t="e">
        <f t="shared" ca="1" si="21"/>
        <v>#NAME?</v>
      </c>
      <c r="V89" t="e">
        <f t="shared" ca="1" si="21"/>
        <v>#NAME?</v>
      </c>
      <c r="W89" t="e">
        <f t="shared" ca="1" si="21"/>
        <v>#NAME?</v>
      </c>
      <c r="X89" t="e">
        <f t="shared" ca="1" si="21"/>
        <v>#NAME?</v>
      </c>
      <c r="Z89" s="15">
        <v>0.75</v>
      </c>
    </row>
    <row r="90" spans="1:26" ht="15" customHeight="1">
      <c r="A90" s="22" t="s">
        <v>168</v>
      </c>
      <c r="B90" s="25"/>
      <c r="C90" s="120" t="s">
        <v>116</v>
      </c>
      <c r="D90" s="25"/>
      <c r="E90" s="121" t="s">
        <v>118</v>
      </c>
      <c r="F90" s="121" t="s">
        <v>116</v>
      </c>
      <c r="G90" s="25"/>
      <c r="H90" s="25" t="s">
        <v>152</v>
      </c>
      <c r="J90" t="e">
        <f t="shared" ca="1" si="20"/>
        <v>#NAME?</v>
      </c>
      <c r="K90" t="e">
        <f t="shared" ca="1" si="20"/>
        <v>#NAME?</v>
      </c>
      <c r="L90" t="e">
        <f t="shared" ca="1" si="20"/>
        <v>#NAME?</v>
      </c>
      <c r="M90" t="e">
        <f t="shared" ca="1" si="20"/>
        <v>#NAME?</v>
      </c>
      <c r="N90" t="e">
        <f t="shared" ca="1" si="20"/>
        <v>#NAME?</v>
      </c>
      <c r="O90" t="e">
        <f t="shared" ca="1" si="20"/>
        <v>#NAME?</v>
      </c>
      <c r="P90" t="e">
        <f t="shared" ca="1" si="20"/>
        <v>#NAME?</v>
      </c>
      <c r="R90" t="e">
        <f t="shared" ca="1" si="21"/>
        <v>#NAME?</v>
      </c>
      <c r="S90" t="e">
        <f t="shared" ca="1" si="21"/>
        <v>#NAME?</v>
      </c>
      <c r="T90" t="e">
        <f t="shared" ca="1" si="21"/>
        <v>#NAME?</v>
      </c>
      <c r="U90" t="e">
        <f t="shared" ca="1" si="21"/>
        <v>#NAME?</v>
      </c>
      <c r="V90" t="e">
        <f t="shared" ca="1" si="21"/>
        <v>#NAME?</v>
      </c>
      <c r="W90" t="e">
        <f t="shared" ca="1" si="21"/>
        <v>#NAME?</v>
      </c>
      <c r="X90" t="e">
        <f t="shared" ca="1" si="21"/>
        <v>#NAME?</v>
      </c>
      <c r="Z90" s="15">
        <v>1</v>
      </c>
    </row>
    <row r="91" spans="1:26" ht="15" customHeight="1">
      <c r="A91" s="22" t="s">
        <v>169</v>
      </c>
      <c r="B91" s="127" t="s">
        <v>18</v>
      </c>
      <c r="C91" s="128"/>
      <c r="D91" s="128"/>
      <c r="E91" s="128"/>
      <c r="F91" s="128"/>
      <c r="G91" s="128"/>
      <c r="H91" s="129"/>
      <c r="J91" t="e">
        <f t="shared" ca="1" si="20"/>
        <v>#NAME?</v>
      </c>
      <c r="K91" t="e">
        <f t="shared" ca="1" si="20"/>
        <v>#NAME?</v>
      </c>
      <c r="L91" t="e">
        <f t="shared" ca="1" si="20"/>
        <v>#NAME?</v>
      </c>
      <c r="M91" t="e">
        <f t="shared" ca="1" si="20"/>
        <v>#NAME?</v>
      </c>
      <c r="N91" t="e">
        <f t="shared" ca="1" si="20"/>
        <v>#NAME?</v>
      </c>
      <c r="O91" t="e">
        <f t="shared" ca="1" si="20"/>
        <v>#NAME?</v>
      </c>
      <c r="P91" t="e">
        <f t="shared" ca="1" si="20"/>
        <v>#NAME?</v>
      </c>
      <c r="R91" t="e">
        <f t="shared" ca="1" si="21"/>
        <v>#NAME?</v>
      </c>
      <c r="S91" t="e">
        <f t="shared" ca="1" si="21"/>
        <v>#NAME?</v>
      </c>
      <c r="T91" t="e">
        <f t="shared" ca="1" si="21"/>
        <v>#NAME?</v>
      </c>
      <c r="U91" t="e">
        <f t="shared" ca="1" si="21"/>
        <v>#NAME?</v>
      </c>
      <c r="V91" t="e">
        <f t="shared" ca="1" si="21"/>
        <v>#NAME?</v>
      </c>
      <c r="W91" t="e">
        <f t="shared" ca="1" si="21"/>
        <v>#NAME?</v>
      </c>
      <c r="X91" t="e">
        <f t="shared" ca="1" si="21"/>
        <v>#NAME?</v>
      </c>
      <c r="Z91" s="15">
        <v>1</v>
      </c>
    </row>
    <row r="92" spans="1:26" ht="15" customHeight="1">
      <c r="A92" s="22" t="s">
        <v>171</v>
      </c>
      <c r="B92" s="25" t="s">
        <v>152</v>
      </c>
      <c r="C92" s="25" t="s">
        <v>152</v>
      </c>
      <c r="D92" s="25" t="s">
        <v>152</v>
      </c>
      <c r="E92" s="25"/>
      <c r="F92" s="25"/>
      <c r="G92" s="25"/>
      <c r="H92" s="25"/>
      <c r="J92" t="e">
        <f t="shared" ca="1" si="20"/>
        <v>#NAME?</v>
      </c>
      <c r="K92" t="e">
        <f t="shared" ca="1" si="20"/>
        <v>#NAME?</v>
      </c>
      <c r="L92" t="e">
        <f t="shared" ca="1" si="20"/>
        <v>#NAME?</v>
      </c>
      <c r="M92" t="e">
        <f t="shared" ca="1" si="20"/>
        <v>#NAME?</v>
      </c>
      <c r="N92" t="e">
        <f t="shared" ca="1" si="20"/>
        <v>#NAME?</v>
      </c>
      <c r="O92" t="e">
        <f t="shared" ca="1" si="20"/>
        <v>#NAME?</v>
      </c>
      <c r="P92" t="e">
        <f t="shared" ca="1" si="20"/>
        <v>#NAME?</v>
      </c>
      <c r="R92" t="e">
        <f t="shared" ca="1" si="21"/>
        <v>#NAME?</v>
      </c>
      <c r="S92" t="e">
        <f t="shared" ca="1" si="21"/>
        <v>#NAME?</v>
      </c>
      <c r="T92" t="e">
        <f t="shared" ca="1" si="21"/>
        <v>#NAME?</v>
      </c>
      <c r="U92" t="e">
        <f t="shared" ca="1" si="21"/>
        <v>#NAME?</v>
      </c>
      <c r="V92" t="e">
        <f t="shared" ca="1" si="21"/>
        <v>#NAME?</v>
      </c>
      <c r="W92" t="e">
        <f t="shared" ca="1" si="21"/>
        <v>#NAME?</v>
      </c>
      <c r="X92" t="e">
        <f t="shared" ca="1" si="21"/>
        <v>#NAME?</v>
      </c>
      <c r="Z92" s="15">
        <v>0.75</v>
      </c>
    </row>
    <row r="93" spans="1:26">
      <c r="A93" s="22" t="s">
        <v>174</v>
      </c>
      <c r="B93" s="25"/>
      <c r="C93" s="25"/>
      <c r="D93" s="25" t="s">
        <v>141</v>
      </c>
      <c r="E93" s="28" t="s">
        <v>119</v>
      </c>
      <c r="F93" s="121" t="s">
        <v>116</v>
      </c>
      <c r="G93" s="110" t="s">
        <v>139</v>
      </c>
      <c r="H93" s="120" t="s">
        <v>116</v>
      </c>
      <c r="J93" t="e">
        <f t="shared" ca="1" si="20"/>
        <v>#NAME?</v>
      </c>
      <c r="K93" t="e">
        <f t="shared" ca="1" si="20"/>
        <v>#NAME?</v>
      </c>
      <c r="L93" t="e">
        <f t="shared" ca="1" si="20"/>
        <v>#NAME?</v>
      </c>
      <c r="M93" t="e">
        <f t="shared" ca="1" si="20"/>
        <v>#NAME?</v>
      </c>
      <c r="N93" t="e">
        <f t="shared" ca="1" si="20"/>
        <v>#NAME?</v>
      </c>
      <c r="O93" t="e">
        <f t="shared" ca="1" si="20"/>
        <v>#NAME?</v>
      </c>
      <c r="P93" t="e">
        <f t="shared" ca="1" si="20"/>
        <v>#NAME?</v>
      </c>
      <c r="R93" t="e">
        <f t="shared" ca="1" si="21"/>
        <v>#NAME?</v>
      </c>
      <c r="S93" t="e">
        <f t="shared" ca="1" si="21"/>
        <v>#NAME?</v>
      </c>
      <c r="T93" t="e">
        <f t="shared" ca="1" si="21"/>
        <v>#NAME?</v>
      </c>
      <c r="U93" t="e">
        <f t="shared" ca="1" si="21"/>
        <v>#NAME?</v>
      </c>
      <c r="V93" t="e">
        <f t="shared" ca="1" si="21"/>
        <v>#NAME?</v>
      </c>
      <c r="W93" t="e">
        <f t="shared" ca="1" si="21"/>
        <v>#NAME?</v>
      </c>
      <c r="X93" t="e">
        <f t="shared" ca="1" si="21"/>
        <v>#NAME?</v>
      </c>
      <c r="Z93" s="15">
        <v>0.75</v>
      </c>
    </row>
    <row r="94" spans="1:26">
      <c r="A94" s="22" t="s">
        <v>175</v>
      </c>
      <c r="B94" s="121" t="s">
        <v>116</v>
      </c>
      <c r="C94" s="28" t="s">
        <v>115</v>
      </c>
      <c r="D94" s="121" t="s">
        <v>116</v>
      </c>
      <c r="E94" s="25"/>
      <c r="F94" s="25"/>
      <c r="G94" s="28" t="s">
        <v>115</v>
      </c>
      <c r="H94" s="110" t="s">
        <v>139</v>
      </c>
      <c r="J94" t="e">
        <f t="shared" ca="1" si="20"/>
        <v>#NAME?</v>
      </c>
      <c r="K94" t="e">
        <f t="shared" ca="1" si="20"/>
        <v>#NAME?</v>
      </c>
      <c r="L94" t="e">
        <f t="shared" ca="1" si="20"/>
        <v>#NAME?</v>
      </c>
      <c r="M94" t="e">
        <f t="shared" ca="1" si="20"/>
        <v>#NAME?</v>
      </c>
      <c r="N94" t="e">
        <f t="shared" ca="1" si="20"/>
        <v>#NAME?</v>
      </c>
      <c r="O94" t="e">
        <f t="shared" ca="1" si="20"/>
        <v>#NAME?</v>
      </c>
      <c r="P94" t="e">
        <f t="shared" ca="1" si="20"/>
        <v>#NAME?</v>
      </c>
      <c r="R94" t="e">
        <f t="shared" ca="1" si="21"/>
        <v>#NAME?</v>
      </c>
      <c r="S94" t="e">
        <f t="shared" ca="1" si="21"/>
        <v>#NAME?</v>
      </c>
      <c r="T94" t="e">
        <f t="shared" ca="1" si="21"/>
        <v>#NAME?</v>
      </c>
      <c r="U94" t="e">
        <f t="shared" ca="1" si="21"/>
        <v>#NAME?</v>
      </c>
      <c r="V94" t="e">
        <f t="shared" ca="1" si="21"/>
        <v>#NAME?</v>
      </c>
      <c r="W94" t="e">
        <f t="shared" ca="1" si="21"/>
        <v>#NAME?</v>
      </c>
      <c r="X94" t="e">
        <f t="shared" ca="1" si="21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121" t="s">
        <v>118</v>
      </c>
      <c r="H95" s="25"/>
      <c r="J95" t="e">
        <f t="shared" ca="1" si="20"/>
        <v>#NAME?</v>
      </c>
      <c r="K95" t="e">
        <f t="shared" ca="1" si="20"/>
        <v>#NAME?</v>
      </c>
      <c r="L95" t="e">
        <f t="shared" ca="1" si="20"/>
        <v>#NAME?</v>
      </c>
      <c r="M95" t="e">
        <f t="shared" ca="1" si="20"/>
        <v>#NAME?</v>
      </c>
      <c r="N95" t="e">
        <f t="shared" ca="1" si="20"/>
        <v>#NAME?</v>
      </c>
      <c r="O95" t="e">
        <f t="shared" ca="1" si="20"/>
        <v>#NAME?</v>
      </c>
      <c r="P95" t="e">
        <f t="shared" ca="1" si="20"/>
        <v>#NAME?</v>
      </c>
      <c r="R95" t="e">
        <f t="shared" ca="1" si="21"/>
        <v>#NAME?</v>
      </c>
      <c r="S95" t="e">
        <f t="shared" ca="1" si="21"/>
        <v>#NAME?</v>
      </c>
      <c r="T95" t="e">
        <f t="shared" ca="1" si="21"/>
        <v>#NAME?</v>
      </c>
      <c r="U95" t="e">
        <f t="shared" ca="1" si="21"/>
        <v>#NAME?</v>
      </c>
      <c r="V95" t="e">
        <f t="shared" ca="1" si="21"/>
        <v>#NAME?</v>
      </c>
      <c r="W95" t="e">
        <f t="shared" ca="1" si="21"/>
        <v>#NAME?</v>
      </c>
      <c r="X95" t="e">
        <f t="shared" ca="1" si="21"/>
        <v>#NAME?</v>
      </c>
      <c r="Z95" s="15">
        <v>0.25</v>
      </c>
    </row>
    <row r="96" spans="1:26" ht="15" customHeight="1">
      <c r="A96" s="22" t="s">
        <v>177</v>
      </c>
      <c r="B96" s="25"/>
      <c r="C96" s="25"/>
      <c r="D96" s="25" t="s">
        <v>141</v>
      </c>
      <c r="E96" s="121" t="s">
        <v>116</v>
      </c>
      <c r="F96" s="120" t="s">
        <v>116</v>
      </c>
      <c r="G96" s="25"/>
      <c r="H96" s="121" t="s">
        <v>116</v>
      </c>
      <c r="J96" t="e">
        <f t="shared" ca="1" si="20"/>
        <v>#NAME?</v>
      </c>
      <c r="K96" t="e">
        <f t="shared" ca="1" si="20"/>
        <v>#NAME?</v>
      </c>
      <c r="L96" t="e">
        <f t="shared" ca="1" si="20"/>
        <v>#NAME?</v>
      </c>
      <c r="M96" t="e">
        <f t="shared" ca="1" si="20"/>
        <v>#NAME?</v>
      </c>
      <c r="N96" t="e">
        <f t="shared" ca="1" si="20"/>
        <v>#NAME?</v>
      </c>
      <c r="O96" t="e">
        <f t="shared" ca="1" si="20"/>
        <v>#NAME?</v>
      </c>
      <c r="P96" t="e">
        <f t="shared" ca="1" si="20"/>
        <v>#NAME?</v>
      </c>
      <c r="R96" t="e">
        <f t="shared" ca="1" si="21"/>
        <v>#NAME?</v>
      </c>
      <c r="S96" t="e">
        <f t="shared" ca="1" si="21"/>
        <v>#NAME?</v>
      </c>
      <c r="T96" t="e">
        <f t="shared" ca="1" si="21"/>
        <v>#NAME?</v>
      </c>
      <c r="U96" t="e">
        <f t="shared" ca="1" si="21"/>
        <v>#NAME?</v>
      </c>
      <c r="V96" t="e">
        <f t="shared" ca="1" si="21"/>
        <v>#NAME?</v>
      </c>
      <c r="W96" t="e">
        <f t="shared" ca="1" si="21"/>
        <v>#NAME?</v>
      </c>
      <c r="X96" t="e">
        <f t="shared" ca="1" si="21"/>
        <v>#NAME?</v>
      </c>
      <c r="Z96" s="15">
        <v>0.75</v>
      </c>
    </row>
    <row r="97" spans="1:26" ht="15" customHeight="1">
      <c r="A97" s="22" t="s">
        <v>178</v>
      </c>
      <c r="B97" s="121" t="s">
        <v>118</v>
      </c>
      <c r="C97" s="110" t="s">
        <v>139</v>
      </c>
      <c r="D97" s="28" t="s">
        <v>115</v>
      </c>
      <c r="E97" s="25"/>
      <c r="F97" s="25"/>
      <c r="G97" s="25"/>
      <c r="H97" s="28" t="s">
        <v>115</v>
      </c>
      <c r="J97" t="e">
        <f t="shared" ca="1" si="20"/>
        <v>#NAME?</v>
      </c>
      <c r="K97" t="e">
        <f t="shared" ca="1" si="20"/>
        <v>#NAME?</v>
      </c>
      <c r="L97" t="e">
        <f t="shared" ca="1" si="20"/>
        <v>#NAME?</v>
      </c>
      <c r="M97" t="e">
        <f t="shared" ca="1" si="20"/>
        <v>#NAME?</v>
      </c>
      <c r="N97" t="e">
        <f t="shared" ca="1" si="20"/>
        <v>#NAME?</v>
      </c>
      <c r="O97" t="e">
        <f t="shared" ca="1" si="20"/>
        <v>#NAME?</v>
      </c>
      <c r="P97" t="e">
        <f t="shared" ca="1" si="20"/>
        <v>#NAME?</v>
      </c>
      <c r="R97" t="e">
        <f t="shared" ca="1" si="21"/>
        <v>#NAME?</v>
      </c>
      <c r="S97" t="e">
        <f t="shared" ca="1" si="21"/>
        <v>#NAME?</v>
      </c>
      <c r="T97" t="e">
        <f t="shared" ca="1" si="21"/>
        <v>#NAME?</v>
      </c>
      <c r="U97" t="e">
        <f t="shared" ca="1" si="21"/>
        <v>#NAME?</v>
      </c>
      <c r="V97" t="e">
        <f t="shared" ca="1" si="21"/>
        <v>#NAME?</v>
      </c>
      <c r="W97" t="e">
        <f t="shared" ca="1" si="21"/>
        <v>#NAME?</v>
      </c>
      <c r="X97" t="e">
        <f t="shared" ca="1" si="21"/>
        <v>#NAME?</v>
      </c>
      <c r="Z97" s="15">
        <v>1</v>
      </c>
    </row>
    <row r="98" spans="1:26">
      <c r="A98" s="106" t="s">
        <v>179</v>
      </c>
      <c r="B98" s="107" t="str">
        <f t="shared" ref="B98:H98" si="22">B58</f>
        <v>Mon 15 Jun</v>
      </c>
      <c r="C98" s="107" t="str">
        <f t="shared" si="22"/>
        <v>Tues 16 Jun</v>
      </c>
      <c r="D98" s="107" t="str">
        <f t="shared" si="22"/>
        <v>Wed 17 Jun</v>
      </c>
      <c r="E98" s="107" t="str">
        <f t="shared" si="22"/>
        <v>Thu 18 Jun</v>
      </c>
      <c r="F98" s="107" t="str">
        <f t="shared" si="22"/>
        <v>Fri 19 Jun</v>
      </c>
      <c r="G98" s="107" t="str">
        <f t="shared" si="22"/>
        <v>Sat 20 Jun</v>
      </c>
      <c r="H98" s="107" t="str">
        <f t="shared" si="22"/>
        <v>Sun 21 Jun</v>
      </c>
      <c r="J98" t="e">
        <f t="shared" ca="1" si="17"/>
        <v>#NAME?</v>
      </c>
      <c r="K98" t="e">
        <f t="shared" ca="1" si="17"/>
        <v>#NAME?</v>
      </c>
      <c r="L98" t="e">
        <f t="shared" ca="1" si="17"/>
        <v>#NAME?</v>
      </c>
      <c r="M98" t="e">
        <f t="shared" ca="1" si="17"/>
        <v>#NAME?</v>
      </c>
      <c r="N98" t="e">
        <f t="shared" ca="1" si="17"/>
        <v>#NAME?</v>
      </c>
      <c r="O98" t="e">
        <f t="shared" ca="1" si="17"/>
        <v>#NAME?</v>
      </c>
      <c r="P98" t="e">
        <f t="shared" ca="1" si="17"/>
        <v>#NAME?</v>
      </c>
      <c r="R98" t="e">
        <f t="shared" ca="1" si="18"/>
        <v>#NAME?</v>
      </c>
      <c r="S98" t="e">
        <f t="shared" ca="1" si="18"/>
        <v>#NAME?</v>
      </c>
      <c r="T98" t="e">
        <f t="shared" ca="1" si="18"/>
        <v>#NAME?</v>
      </c>
      <c r="U98" t="e">
        <f t="shared" ca="1" si="18"/>
        <v>#NAME?</v>
      </c>
      <c r="V98" t="e">
        <f t="shared" ca="1" si="18"/>
        <v>#NAME?</v>
      </c>
      <c r="W98" t="e">
        <f t="shared" ca="1" si="18"/>
        <v>#NAME?</v>
      </c>
      <c r="X98" t="e">
        <f t="shared" ca="1" si="18"/>
        <v>#NAME?</v>
      </c>
      <c r="Z98" s="54">
        <f>SUM(Z76:Z97)</f>
        <v>18.25</v>
      </c>
    </row>
    <row r="99" spans="1:26">
      <c r="A99" s="22" t="s">
        <v>180</v>
      </c>
      <c r="B99" s="127" t="s">
        <v>18</v>
      </c>
      <c r="C99" s="128"/>
      <c r="D99" s="128"/>
      <c r="E99" s="128"/>
      <c r="F99" s="128"/>
      <c r="G99" s="128"/>
      <c r="H99" s="129"/>
      <c r="J99" t="e">
        <f t="shared" ca="1" si="17"/>
        <v>#NAME?</v>
      </c>
      <c r="K99" t="e">
        <f t="shared" ca="1" si="17"/>
        <v>#NAME?</v>
      </c>
      <c r="L99" t="e">
        <f t="shared" ca="1" si="17"/>
        <v>#NAME?</v>
      </c>
      <c r="M99" t="e">
        <f t="shared" ca="1" si="17"/>
        <v>#NAME?</v>
      </c>
      <c r="N99" t="e">
        <f t="shared" ca="1" si="17"/>
        <v>#NAME?</v>
      </c>
      <c r="O99" t="e">
        <f t="shared" ca="1" si="17"/>
        <v>#NAME?</v>
      </c>
      <c r="P99" t="e">
        <f t="shared" ca="1" si="17"/>
        <v>#NAME?</v>
      </c>
      <c r="R99" t="e">
        <f t="shared" ca="1" si="18"/>
        <v>#NAME?</v>
      </c>
      <c r="S99" t="e">
        <f t="shared" ca="1" si="18"/>
        <v>#NAME?</v>
      </c>
      <c r="T99" t="e">
        <f t="shared" ca="1" si="18"/>
        <v>#NAME?</v>
      </c>
      <c r="U99" t="e">
        <f t="shared" ca="1" si="18"/>
        <v>#NAME?</v>
      </c>
      <c r="V99" t="e">
        <f t="shared" ca="1" si="18"/>
        <v>#NAME?</v>
      </c>
      <c r="W99" t="e">
        <f t="shared" ca="1" si="18"/>
        <v>#NAME?</v>
      </c>
      <c r="X99" t="e">
        <f t="shared" ca="1" si="18"/>
        <v>#NAME?</v>
      </c>
      <c r="Z99" s="15">
        <v>1</v>
      </c>
    </row>
    <row r="100" spans="1:26">
      <c r="A100" s="22" t="s">
        <v>183</v>
      </c>
      <c r="B100" s="25" t="s">
        <v>152</v>
      </c>
      <c r="C100" s="25" t="s">
        <v>152</v>
      </c>
      <c r="D100" s="25"/>
      <c r="E100" s="25"/>
      <c r="F100" s="25"/>
      <c r="G100" s="25"/>
      <c r="H100" s="25"/>
      <c r="J100" t="e">
        <f t="shared" ca="1" si="17"/>
        <v>#NAME?</v>
      </c>
      <c r="K100" t="e">
        <f t="shared" ca="1" si="17"/>
        <v>#NAME?</v>
      </c>
      <c r="L100" t="e">
        <f t="shared" ca="1" si="17"/>
        <v>#NAME?</v>
      </c>
      <c r="M100" t="e">
        <f t="shared" ca="1" si="17"/>
        <v>#NAME?</v>
      </c>
      <c r="N100" t="e">
        <f t="shared" ca="1" si="17"/>
        <v>#NAME?</v>
      </c>
      <c r="O100" t="e">
        <f t="shared" ca="1" si="17"/>
        <v>#NAME?</v>
      </c>
      <c r="P100" t="e">
        <f t="shared" ca="1" si="17"/>
        <v>#NAME?</v>
      </c>
      <c r="R100" t="e">
        <f t="shared" ca="1" si="18"/>
        <v>#NAME?</v>
      </c>
      <c r="S100" t="e">
        <f t="shared" ca="1" si="18"/>
        <v>#NAME?</v>
      </c>
      <c r="T100" t="e">
        <f t="shared" ca="1" si="18"/>
        <v>#NAME?</v>
      </c>
      <c r="U100" t="e">
        <f t="shared" ca="1" si="18"/>
        <v>#NAME?</v>
      </c>
      <c r="V100" t="e">
        <f t="shared" ca="1" si="18"/>
        <v>#NAME?</v>
      </c>
      <c r="W100" t="e">
        <f t="shared" ca="1" si="18"/>
        <v>#NAME?</v>
      </c>
      <c r="X100" t="e">
        <f t="shared" ca="1" si="18"/>
        <v>#NAME?</v>
      </c>
      <c r="Z100" s="15">
        <v>1</v>
      </c>
    </row>
    <row r="101" spans="1:26">
      <c r="A101" s="106" t="s">
        <v>184</v>
      </c>
      <c r="B101" s="107" t="str">
        <f t="shared" ref="B101:H101" si="23">B58</f>
        <v>Mon 15 Jun</v>
      </c>
      <c r="C101" s="107" t="str">
        <f t="shared" si="23"/>
        <v>Tues 16 Jun</v>
      </c>
      <c r="D101" s="107" t="str">
        <f t="shared" si="23"/>
        <v>Wed 17 Jun</v>
      </c>
      <c r="E101" s="107" t="str">
        <f t="shared" si="23"/>
        <v>Thu 18 Jun</v>
      </c>
      <c r="F101" s="107" t="str">
        <f t="shared" si="23"/>
        <v>Fri 19 Jun</v>
      </c>
      <c r="G101" s="107" t="str">
        <f t="shared" si="23"/>
        <v>Sat 20 Jun</v>
      </c>
      <c r="H101" s="107" t="str">
        <f t="shared" si="23"/>
        <v>Sun 21 Jun</v>
      </c>
      <c r="J101" t="e">
        <f t="shared" ca="1" si="17"/>
        <v>#NAME?</v>
      </c>
      <c r="K101" t="e">
        <f t="shared" ref="K101:P137" ca="1" si="24">colorindex(C101)</f>
        <v>#NAME?</v>
      </c>
      <c r="L101" t="e">
        <f t="shared" ca="1" si="24"/>
        <v>#NAME?</v>
      </c>
      <c r="M101" t="e">
        <f t="shared" ca="1" si="24"/>
        <v>#NAME?</v>
      </c>
      <c r="N101" t="e">
        <f t="shared" ca="1" si="24"/>
        <v>#NAME?</v>
      </c>
      <c r="O101" t="e">
        <f t="shared" ca="1" si="24"/>
        <v>#NAME?</v>
      </c>
      <c r="P101" t="e">
        <f t="shared" ca="1" si="24"/>
        <v>#NAME?</v>
      </c>
      <c r="R101" t="e">
        <f t="shared" ca="1" si="18"/>
        <v>#NAME?</v>
      </c>
      <c r="S101" t="e">
        <f t="shared" ref="S101:X137" ca="1" si="25">ShiftIndex(C101)</f>
        <v>#NAME?</v>
      </c>
      <c r="T101" t="e">
        <f t="shared" ca="1" si="25"/>
        <v>#NAME?</v>
      </c>
      <c r="U101" t="e">
        <f t="shared" ca="1" si="25"/>
        <v>#NAME?</v>
      </c>
      <c r="V101" t="e">
        <f t="shared" ca="1" si="25"/>
        <v>#NAME?</v>
      </c>
      <c r="W101" t="e">
        <f t="shared" ca="1" si="25"/>
        <v>#NAME?</v>
      </c>
      <c r="X101" t="e">
        <f t="shared" ca="1" si="25"/>
        <v>#NAME?</v>
      </c>
      <c r="Z101" s="53">
        <f>SUM(Z99:Z100)</f>
        <v>2</v>
      </c>
    </row>
    <row r="102" spans="1:26">
      <c r="A102" s="22" t="s">
        <v>185</v>
      </c>
      <c r="B102" s="25"/>
      <c r="C102" s="25"/>
      <c r="D102" s="44" t="s">
        <v>186</v>
      </c>
      <c r="E102" s="120" t="s">
        <v>116</v>
      </c>
      <c r="F102" s="25"/>
      <c r="G102" s="121" t="s">
        <v>116</v>
      </c>
      <c r="H102" s="101" t="s">
        <v>116</v>
      </c>
      <c r="J102" t="e">
        <f t="shared" ref="J102:M140" ca="1" si="26">colorindex(B102)</f>
        <v>#NAME?</v>
      </c>
      <c r="K102" t="e">
        <f t="shared" ca="1" si="24"/>
        <v>#NAME?</v>
      </c>
      <c r="L102" t="e">
        <f t="shared" ca="1" si="24"/>
        <v>#NAME?</v>
      </c>
      <c r="M102" t="e">
        <f t="shared" ca="1" si="24"/>
        <v>#NAME?</v>
      </c>
      <c r="N102" t="e">
        <f t="shared" ca="1" si="24"/>
        <v>#NAME?</v>
      </c>
      <c r="O102" t="e">
        <f t="shared" ca="1" si="24"/>
        <v>#NAME?</v>
      </c>
      <c r="P102" t="e">
        <f t="shared" ca="1" si="24"/>
        <v>#NAME?</v>
      </c>
      <c r="R102" t="e">
        <f t="shared" ref="R102:U140" ca="1" si="27">ShiftIndex(B102)</f>
        <v>#NAME?</v>
      </c>
      <c r="S102" t="e">
        <f t="shared" ca="1" si="25"/>
        <v>#NAME?</v>
      </c>
      <c r="T102" t="e">
        <f t="shared" ca="1" si="25"/>
        <v>#NAME?</v>
      </c>
      <c r="U102" t="e">
        <f t="shared" ca="1" si="25"/>
        <v>#NAME?</v>
      </c>
      <c r="V102" t="e">
        <f t="shared" ca="1" si="25"/>
        <v>#NAME?</v>
      </c>
      <c r="W102" t="e">
        <f t="shared" ca="1" si="25"/>
        <v>#NAME?</v>
      </c>
      <c r="X102" t="e">
        <f t="shared" ca="1" si="25"/>
        <v>#NAME?</v>
      </c>
      <c r="Z102" s="15">
        <v>1</v>
      </c>
    </row>
    <row r="103" spans="1:26">
      <c r="A103" s="22" t="s">
        <v>187</v>
      </c>
      <c r="B103" s="25"/>
      <c r="C103" s="25"/>
      <c r="D103" s="110" t="s">
        <v>142</v>
      </c>
      <c r="E103" s="121" t="s">
        <v>116</v>
      </c>
      <c r="F103" s="25"/>
      <c r="G103" s="120" t="s">
        <v>116</v>
      </c>
      <c r="H103" s="44" t="s">
        <v>189</v>
      </c>
      <c r="J103" t="e">
        <f t="shared" ca="1" si="26"/>
        <v>#NAME?</v>
      </c>
      <c r="K103" t="e">
        <f t="shared" ca="1" si="24"/>
        <v>#NAME?</v>
      </c>
      <c r="L103" t="e">
        <f t="shared" ca="1" si="24"/>
        <v>#NAME?</v>
      </c>
      <c r="M103" t="e">
        <f t="shared" ca="1" si="24"/>
        <v>#NAME?</v>
      </c>
      <c r="N103" t="e">
        <f t="shared" ca="1" si="24"/>
        <v>#NAME?</v>
      </c>
      <c r="O103" t="e">
        <f t="shared" ca="1" si="24"/>
        <v>#NAME?</v>
      </c>
      <c r="P103" t="e">
        <f t="shared" ca="1" si="24"/>
        <v>#NAME?</v>
      </c>
      <c r="R103" t="e">
        <f t="shared" ca="1" si="27"/>
        <v>#NAME?</v>
      </c>
      <c r="S103" t="e">
        <f t="shared" ca="1" si="25"/>
        <v>#NAME?</v>
      </c>
      <c r="T103" t="e">
        <f t="shared" ca="1" si="25"/>
        <v>#NAME?</v>
      </c>
      <c r="U103" t="e">
        <f t="shared" ca="1" si="25"/>
        <v>#NAME?</v>
      </c>
      <c r="V103" t="e">
        <f t="shared" ca="1" si="25"/>
        <v>#NAME?</v>
      </c>
      <c r="W103" t="e">
        <f t="shared" ca="1" si="25"/>
        <v>#NAME?</v>
      </c>
      <c r="X103" t="e">
        <f t="shared" ca="1" si="25"/>
        <v>#NAME?</v>
      </c>
      <c r="Z103" s="15">
        <v>1</v>
      </c>
    </row>
    <row r="104" spans="1:26">
      <c r="A104" s="22" t="s">
        <v>188</v>
      </c>
      <c r="B104" s="110" t="s">
        <v>139</v>
      </c>
      <c r="C104" s="25"/>
      <c r="D104" s="25" t="s">
        <v>152</v>
      </c>
      <c r="E104" s="25" t="s">
        <v>152</v>
      </c>
      <c r="F104" s="25" t="s">
        <v>152</v>
      </c>
      <c r="G104" s="25"/>
      <c r="H104" s="25"/>
      <c r="J104" t="e">
        <f t="shared" ca="1" si="26"/>
        <v>#NAME?</v>
      </c>
      <c r="K104" t="e">
        <f t="shared" ca="1" si="24"/>
        <v>#NAME?</v>
      </c>
      <c r="L104" t="e">
        <f t="shared" ca="1" si="24"/>
        <v>#NAME?</v>
      </c>
      <c r="M104" t="e">
        <f t="shared" ca="1" si="24"/>
        <v>#NAME?</v>
      </c>
      <c r="N104" t="e">
        <f t="shared" ca="1" si="24"/>
        <v>#NAME?</v>
      </c>
      <c r="O104" t="e">
        <f t="shared" ca="1" si="24"/>
        <v>#NAME?</v>
      </c>
      <c r="P104" t="e">
        <f t="shared" ca="1" si="24"/>
        <v>#NAME?</v>
      </c>
      <c r="R104" t="e">
        <f t="shared" ca="1" si="27"/>
        <v>#NAME?</v>
      </c>
      <c r="S104" t="e">
        <f t="shared" ca="1" si="25"/>
        <v>#NAME?</v>
      </c>
      <c r="T104" t="e">
        <f t="shared" ca="1" si="25"/>
        <v>#NAME?</v>
      </c>
      <c r="U104" t="e">
        <f t="shared" ca="1" si="25"/>
        <v>#NAME?</v>
      </c>
      <c r="V104" t="e">
        <f t="shared" ca="1" si="25"/>
        <v>#NAME?</v>
      </c>
      <c r="W104" t="e">
        <f t="shared" ca="1" si="25"/>
        <v>#NAME?</v>
      </c>
      <c r="X104" t="e">
        <f t="shared" ca="1" si="25"/>
        <v>#NAME?</v>
      </c>
      <c r="Z104" s="15">
        <v>1</v>
      </c>
    </row>
    <row r="105" spans="1:26">
      <c r="A105" s="22" t="s">
        <v>190</v>
      </c>
      <c r="B105" s="25"/>
      <c r="C105" s="44" t="s">
        <v>186</v>
      </c>
      <c r="D105" s="120" t="s">
        <v>118</v>
      </c>
      <c r="E105" s="25"/>
      <c r="F105" s="25"/>
      <c r="G105" s="110" t="s">
        <v>142</v>
      </c>
      <c r="H105" s="120" t="s">
        <v>118</v>
      </c>
      <c r="J105" t="e">
        <f t="shared" ca="1" si="26"/>
        <v>#NAME?</v>
      </c>
      <c r="K105" t="e">
        <f t="shared" ca="1" si="24"/>
        <v>#NAME?</v>
      </c>
      <c r="L105" t="e">
        <f t="shared" ca="1" si="24"/>
        <v>#NAME?</v>
      </c>
      <c r="M105" t="e">
        <f t="shared" ca="1" si="24"/>
        <v>#NAME?</v>
      </c>
      <c r="N105" t="e">
        <f t="shared" ca="1" si="24"/>
        <v>#NAME?</v>
      </c>
      <c r="O105" t="e">
        <f t="shared" ca="1" si="24"/>
        <v>#NAME?</v>
      </c>
      <c r="P105" t="e">
        <f t="shared" ca="1" si="24"/>
        <v>#NAME?</v>
      </c>
      <c r="R105" t="e">
        <f t="shared" ca="1" si="27"/>
        <v>#NAME?</v>
      </c>
      <c r="S105" t="e">
        <f t="shared" ca="1" si="25"/>
        <v>#NAME?</v>
      </c>
      <c r="T105" t="e">
        <f t="shared" ca="1" si="25"/>
        <v>#NAME?</v>
      </c>
      <c r="U105" t="e">
        <f t="shared" ca="1" si="25"/>
        <v>#NAME?</v>
      </c>
      <c r="V105" t="e">
        <f t="shared" ca="1" si="25"/>
        <v>#NAME?</v>
      </c>
      <c r="W105" t="e">
        <f t="shared" ca="1" si="25"/>
        <v>#NAME?</v>
      </c>
      <c r="X105" t="e">
        <f t="shared" ca="1" si="25"/>
        <v>#NAME?</v>
      </c>
      <c r="Z105" s="15">
        <v>1</v>
      </c>
    </row>
    <row r="106" spans="1:26">
      <c r="A106" s="22" t="s">
        <v>191</v>
      </c>
      <c r="B106" s="127" t="s">
        <v>18</v>
      </c>
      <c r="C106" s="128"/>
      <c r="D106" s="128"/>
      <c r="E106" s="128"/>
      <c r="F106" s="128"/>
      <c r="G106" s="128"/>
      <c r="H106" s="129"/>
      <c r="J106" t="e">
        <f t="shared" ca="1" si="26"/>
        <v>#NAME?</v>
      </c>
      <c r="K106" t="e">
        <f t="shared" ca="1" si="24"/>
        <v>#NAME?</v>
      </c>
      <c r="L106" t="e">
        <f t="shared" ca="1" si="24"/>
        <v>#NAME?</v>
      </c>
      <c r="M106" t="e">
        <f t="shared" ca="1" si="24"/>
        <v>#NAME?</v>
      </c>
      <c r="N106" t="e">
        <f t="shared" ca="1" si="24"/>
        <v>#NAME?</v>
      </c>
      <c r="O106" t="e">
        <f t="shared" ca="1" si="24"/>
        <v>#NAME?</v>
      </c>
      <c r="P106" t="e">
        <f t="shared" ca="1" si="24"/>
        <v>#NAME?</v>
      </c>
      <c r="R106" t="e">
        <f t="shared" ca="1" si="27"/>
        <v>#NAME?</v>
      </c>
      <c r="S106" t="e">
        <f t="shared" ca="1" si="25"/>
        <v>#NAME?</v>
      </c>
      <c r="T106" t="e">
        <f t="shared" ca="1" si="25"/>
        <v>#NAME?</v>
      </c>
      <c r="U106" t="e">
        <f t="shared" ca="1" si="25"/>
        <v>#NAME?</v>
      </c>
      <c r="V106" t="e">
        <f t="shared" ca="1" si="25"/>
        <v>#NAME?</v>
      </c>
      <c r="W106" t="e">
        <f t="shared" ca="1" si="25"/>
        <v>#NAME?</v>
      </c>
      <c r="X106" t="e">
        <f t="shared" ca="1" si="25"/>
        <v>#NAME?</v>
      </c>
      <c r="Z106" s="15">
        <v>1</v>
      </c>
    </row>
    <row r="107" spans="1:26">
      <c r="A107" s="22" t="s">
        <v>192</v>
      </c>
      <c r="B107" s="44" t="s">
        <v>186</v>
      </c>
      <c r="C107" s="110" t="s">
        <v>142</v>
      </c>
      <c r="D107" s="25"/>
      <c r="E107" s="110" t="s">
        <v>139</v>
      </c>
      <c r="F107" s="101" t="s">
        <v>116</v>
      </c>
      <c r="G107" s="25"/>
      <c r="H107" s="25"/>
      <c r="J107" t="e">
        <f t="shared" ca="1" si="26"/>
        <v>#NAME?</v>
      </c>
      <c r="K107" t="e">
        <f t="shared" ca="1" si="24"/>
        <v>#NAME?</v>
      </c>
      <c r="L107" t="e">
        <f t="shared" ca="1" si="24"/>
        <v>#NAME?</v>
      </c>
      <c r="M107" t="e">
        <f t="shared" ca="1" si="24"/>
        <v>#NAME?</v>
      </c>
      <c r="N107" t="e">
        <f t="shared" ca="1" si="24"/>
        <v>#NAME?</v>
      </c>
      <c r="O107" t="e">
        <f t="shared" ca="1" si="24"/>
        <v>#NAME?</v>
      </c>
      <c r="P107" t="e">
        <f t="shared" ca="1" si="24"/>
        <v>#NAME?</v>
      </c>
      <c r="R107" t="e">
        <f t="shared" ca="1" si="27"/>
        <v>#NAME?</v>
      </c>
      <c r="S107" t="e">
        <f t="shared" ca="1" si="25"/>
        <v>#NAME?</v>
      </c>
      <c r="T107" t="e">
        <f t="shared" ca="1" si="25"/>
        <v>#NAME?</v>
      </c>
      <c r="U107" t="e">
        <f t="shared" ca="1" si="25"/>
        <v>#NAME?</v>
      </c>
      <c r="V107" t="e">
        <f t="shared" ca="1" si="25"/>
        <v>#NAME?</v>
      </c>
      <c r="W107" t="e">
        <f t="shared" ca="1" si="25"/>
        <v>#NAME?</v>
      </c>
      <c r="X107" t="e">
        <f t="shared" ca="1" si="25"/>
        <v>#NAME?</v>
      </c>
      <c r="Z107" s="15">
        <v>0.875</v>
      </c>
    </row>
    <row r="108" spans="1:26">
      <c r="A108" s="22" t="s">
        <v>193</v>
      </c>
      <c r="B108" s="101" t="s">
        <v>116</v>
      </c>
      <c r="C108" s="44" t="s">
        <v>189</v>
      </c>
      <c r="D108" s="121" t="s">
        <v>116</v>
      </c>
      <c r="E108" s="25"/>
      <c r="F108" s="25"/>
      <c r="G108" s="25" t="s">
        <v>152</v>
      </c>
      <c r="H108" s="25" t="s">
        <v>152</v>
      </c>
      <c r="J108" t="e">
        <f t="shared" ca="1" si="26"/>
        <v>#NAME?</v>
      </c>
      <c r="K108" t="e">
        <f t="shared" ca="1" si="24"/>
        <v>#NAME?</v>
      </c>
      <c r="L108" t="e">
        <f t="shared" ca="1" si="24"/>
        <v>#NAME?</v>
      </c>
      <c r="M108" t="e">
        <f t="shared" ca="1" si="24"/>
        <v>#NAME?</v>
      </c>
      <c r="N108" t="e">
        <f t="shared" ca="1" si="24"/>
        <v>#NAME?</v>
      </c>
      <c r="O108" t="e">
        <f t="shared" ca="1" si="24"/>
        <v>#NAME?</v>
      </c>
      <c r="P108" t="e">
        <f t="shared" ca="1" si="24"/>
        <v>#NAME?</v>
      </c>
      <c r="R108" t="e">
        <f t="shared" ca="1" si="27"/>
        <v>#NAME?</v>
      </c>
      <c r="S108" t="e">
        <f t="shared" ca="1" si="25"/>
        <v>#NAME?</v>
      </c>
      <c r="T108" t="e">
        <f t="shared" ca="1" si="25"/>
        <v>#NAME?</v>
      </c>
      <c r="U108" t="e">
        <f t="shared" ca="1" si="25"/>
        <v>#NAME?</v>
      </c>
      <c r="V108" t="e">
        <f t="shared" ca="1" si="25"/>
        <v>#NAME?</v>
      </c>
      <c r="W108" t="e">
        <f t="shared" ca="1" si="25"/>
        <v>#NAME?</v>
      </c>
      <c r="X108" t="e">
        <f t="shared" ca="1" si="25"/>
        <v>#NAME?</v>
      </c>
      <c r="Z108" s="15">
        <v>1</v>
      </c>
    </row>
    <row r="109" spans="1:26">
      <c r="A109" s="22" t="s">
        <v>283</v>
      </c>
      <c r="B109" s="25" t="s">
        <v>152</v>
      </c>
      <c r="C109" s="25" t="s">
        <v>152</v>
      </c>
      <c r="D109" s="25" t="s">
        <v>402</v>
      </c>
      <c r="E109" s="25" t="s">
        <v>152</v>
      </c>
      <c r="F109" s="25"/>
      <c r="G109" s="25"/>
      <c r="H109" s="25"/>
      <c r="J109" t="e">
        <f t="shared" ca="1" si="26"/>
        <v>#NAME?</v>
      </c>
      <c r="K109" t="e">
        <f t="shared" ca="1" si="24"/>
        <v>#NAME?</v>
      </c>
      <c r="L109" t="e">
        <f t="shared" ca="1" si="24"/>
        <v>#NAME?</v>
      </c>
      <c r="M109" t="e">
        <f t="shared" ca="1" si="24"/>
        <v>#NAME?</v>
      </c>
      <c r="N109" t="e">
        <f t="shared" ca="1" si="24"/>
        <v>#NAME?</v>
      </c>
      <c r="O109" t="e">
        <f t="shared" ca="1" si="24"/>
        <v>#NAME?</v>
      </c>
      <c r="P109" t="e">
        <f t="shared" ca="1" si="24"/>
        <v>#NAME?</v>
      </c>
      <c r="R109" t="e">
        <f t="shared" ca="1" si="27"/>
        <v>#NAME?</v>
      </c>
      <c r="S109" t="e">
        <f t="shared" ca="1" si="25"/>
        <v>#NAME?</v>
      </c>
      <c r="T109" t="e">
        <f t="shared" ca="1" si="25"/>
        <v>#NAME?</v>
      </c>
      <c r="U109" t="e">
        <f t="shared" ca="1" si="25"/>
        <v>#NAME?</v>
      </c>
      <c r="V109" t="e">
        <f t="shared" ca="1" si="25"/>
        <v>#NAME?</v>
      </c>
      <c r="W109" t="e">
        <f t="shared" ca="1" si="25"/>
        <v>#NAME?</v>
      </c>
      <c r="X109" t="e">
        <f t="shared" ca="1" si="25"/>
        <v>#NAME?</v>
      </c>
      <c r="Z109" s="15">
        <v>1</v>
      </c>
    </row>
    <row r="110" spans="1:26">
      <c r="A110" s="22" t="s">
        <v>195</v>
      </c>
      <c r="B110" s="127" t="s">
        <v>42</v>
      </c>
      <c r="C110" s="128"/>
      <c r="D110" s="128"/>
      <c r="E110" s="128"/>
      <c r="F110" s="128"/>
      <c r="G110" s="128"/>
      <c r="H110" s="129"/>
      <c r="J110" t="e">
        <f t="shared" ca="1" si="26"/>
        <v>#NAME?</v>
      </c>
      <c r="K110" t="e">
        <f t="shared" ca="1" si="24"/>
        <v>#NAME?</v>
      </c>
      <c r="L110" t="e">
        <f t="shared" ca="1" si="24"/>
        <v>#NAME?</v>
      </c>
      <c r="M110" t="e">
        <f t="shared" ca="1" si="24"/>
        <v>#NAME?</v>
      </c>
      <c r="N110" t="e">
        <f t="shared" ca="1" si="24"/>
        <v>#NAME?</v>
      </c>
      <c r="O110" t="e">
        <f t="shared" ca="1" si="24"/>
        <v>#NAME?</v>
      </c>
      <c r="P110" t="e">
        <f t="shared" ca="1" si="24"/>
        <v>#NAME?</v>
      </c>
      <c r="R110" t="e">
        <f t="shared" ca="1" si="27"/>
        <v>#NAME?</v>
      </c>
      <c r="S110" t="e">
        <f t="shared" ca="1" si="25"/>
        <v>#NAME?</v>
      </c>
      <c r="T110" t="e">
        <f t="shared" ca="1" si="25"/>
        <v>#NAME?</v>
      </c>
      <c r="U110" t="e">
        <f t="shared" ca="1" si="25"/>
        <v>#NAME?</v>
      </c>
      <c r="V110" t="e">
        <f t="shared" ca="1" si="25"/>
        <v>#NAME?</v>
      </c>
      <c r="W110" t="e">
        <f t="shared" ca="1" si="25"/>
        <v>#NAME?</v>
      </c>
      <c r="X110" t="e">
        <f t="shared" ca="1" si="25"/>
        <v>#NAME?</v>
      </c>
      <c r="Z110" s="15">
        <v>0.5</v>
      </c>
    </row>
    <row r="111" spans="1:26">
      <c r="A111" s="42" t="s">
        <v>196</v>
      </c>
      <c r="B111" s="25"/>
      <c r="C111" s="25"/>
      <c r="D111" s="25"/>
      <c r="E111" s="101" t="s">
        <v>118</v>
      </c>
      <c r="F111" s="44" t="s">
        <v>186</v>
      </c>
      <c r="G111" s="25"/>
      <c r="H111" s="25"/>
      <c r="J111" t="e">
        <f t="shared" ca="1" si="26"/>
        <v>#NAME?</v>
      </c>
      <c r="K111" t="e">
        <f t="shared" ca="1" si="24"/>
        <v>#NAME?</v>
      </c>
      <c r="L111" t="e">
        <f t="shared" ca="1" si="24"/>
        <v>#NAME?</v>
      </c>
      <c r="M111" t="e">
        <f t="shared" ca="1" si="24"/>
        <v>#NAME?</v>
      </c>
      <c r="N111" t="e">
        <f t="shared" ca="1" si="24"/>
        <v>#NAME?</v>
      </c>
      <c r="O111" t="e">
        <f t="shared" ca="1" si="24"/>
        <v>#NAME?</v>
      </c>
      <c r="P111" t="e">
        <f t="shared" ca="1" si="24"/>
        <v>#NAME?</v>
      </c>
      <c r="R111" t="e">
        <f t="shared" ca="1" si="27"/>
        <v>#NAME?</v>
      </c>
      <c r="S111" t="e">
        <f t="shared" ca="1" si="25"/>
        <v>#NAME?</v>
      </c>
      <c r="T111" t="e">
        <f t="shared" ca="1" si="25"/>
        <v>#NAME?</v>
      </c>
      <c r="U111" t="e">
        <f t="shared" ca="1" si="25"/>
        <v>#NAME?</v>
      </c>
      <c r="V111" t="e">
        <f t="shared" ca="1" si="25"/>
        <v>#NAME?</v>
      </c>
      <c r="W111" t="e">
        <f t="shared" ca="1" si="25"/>
        <v>#NAME?</v>
      </c>
      <c r="X111" t="e">
        <f t="shared" ca="1" si="25"/>
        <v>#NAME?</v>
      </c>
      <c r="Z111" s="15">
        <v>0.5</v>
      </c>
    </row>
    <row r="112" spans="1:26">
      <c r="A112" s="22" t="s">
        <v>197</v>
      </c>
      <c r="B112" s="121" t="s">
        <v>118</v>
      </c>
      <c r="C112" s="25"/>
      <c r="D112" s="101" t="s">
        <v>116</v>
      </c>
      <c r="E112" s="25"/>
      <c r="F112" s="25"/>
      <c r="G112" s="25"/>
      <c r="H112" s="25"/>
      <c r="J112" t="e">
        <f t="shared" ca="1" si="26"/>
        <v>#NAME?</v>
      </c>
      <c r="K112" t="e">
        <f t="shared" ca="1" si="24"/>
        <v>#NAME?</v>
      </c>
      <c r="L112" t="e">
        <f t="shared" ca="1" si="24"/>
        <v>#NAME?</v>
      </c>
      <c r="M112" t="e">
        <f t="shared" ca="1" si="24"/>
        <v>#NAME?</v>
      </c>
      <c r="N112" t="e">
        <f t="shared" ca="1" si="24"/>
        <v>#NAME?</v>
      </c>
      <c r="O112" t="e">
        <f t="shared" ca="1" si="24"/>
        <v>#NAME?</v>
      </c>
      <c r="P112" t="e">
        <f t="shared" ca="1" si="24"/>
        <v>#NAME?</v>
      </c>
      <c r="R112" t="e">
        <f t="shared" ca="1" si="27"/>
        <v>#NAME?</v>
      </c>
      <c r="S112" t="e">
        <f t="shared" ca="1" si="25"/>
        <v>#NAME?</v>
      </c>
      <c r="T112" t="e">
        <f t="shared" ca="1" si="25"/>
        <v>#NAME?</v>
      </c>
      <c r="U112" t="e">
        <f t="shared" ca="1" si="25"/>
        <v>#NAME?</v>
      </c>
      <c r="V112" t="e">
        <f t="shared" ca="1" si="25"/>
        <v>#NAME?</v>
      </c>
      <c r="W112" t="e">
        <f t="shared" ca="1" si="25"/>
        <v>#NAME?</v>
      </c>
      <c r="X112" t="e">
        <f t="shared" ca="1" si="25"/>
        <v>#NAME?</v>
      </c>
      <c r="Z112" s="15">
        <v>0.5</v>
      </c>
    </row>
    <row r="113" spans="1:26">
      <c r="A113" s="22" t="s">
        <v>199</v>
      </c>
      <c r="B113" s="112"/>
      <c r="C113" s="25"/>
      <c r="D113" s="112"/>
      <c r="E113" s="25"/>
      <c r="F113" s="112"/>
      <c r="G113" s="25" t="s">
        <v>152</v>
      </c>
      <c r="H113" s="25" t="s">
        <v>152</v>
      </c>
      <c r="J113" t="e">
        <f t="shared" ca="1" si="26"/>
        <v>#NAME?</v>
      </c>
      <c r="K113" t="e">
        <f t="shared" ca="1" si="24"/>
        <v>#NAME?</v>
      </c>
      <c r="L113" t="e">
        <f t="shared" ca="1" si="24"/>
        <v>#NAME?</v>
      </c>
      <c r="M113" t="e">
        <f t="shared" ca="1" si="24"/>
        <v>#NAME?</v>
      </c>
      <c r="N113" t="e">
        <f t="shared" ca="1" si="24"/>
        <v>#NAME?</v>
      </c>
      <c r="O113" t="e">
        <f t="shared" ca="1" si="24"/>
        <v>#NAME?</v>
      </c>
      <c r="P113" t="e">
        <f t="shared" ca="1" si="24"/>
        <v>#NAME?</v>
      </c>
      <c r="R113" t="e">
        <f t="shared" ca="1" si="27"/>
        <v>#NAME?</v>
      </c>
      <c r="S113" t="e">
        <f t="shared" ca="1" si="25"/>
        <v>#NAME?</v>
      </c>
      <c r="T113" t="e">
        <f t="shared" ca="1" si="25"/>
        <v>#NAME?</v>
      </c>
      <c r="U113" t="e">
        <f t="shared" ca="1" si="25"/>
        <v>#NAME?</v>
      </c>
      <c r="V113" t="e">
        <f t="shared" ca="1" si="25"/>
        <v>#NAME?</v>
      </c>
      <c r="W113" t="e">
        <f t="shared" ca="1" si="25"/>
        <v>#NAME?</v>
      </c>
      <c r="X113" t="e">
        <f t="shared" ca="1" si="25"/>
        <v>#NAME?</v>
      </c>
      <c r="Z113" s="15">
        <v>0.5</v>
      </c>
    </row>
    <row r="114" spans="1:26">
      <c r="A114" s="22" t="s">
        <v>200</v>
      </c>
      <c r="B114" s="120" t="s">
        <v>118</v>
      </c>
      <c r="C114" s="25"/>
      <c r="D114" s="44" t="s">
        <v>189</v>
      </c>
      <c r="E114" s="25"/>
      <c r="F114" s="25"/>
      <c r="G114" s="44" t="s">
        <v>189</v>
      </c>
      <c r="H114" s="110" t="s">
        <v>139</v>
      </c>
      <c r="J114" t="e">
        <f t="shared" ca="1" si="26"/>
        <v>#NAME?</v>
      </c>
      <c r="K114" t="e">
        <f t="shared" ca="1" si="24"/>
        <v>#NAME?</v>
      </c>
      <c r="L114" t="e">
        <f t="shared" ca="1" si="24"/>
        <v>#NAME?</v>
      </c>
      <c r="M114" t="e">
        <f t="shared" ca="1" si="24"/>
        <v>#NAME?</v>
      </c>
      <c r="N114" t="e">
        <f t="shared" ca="1" si="24"/>
        <v>#NAME?</v>
      </c>
      <c r="O114" t="e">
        <f t="shared" ca="1" si="24"/>
        <v>#NAME?</v>
      </c>
      <c r="P114" t="e">
        <f t="shared" ca="1" si="24"/>
        <v>#NAME?</v>
      </c>
      <c r="R114" t="e">
        <f t="shared" ca="1" si="27"/>
        <v>#NAME?</v>
      </c>
      <c r="S114" t="e">
        <f t="shared" ca="1" si="25"/>
        <v>#NAME?</v>
      </c>
      <c r="T114" t="e">
        <f t="shared" ca="1" si="25"/>
        <v>#NAME?</v>
      </c>
      <c r="U114" t="e">
        <f t="shared" ca="1" si="25"/>
        <v>#NAME?</v>
      </c>
      <c r="V114" t="e">
        <f t="shared" ca="1" si="25"/>
        <v>#NAME?</v>
      </c>
      <c r="W114" t="e">
        <f t="shared" ca="1" si="25"/>
        <v>#NAME?</v>
      </c>
      <c r="X114" t="e">
        <f t="shared" ca="1" si="25"/>
        <v>#NAME?</v>
      </c>
      <c r="Z114" s="15">
        <v>1</v>
      </c>
    </row>
    <row r="115" spans="1:26">
      <c r="A115" s="22" t="s">
        <v>201</v>
      </c>
      <c r="B115" s="25"/>
      <c r="C115" s="121" t="s">
        <v>118</v>
      </c>
      <c r="D115" s="101" t="s">
        <v>118</v>
      </c>
      <c r="E115" s="91" t="s">
        <v>118</v>
      </c>
      <c r="F115" s="91" t="s">
        <v>116</v>
      </c>
      <c r="G115" s="25"/>
      <c r="H115" s="25"/>
      <c r="J115" t="e">
        <f t="shared" ca="1" si="26"/>
        <v>#NAME?</v>
      </c>
      <c r="K115" t="e">
        <f t="shared" ca="1" si="24"/>
        <v>#NAME?</v>
      </c>
      <c r="L115" t="e">
        <f t="shared" ca="1" si="24"/>
        <v>#NAME?</v>
      </c>
      <c r="M115" t="e">
        <f t="shared" ca="1" si="24"/>
        <v>#NAME?</v>
      </c>
      <c r="N115" t="e">
        <f t="shared" ca="1" si="24"/>
        <v>#NAME?</v>
      </c>
      <c r="O115" t="e">
        <f t="shared" ca="1" si="24"/>
        <v>#NAME?</v>
      </c>
      <c r="P115" t="e">
        <f t="shared" ca="1" si="24"/>
        <v>#NAME?</v>
      </c>
      <c r="R115" t="e">
        <f t="shared" ca="1" si="27"/>
        <v>#NAME?</v>
      </c>
      <c r="S115" t="e">
        <f t="shared" ca="1" si="25"/>
        <v>#NAME?</v>
      </c>
      <c r="T115" t="e">
        <f t="shared" ca="1" si="25"/>
        <v>#NAME?</v>
      </c>
      <c r="U115" t="e">
        <f t="shared" ca="1" si="25"/>
        <v>#NAME?</v>
      </c>
      <c r="V115" t="e">
        <f t="shared" ca="1" si="25"/>
        <v>#NAME?</v>
      </c>
      <c r="W115" t="e">
        <f t="shared" ca="1" si="25"/>
        <v>#NAME?</v>
      </c>
      <c r="X115" t="e">
        <f t="shared" ca="1" si="25"/>
        <v>#NAME?</v>
      </c>
      <c r="Z115" s="15">
        <v>1</v>
      </c>
    </row>
    <row r="116" spans="1:26">
      <c r="A116" s="22" t="s">
        <v>202</v>
      </c>
      <c r="B116" s="25"/>
      <c r="C116" s="91" t="s">
        <v>118</v>
      </c>
      <c r="D116" s="121" t="s">
        <v>118</v>
      </c>
      <c r="E116" s="91" t="s">
        <v>116</v>
      </c>
      <c r="F116" s="121" t="s">
        <v>116</v>
      </c>
      <c r="G116" s="25"/>
      <c r="H116" s="25"/>
      <c r="J116" t="e">
        <f t="shared" ca="1" si="26"/>
        <v>#NAME?</v>
      </c>
      <c r="K116" t="e">
        <f t="shared" ca="1" si="24"/>
        <v>#NAME?</v>
      </c>
      <c r="L116" t="e">
        <f t="shared" ca="1" si="24"/>
        <v>#NAME?</v>
      </c>
      <c r="M116" t="e">
        <f t="shared" ca="1" si="24"/>
        <v>#NAME?</v>
      </c>
      <c r="N116" t="e">
        <f t="shared" ca="1" si="24"/>
        <v>#NAME?</v>
      </c>
      <c r="O116" t="e">
        <f t="shared" ca="1" si="24"/>
        <v>#NAME?</v>
      </c>
      <c r="P116" t="e">
        <f t="shared" ca="1" si="24"/>
        <v>#NAME?</v>
      </c>
      <c r="R116" t="e">
        <f t="shared" ca="1" si="27"/>
        <v>#NAME?</v>
      </c>
      <c r="S116" t="e">
        <f t="shared" ca="1" si="25"/>
        <v>#NAME?</v>
      </c>
      <c r="T116" t="e">
        <f t="shared" ca="1" si="25"/>
        <v>#NAME?</v>
      </c>
      <c r="U116" t="e">
        <f t="shared" ca="1" si="25"/>
        <v>#NAME?</v>
      </c>
      <c r="V116" t="e">
        <f t="shared" ca="1" si="25"/>
        <v>#NAME?</v>
      </c>
      <c r="W116" t="e">
        <f t="shared" ca="1" si="25"/>
        <v>#NAME?</v>
      </c>
      <c r="X116" t="e">
        <f t="shared" ca="1" si="25"/>
        <v>#NAME?</v>
      </c>
      <c r="Z116" s="15">
        <v>1</v>
      </c>
    </row>
    <row r="117" spans="1:26">
      <c r="A117" s="42" t="s">
        <v>203</v>
      </c>
      <c r="B117" s="25"/>
      <c r="C117" s="121" t="s">
        <v>118</v>
      </c>
      <c r="D117" s="110" t="s">
        <v>142</v>
      </c>
      <c r="E117" s="121" t="s">
        <v>118</v>
      </c>
      <c r="F117" s="28" t="s">
        <v>115</v>
      </c>
      <c r="G117" s="25"/>
      <c r="H117" s="25"/>
      <c r="J117" t="e">
        <f t="shared" ca="1" si="26"/>
        <v>#NAME?</v>
      </c>
      <c r="K117" t="e">
        <f t="shared" ca="1" si="24"/>
        <v>#NAME?</v>
      </c>
      <c r="L117" t="e">
        <f t="shared" ca="1" si="24"/>
        <v>#NAME?</v>
      </c>
      <c r="M117" t="e">
        <f t="shared" ca="1" si="24"/>
        <v>#NAME?</v>
      </c>
      <c r="N117" t="e">
        <f t="shared" ca="1" si="24"/>
        <v>#NAME?</v>
      </c>
      <c r="O117" t="e">
        <f t="shared" ca="1" si="24"/>
        <v>#NAME?</v>
      </c>
      <c r="P117" t="e">
        <f t="shared" ca="1" si="24"/>
        <v>#NAME?</v>
      </c>
      <c r="R117" t="e">
        <f t="shared" ca="1" si="27"/>
        <v>#NAME?</v>
      </c>
      <c r="S117" t="e">
        <f t="shared" ca="1" si="25"/>
        <v>#NAME?</v>
      </c>
      <c r="T117" t="e">
        <f t="shared" ca="1" si="25"/>
        <v>#NAME?</v>
      </c>
      <c r="U117" t="e">
        <f t="shared" ca="1" si="25"/>
        <v>#NAME?</v>
      </c>
      <c r="V117" t="e">
        <f t="shared" ca="1" si="25"/>
        <v>#NAME?</v>
      </c>
      <c r="W117" t="e">
        <f t="shared" ca="1" si="25"/>
        <v>#NAME?</v>
      </c>
      <c r="X117" t="e">
        <f t="shared" ca="1" si="25"/>
        <v>#NAME?</v>
      </c>
      <c r="Z117" s="15">
        <v>1</v>
      </c>
    </row>
    <row r="118" spans="1:26">
      <c r="A118" s="22" t="s">
        <v>204</v>
      </c>
      <c r="B118" s="121" t="s">
        <v>116</v>
      </c>
      <c r="C118" s="121" t="s">
        <v>403</v>
      </c>
      <c r="D118" s="25"/>
      <c r="E118" s="110" t="s">
        <v>142</v>
      </c>
      <c r="F118" s="101" t="s">
        <v>118</v>
      </c>
      <c r="G118" s="25"/>
      <c r="H118" s="25"/>
      <c r="J118" t="e">
        <f t="shared" ca="1" si="26"/>
        <v>#NAME?</v>
      </c>
      <c r="K118" t="e">
        <f t="shared" ca="1" si="24"/>
        <v>#NAME?</v>
      </c>
      <c r="L118" t="e">
        <f t="shared" ca="1" si="24"/>
        <v>#NAME?</v>
      </c>
      <c r="M118" t="e">
        <f t="shared" ca="1" si="24"/>
        <v>#NAME?</v>
      </c>
      <c r="N118" t="e">
        <f t="shared" ca="1" si="24"/>
        <v>#NAME?</v>
      </c>
      <c r="O118" t="e">
        <f t="shared" ca="1" si="24"/>
        <v>#NAME?</v>
      </c>
      <c r="P118" t="e">
        <f t="shared" ca="1" si="24"/>
        <v>#NAME?</v>
      </c>
      <c r="R118" t="e">
        <f t="shared" ca="1" si="27"/>
        <v>#NAME?</v>
      </c>
      <c r="S118" t="e">
        <f t="shared" ca="1" si="25"/>
        <v>#NAME?</v>
      </c>
      <c r="T118" t="e">
        <f t="shared" ca="1" si="25"/>
        <v>#NAME?</v>
      </c>
      <c r="U118" t="e">
        <f t="shared" ca="1" si="25"/>
        <v>#NAME?</v>
      </c>
      <c r="V118" t="e">
        <f t="shared" ca="1" si="25"/>
        <v>#NAME?</v>
      </c>
      <c r="W118" t="e">
        <f t="shared" ca="1" si="25"/>
        <v>#NAME?</v>
      </c>
      <c r="X118" t="e">
        <f t="shared" ca="1" si="25"/>
        <v>#NAME?</v>
      </c>
      <c r="Z118" s="15">
        <v>1</v>
      </c>
    </row>
    <row r="119" spans="1:26">
      <c r="A119" s="22" t="s">
        <v>205</v>
      </c>
      <c r="B119" s="25" t="s">
        <v>152</v>
      </c>
      <c r="C119" s="25" t="s">
        <v>152</v>
      </c>
      <c r="D119" s="25"/>
      <c r="E119" s="25"/>
      <c r="F119" s="25"/>
      <c r="G119" s="121" t="s">
        <v>118</v>
      </c>
      <c r="H119" s="101" t="s">
        <v>118</v>
      </c>
      <c r="J119" t="e">
        <f t="shared" ca="1" si="26"/>
        <v>#NAME?</v>
      </c>
      <c r="K119" t="e">
        <f t="shared" ca="1" si="24"/>
        <v>#NAME?</v>
      </c>
      <c r="L119" t="e">
        <f t="shared" ca="1" si="24"/>
        <v>#NAME?</v>
      </c>
      <c r="M119" t="e">
        <f t="shared" ca="1" si="24"/>
        <v>#NAME?</v>
      </c>
      <c r="N119" t="e">
        <f t="shared" ca="1" si="24"/>
        <v>#NAME?</v>
      </c>
      <c r="O119" t="e">
        <f t="shared" ca="1" si="24"/>
        <v>#NAME?</v>
      </c>
      <c r="P119" t="e">
        <f t="shared" ca="1" si="24"/>
        <v>#NAME?</v>
      </c>
      <c r="R119" t="e">
        <f t="shared" ca="1" si="27"/>
        <v>#NAME?</v>
      </c>
      <c r="S119" t="e">
        <f t="shared" ca="1" si="25"/>
        <v>#NAME?</v>
      </c>
      <c r="T119" t="e">
        <f t="shared" ca="1" si="25"/>
        <v>#NAME?</v>
      </c>
      <c r="U119" t="e">
        <f t="shared" ca="1" si="25"/>
        <v>#NAME?</v>
      </c>
      <c r="V119" t="e">
        <f t="shared" ca="1" si="25"/>
        <v>#NAME?</v>
      </c>
      <c r="W119" t="e">
        <f t="shared" ca="1" si="25"/>
        <v>#NAME?</v>
      </c>
      <c r="X119" t="e">
        <f t="shared" ca="1" si="25"/>
        <v>#NAME?</v>
      </c>
      <c r="Z119" s="15">
        <v>1</v>
      </c>
    </row>
    <row r="120" spans="1:26">
      <c r="A120" s="22" t="s">
        <v>206</v>
      </c>
      <c r="B120" s="25"/>
      <c r="C120" s="25"/>
      <c r="D120" s="91" t="s">
        <v>118</v>
      </c>
      <c r="E120" s="91" t="s">
        <v>118</v>
      </c>
      <c r="F120" s="25"/>
      <c r="G120" s="110" t="s">
        <v>139</v>
      </c>
      <c r="H120" s="121" t="s">
        <v>116</v>
      </c>
      <c r="J120" t="e">
        <f t="shared" ca="1" si="26"/>
        <v>#NAME?</v>
      </c>
      <c r="K120" t="e">
        <f t="shared" ca="1" si="24"/>
        <v>#NAME?</v>
      </c>
      <c r="L120" t="e">
        <f t="shared" ca="1" si="24"/>
        <v>#NAME?</v>
      </c>
      <c r="M120" t="e">
        <f t="shared" ca="1" si="24"/>
        <v>#NAME?</v>
      </c>
      <c r="N120" t="e">
        <f t="shared" ca="1" si="24"/>
        <v>#NAME?</v>
      </c>
      <c r="O120" t="e">
        <f t="shared" ca="1" si="24"/>
        <v>#NAME?</v>
      </c>
      <c r="P120" t="e">
        <f t="shared" ca="1" si="24"/>
        <v>#NAME?</v>
      </c>
      <c r="R120" t="e">
        <f t="shared" ca="1" si="27"/>
        <v>#NAME?</v>
      </c>
      <c r="S120" t="e">
        <f t="shared" ca="1" si="25"/>
        <v>#NAME?</v>
      </c>
      <c r="T120" t="e">
        <f t="shared" ca="1" si="25"/>
        <v>#NAME?</v>
      </c>
      <c r="U120" t="e">
        <f t="shared" ca="1" si="25"/>
        <v>#NAME?</v>
      </c>
      <c r="V120" t="e">
        <f t="shared" ca="1" si="25"/>
        <v>#NAME?</v>
      </c>
      <c r="W120" t="e">
        <f t="shared" ca="1" si="25"/>
        <v>#NAME?</v>
      </c>
      <c r="X120" t="e">
        <f t="shared" ca="1" si="25"/>
        <v>#NAME?</v>
      </c>
      <c r="Z120" s="15">
        <v>1</v>
      </c>
    </row>
    <row r="121" spans="1:26">
      <c r="A121" s="22" t="s">
        <v>207</v>
      </c>
      <c r="B121" s="25"/>
      <c r="C121" s="110" t="s">
        <v>139</v>
      </c>
      <c r="D121" s="28" t="s">
        <v>115</v>
      </c>
      <c r="E121" s="25"/>
      <c r="F121" s="25"/>
      <c r="G121" s="25"/>
      <c r="H121" s="25"/>
      <c r="J121" t="e">
        <f t="shared" ca="1" si="26"/>
        <v>#NAME?</v>
      </c>
      <c r="K121" t="e">
        <f t="shared" ca="1" si="24"/>
        <v>#NAME?</v>
      </c>
      <c r="L121" t="e">
        <f t="shared" ca="1" si="24"/>
        <v>#NAME?</v>
      </c>
      <c r="M121" t="e">
        <f t="shared" ca="1" si="24"/>
        <v>#NAME?</v>
      </c>
      <c r="N121" t="e">
        <f t="shared" ca="1" si="24"/>
        <v>#NAME?</v>
      </c>
      <c r="O121" t="e">
        <f t="shared" ca="1" si="24"/>
        <v>#NAME?</v>
      </c>
      <c r="P121" t="e">
        <f t="shared" ca="1" si="24"/>
        <v>#NAME?</v>
      </c>
      <c r="R121" t="e">
        <f t="shared" ca="1" si="27"/>
        <v>#NAME?</v>
      </c>
      <c r="S121" t="e">
        <f t="shared" ca="1" si="25"/>
        <v>#NAME?</v>
      </c>
      <c r="T121" t="e">
        <f t="shared" ca="1" si="25"/>
        <v>#NAME?</v>
      </c>
      <c r="U121" t="e">
        <f t="shared" ca="1" si="25"/>
        <v>#NAME?</v>
      </c>
      <c r="V121" t="e">
        <f t="shared" ca="1" si="25"/>
        <v>#NAME?</v>
      </c>
      <c r="W121" t="e">
        <f t="shared" ca="1" si="25"/>
        <v>#NAME?</v>
      </c>
      <c r="X121" t="e">
        <f t="shared" ca="1" si="25"/>
        <v>#NAME?</v>
      </c>
      <c r="Z121" s="15">
        <v>0.5</v>
      </c>
    </row>
    <row r="122" spans="1:26">
      <c r="A122" s="22" t="s">
        <v>208</v>
      </c>
      <c r="B122" s="25"/>
      <c r="C122" s="25" t="s">
        <v>152</v>
      </c>
      <c r="D122" s="25" t="s">
        <v>152</v>
      </c>
      <c r="E122" s="112"/>
      <c r="F122" s="112"/>
      <c r="G122" s="25"/>
      <c r="H122" s="25"/>
      <c r="J122" t="e">
        <f t="shared" ca="1" si="26"/>
        <v>#NAME?</v>
      </c>
      <c r="K122" t="e">
        <f t="shared" ca="1" si="24"/>
        <v>#NAME?</v>
      </c>
      <c r="L122" t="e">
        <f t="shared" ca="1" si="24"/>
        <v>#NAME?</v>
      </c>
      <c r="M122" t="e">
        <f t="shared" ca="1" si="24"/>
        <v>#NAME?</v>
      </c>
      <c r="N122" t="e">
        <f t="shared" ca="1" si="24"/>
        <v>#NAME?</v>
      </c>
      <c r="O122" t="e">
        <f t="shared" ca="1" si="24"/>
        <v>#NAME?</v>
      </c>
      <c r="P122" t="e">
        <f t="shared" ca="1" si="24"/>
        <v>#NAME?</v>
      </c>
      <c r="R122" t="e">
        <f t="shared" ca="1" si="27"/>
        <v>#NAME?</v>
      </c>
      <c r="S122" t="e">
        <f t="shared" ca="1" si="25"/>
        <v>#NAME?</v>
      </c>
      <c r="T122" t="e">
        <f t="shared" ca="1" si="25"/>
        <v>#NAME?</v>
      </c>
      <c r="U122" t="e">
        <f t="shared" ca="1" si="25"/>
        <v>#NAME?</v>
      </c>
      <c r="V122" t="e">
        <f t="shared" ca="1" si="25"/>
        <v>#NAME?</v>
      </c>
      <c r="W122" t="e">
        <f t="shared" ca="1" si="25"/>
        <v>#NAME?</v>
      </c>
      <c r="X122" t="e">
        <f t="shared" ca="1" si="25"/>
        <v>#NAME?</v>
      </c>
      <c r="Z122" s="15">
        <v>0.5</v>
      </c>
    </row>
    <row r="123" spans="1:26">
      <c r="A123" s="22" t="s">
        <v>209</v>
      </c>
      <c r="B123" s="28" t="s">
        <v>115</v>
      </c>
      <c r="C123" s="25"/>
      <c r="D123" s="25"/>
      <c r="E123" s="25"/>
      <c r="F123" s="110" t="s">
        <v>142</v>
      </c>
      <c r="G123" s="25"/>
      <c r="H123" s="25"/>
      <c r="J123" t="e">
        <f t="shared" ca="1" si="26"/>
        <v>#NAME?</v>
      </c>
      <c r="K123" t="e">
        <f t="shared" ca="1" si="24"/>
        <v>#NAME?</v>
      </c>
      <c r="L123" t="e">
        <f t="shared" ca="1" si="24"/>
        <v>#NAME?</v>
      </c>
      <c r="M123" t="e">
        <f t="shared" ca="1" si="24"/>
        <v>#NAME?</v>
      </c>
      <c r="N123" t="e">
        <f t="shared" ca="1" si="24"/>
        <v>#NAME?</v>
      </c>
      <c r="O123" t="e">
        <f t="shared" ca="1" si="24"/>
        <v>#NAME?</v>
      </c>
      <c r="P123" t="e">
        <f t="shared" ca="1" si="24"/>
        <v>#NAME?</v>
      </c>
      <c r="R123" t="e">
        <f t="shared" ca="1" si="27"/>
        <v>#NAME?</v>
      </c>
      <c r="S123" t="e">
        <f t="shared" ca="1" si="25"/>
        <v>#NAME?</v>
      </c>
      <c r="T123" t="e">
        <f t="shared" ca="1" si="25"/>
        <v>#NAME?</v>
      </c>
      <c r="U123" t="e">
        <f t="shared" ca="1" si="25"/>
        <v>#NAME?</v>
      </c>
      <c r="V123" t="e">
        <f t="shared" ca="1" si="25"/>
        <v>#NAME?</v>
      </c>
      <c r="W123" t="e">
        <f t="shared" ca="1" si="25"/>
        <v>#NAME?</v>
      </c>
      <c r="X123" t="e">
        <f t="shared" ca="1" si="25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5"/>
      <c r="E124" s="25"/>
      <c r="F124" s="91" t="s">
        <v>118</v>
      </c>
      <c r="G124" s="101" t="s">
        <v>118</v>
      </c>
      <c r="H124" s="25"/>
      <c r="J124" t="e">
        <f t="shared" ca="1" si="26"/>
        <v>#NAME?</v>
      </c>
      <c r="K124" t="e">
        <f t="shared" ca="1" si="24"/>
        <v>#NAME?</v>
      </c>
      <c r="L124" t="e">
        <f t="shared" ca="1" si="24"/>
        <v>#NAME?</v>
      </c>
      <c r="M124" t="e">
        <f t="shared" ca="1" si="24"/>
        <v>#NAME?</v>
      </c>
      <c r="N124" t="e">
        <f t="shared" ca="1" si="24"/>
        <v>#NAME?</v>
      </c>
      <c r="O124" t="e">
        <f t="shared" ca="1" si="24"/>
        <v>#NAME?</v>
      </c>
      <c r="P124" t="e">
        <f t="shared" ca="1" si="24"/>
        <v>#NAME?</v>
      </c>
      <c r="R124" t="e">
        <f t="shared" ca="1" si="27"/>
        <v>#NAME?</v>
      </c>
      <c r="S124" t="e">
        <f t="shared" ca="1" si="25"/>
        <v>#NAME?</v>
      </c>
      <c r="T124" t="e">
        <f t="shared" ca="1" si="25"/>
        <v>#NAME?</v>
      </c>
      <c r="U124" t="e">
        <f t="shared" ca="1" si="25"/>
        <v>#NAME?</v>
      </c>
      <c r="V124" t="e">
        <f t="shared" ca="1" si="25"/>
        <v>#NAME?</v>
      </c>
      <c r="W124" t="e">
        <f t="shared" ca="1" si="25"/>
        <v>#NAME?</v>
      </c>
      <c r="X124" t="e">
        <f t="shared" ca="1" si="25"/>
        <v>#NAME?</v>
      </c>
      <c r="Z124" s="15">
        <v>0.5</v>
      </c>
    </row>
    <row r="125" spans="1:26">
      <c r="A125" s="22" t="s">
        <v>212</v>
      </c>
      <c r="B125" s="25"/>
      <c r="C125" s="91" t="s">
        <v>116</v>
      </c>
      <c r="D125" s="91" t="s">
        <v>116</v>
      </c>
      <c r="E125" s="121" t="s">
        <v>116</v>
      </c>
      <c r="F125" s="91" t="s">
        <v>116</v>
      </c>
      <c r="G125" s="25"/>
      <c r="H125" s="25"/>
      <c r="J125" t="e">
        <f t="shared" ca="1" si="26"/>
        <v>#NAME?</v>
      </c>
      <c r="K125" t="e">
        <f t="shared" ca="1" si="24"/>
        <v>#NAME?</v>
      </c>
      <c r="L125" t="e">
        <f t="shared" ca="1" si="24"/>
        <v>#NAME?</v>
      </c>
      <c r="M125" t="e">
        <f t="shared" ca="1" si="24"/>
        <v>#NAME?</v>
      </c>
      <c r="N125" t="e">
        <f t="shared" ca="1" si="24"/>
        <v>#NAME?</v>
      </c>
      <c r="O125" t="e">
        <f t="shared" ca="1" si="24"/>
        <v>#NAME?</v>
      </c>
      <c r="P125" t="e">
        <f t="shared" ca="1" si="24"/>
        <v>#NAME?</v>
      </c>
      <c r="R125" t="e">
        <f t="shared" ca="1" si="27"/>
        <v>#NAME?</v>
      </c>
      <c r="S125" t="e">
        <f t="shared" ca="1" si="25"/>
        <v>#NAME?</v>
      </c>
      <c r="T125" t="e">
        <f t="shared" ca="1" si="25"/>
        <v>#NAME?</v>
      </c>
      <c r="U125" t="e">
        <f t="shared" ca="1" si="25"/>
        <v>#NAME?</v>
      </c>
      <c r="V125" t="e">
        <f t="shared" ca="1" si="25"/>
        <v>#NAME?</v>
      </c>
      <c r="W125" t="e">
        <f t="shared" ca="1" si="25"/>
        <v>#NAME?</v>
      </c>
      <c r="X125" t="e">
        <f t="shared" ca="1" si="25"/>
        <v>#NAME?</v>
      </c>
      <c r="Z125" s="15">
        <v>1</v>
      </c>
    </row>
    <row r="126" spans="1:26">
      <c r="A126" s="22" t="s">
        <v>213</v>
      </c>
      <c r="B126" s="110" t="s">
        <v>142</v>
      </c>
      <c r="C126" s="28" t="s">
        <v>115</v>
      </c>
      <c r="D126" s="25"/>
      <c r="E126" s="25"/>
      <c r="F126" s="25" t="s">
        <v>152</v>
      </c>
      <c r="G126" s="25" t="s">
        <v>152</v>
      </c>
      <c r="H126" s="25" t="s">
        <v>152</v>
      </c>
      <c r="J126" t="e">
        <f t="shared" ca="1" si="26"/>
        <v>#NAME?</v>
      </c>
      <c r="K126" t="e">
        <f t="shared" ca="1" si="24"/>
        <v>#NAME?</v>
      </c>
      <c r="L126" t="e">
        <f t="shared" ca="1" si="24"/>
        <v>#NAME?</v>
      </c>
      <c r="M126" t="e">
        <f t="shared" ca="1" si="24"/>
        <v>#NAME?</v>
      </c>
      <c r="N126" t="e">
        <f t="shared" ca="1" si="24"/>
        <v>#NAME?</v>
      </c>
      <c r="O126" t="e">
        <f t="shared" ca="1" si="24"/>
        <v>#NAME?</v>
      </c>
      <c r="P126" t="e">
        <f t="shared" ca="1" si="24"/>
        <v>#NAME?</v>
      </c>
      <c r="R126" t="e">
        <f t="shared" ca="1" si="27"/>
        <v>#NAME?</v>
      </c>
      <c r="S126" t="e">
        <f t="shared" ca="1" si="25"/>
        <v>#NAME?</v>
      </c>
      <c r="T126" t="e">
        <f t="shared" ca="1" si="25"/>
        <v>#NAME?</v>
      </c>
      <c r="U126" t="e">
        <f t="shared" ca="1" si="25"/>
        <v>#NAME?</v>
      </c>
      <c r="V126" t="e">
        <f t="shared" ca="1" si="25"/>
        <v>#NAME?</v>
      </c>
      <c r="W126" t="e">
        <f t="shared" ca="1" si="25"/>
        <v>#NAME?</v>
      </c>
      <c r="X126" t="e">
        <f t="shared" ca="1" si="25"/>
        <v>#NAME?</v>
      </c>
      <c r="Z126" s="15">
        <v>1</v>
      </c>
    </row>
    <row r="127" spans="1:26">
      <c r="A127" s="106" t="s">
        <v>383</v>
      </c>
      <c r="B127" s="107" t="str">
        <f t="shared" ref="B127:H127" si="28">B58</f>
        <v>Mon 15 Jun</v>
      </c>
      <c r="C127" s="107" t="str">
        <f t="shared" si="28"/>
        <v>Tues 16 Jun</v>
      </c>
      <c r="D127" s="107" t="str">
        <f t="shared" si="28"/>
        <v>Wed 17 Jun</v>
      </c>
      <c r="E127" s="107" t="str">
        <f t="shared" si="28"/>
        <v>Thu 18 Jun</v>
      </c>
      <c r="F127" s="107" t="str">
        <f t="shared" si="28"/>
        <v>Fri 19 Jun</v>
      </c>
      <c r="G127" s="107" t="str">
        <f t="shared" si="28"/>
        <v>Sat 20 Jun</v>
      </c>
      <c r="H127" s="107" t="str">
        <f t="shared" si="28"/>
        <v>Sun 21 Jun</v>
      </c>
      <c r="J127" t="e">
        <f t="shared" ca="1" si="26"/>
        <v>#NAME?</v>
      </c>
      <c r="K127" t="e">
        <f t="shared" ca="1" si="24"/>
        <v>#NAME?</v>
      </c>
      <c r="L127" t="e">
        <f t="shared" ca="1" si="24"/>
        <v>#NAME?</v>
      </c>
      <c r="M127" t="e">
        <f t="shared" ca="1" si="24"/>
        <v>#NAME?</v>
      </c>
      <c r="N127" t="e">
        <f t="shared" ca="1" si="24"/>
        <v>#NAME?</v>
      </c>
      <c r="O127" t="e">
        <f t="shared" ca="1" si="24"/>
        <v>#NAME?</v>
      </c>
      <c r="P127" t="e">
        <f t="shared" ca="1" si="24"/>
        <v>#NAME?</v>
      </c>
      <c r="R127" t="e">
        <f t="shared" ca="1" si="27"/>
        <v>#NAME?</v>
      </c>
      <c r="S127" t="e">
        <f t="shared" ca="1" si="25"/>
        <v>#NAME?</v>
      </c>
      <c r="T127" t="e">
        <f t="shared" ca="1" si="25"/>
        <v>#NAME?</v>
      </c>
      <c r="U127" t="e">
        <f t="shared" ca="1" si="25"/>
        <v>#NAME?</v>
      </c>
      <c r="V127" t="e">
        <f t="shared" ca="1" si="25"/>
        <v>#NAME?</v>
      </c>
      <c r="W127" t="e">
        <f t="shared" ca="1" si="25"/>
        <v>#NAME?</v>
      </c>
      <c r="X127" t="e">
        <f t="shared" ca="1" si="25"/>
        <v>#NAME?</v>
      </c>
      <c r="Z127" s="53"/>
    </row>
    <row r="128" spans="1:26">
      <c r="A128" s="22" t="s">
        <v>358</v>
      </c>
      <c r="B128" s="127" t="s">
        <v>18</v>
      </c>
      <c r="C128" s="128"/>
      <c r="D128" s="128"/>
      <c r="E128" s="128"/>
      <c r="F128" s="128"/>
      <c r="G128" s="128"/>
      <c r="H128" s="129"/>
      <c r="J128" t="e">
        <f t="shared" ca="1" si="26"/>
        <v>#NAME?</v>
      </c>
      <c r="K128" t="e">
        <f t="shared" ca="1" si="24"/>
        <v>#NAME?</v>
      </c>
      <c r="L128" t="e">
        <f t="shared" ca="1" si="24"/>
        <v>#NAME?</v>
      </c>
      <c r="M128" t="e">
        <f t="shared" ca="1" si="24"/>
        <v>#NAME?</v>
      </c>
      <c r="N128" t="e">
        <f t="shared" ca="1" si="24"/>
        <v>#NAME?</v>
      </c>
      <c r="O128" t="e">
        <f t="shared" ca="1" si="24"/>
        <v>#NAME?</v>
      </c>
      <c r="P128" t="e">
        <f t="shared" ca="1" si="24"/>
        <v>#NAME?</v>
      </c>
      <c r="R128" t="e">
        <f t="shared" ca="1" si="27"/>
        <v>#NAME?</v>
      </c>
      <c r="S128" t="e">
        <f t="shared" ca="1" si="25"/>
        <v>#NAME?</v>
      </c>
      <c r="T128" t="e">
        <f t="shared" ca="1" si="25"/>
        <v>#NAME?</v>
      </c>
      <c r="U128" t="e">
        <f t="shared" ca="1" si="25"/>
        <v>#NAME?</v>
      </c>
      <c r="V128" t="e">
        <f t="shared" ca="1" si="25"/>
        <v>#NAME?</v>
      </c>
      <c r="W128" t="e">
        <f t="shared" ca="1" si="25"/>
        <v>#NAME?</v>
      </c>
      <c r="X128" t="e">
        <f t="shared" ca="1" si="25"/>
        <v>#NAME?</v>
      </c>
      <c r="Z128" s="15">
        <v>1</v>
      </c>
    </row>
    <row r="129" spans="1:34">
      <c r="A129" s="22" t="s">
        <v>359</v>
      </c>
      <c r="B129" s="25"/>
      <c r="C129" s="25"/>
      <c r="D129" s="110" t="s">
        <v>139</v>
      </c>
      <c r="E129" s="44" t="s">
        <v>189</v>
      </c>
      <c r="F129" s="25"/>
      <c r="G129" s="101" t="s">
        <v>116</v>
      </c>
      <c r="H129" s="91" t="s">
        <v>116</v>
      </c>
      <c r="J129" t="e">
        <f t="shared" ca="1" si="26"/>
        <v>#NAME?</v>
      </c>
      <c r="K129" t="e">
        <f t="shared" ca="1" si="24"/>
        <v>#NAME?</v>
      </c>
      <c r="L129" t="e">
        <f t="shared" ca="1" si="24"/>
        <v>#NAME?</v>
      </c>
      <c r="M129" t="e">
        <f t="shared" ca="1" si="24"/>
        <v>#NAME?</v>
      </c>
      <c r="N129" t="e">
        <f t="shared" ca="1" si="24"/>
        <v>#NAME?</v>
      </c>
      <c r="O129" t="e">
        <f t="shared" ca="1" si="24"/>
        <v>#NAME?</v>
      </c>
      <c r="P129" t="e">
        <f t="shared" ca="1" si="24"/>
        <v>#NAME?</v>
      </c>
      <c r="R129" t="e">
        <f t="shared" ca="1" si="27"/>
        <v>#NAME?</v>
      </c>
      <c r="S129" t="e">
        <f t="shared" ca="1" si="25"/>
        <v>#NAME?</v>
      </c>
      <c r="T129" t="e">
        <f t="shared" ca="1" si="25"/>
        <v>#NAME?</v>
      </c>
      <c r="U129" t="e">
        <f t="shared" ca="1" si="25"/>
        <v>#NAME?</v>
      </c>
      <c r="V129" t="e">
        <f t="shared" ca="1" si="25"/>
        <v>#NAME?</v>
      </c>
      <c r="W129" t="e">
        <f t="shared" ca="1" si="25"/>
        <v>#NAME?</v>
      </c>
      <c r="X129" t="e">
        <f t="shared" ca="1" si="25"/>
        <v>#NAME?</v>
      </c>
      <c r="Z129" s="15">
        <v>1</v>
      </c>
    </row>
    <row r="130" spans="1:34">
      <c r="A130" s="22" t="s">
        <v>360</v>
      </c>
      <c r="B130" s="25"/>
      <c r="C130" s="101" t="s">
        <v>118</v>
      </c>
      <c r="D130" s="91" t="s">
        <v>118</v>
      </c>
      <c r="E130" s="28" t="s">
        <v>115</v>
      </c>
      <c r="F130" s="44" t="s">
        <v>189</v>
      </c>
      <c r="G130" s="25"/>
      <c r="H130" s="25"/>
      <c r="J130" t="e">
        <f t="shared" ca="1" si="26"/>
        <v>#NAME?</v>
      </c>
      <c r="K130" t="e">
        <f t="shared" ca="1" si="24"/>
        <v>#NAME?</v>
      </c>
      <c r="L130" t="e">
        <f t="shared" ca="1" si="24"/>
        <v>#NAME?</v>
      </c>
      <c r="M130" t="e">
        <f t="shared" ca="1" si="24"/>
        <v>#NAME?</v>
      </c>
      <c r="N130" t="e">
        <f t="shared" ca="1" si="24"/>
        <v>#NAME?</v>
      </c>
      <c r="O130" t="e">
        <f t="shared" ca="1" si="24"/>
        <v>#NAME?</v>
      </c>
      <c r="P130" t="e">
        <f t="shared" ca="1" si="24"/>
        <v>#NAME?</v>
      </c>
      <c r="R130" t="e">
        <f t="shared" ca="1" si="27"/>
        <v>#NAME?</v>
      </c>
      <c r="S130" t="e">
        <f t="shared" ca="1" si="25"/>
        <v>#NAME?</v>
      </c>
      <c r="T130" t="e">
        <f t="shared" ca="1" si="25"/>
        <v>#NAME?</v>
      </c>
      <c r="U130" t="e">
        <f t="shared" ca="1" si="25"/>
        <v>#NAME?</v>
      </c>
      <c r="V130" t="e">
        <f t="shared" ca="1" si="25"/>
        <v>#NAME?</v>
      </c>
      <c r="W130" t="e">
        <f t="shared" ca="1" si="25"/>
        <v>#NAME?</v>
      </c>
      <c r="X130" t="e">
        <f t="shared" ca="1" si="25"/>
        <v>#NAME?</v>
      </c>
      <c r="Z130" s="15">
        <v>1</v>
      </c>
    </row>
    <row r="131" spans="1:34">
      <c r="A131" s="22" t="s">
        <v>361</v>
      </c>
      <c r="B131" s="25"/>
      <c r="C131" s="109" t="s">
        <v>404</v>
      </c>
      <c r="D131" s="90" t="s">
        <v>118</v>
      </c>
      <c r="E131" s="44" t="s">
        <v>186</v>
      </c>
      <c r="F131" s="91" t="s">
        <v>118</v>
      </c>
      <c r="G131" s="25"/>
      <c r="H131" s="25"/>
      <c r="J131" t="e">
        <f t="shared" ca="1" si="26"/>
        <v>#NAME?</v>
      </c>
      <c r="K131" t="e">
        <f t="shared" ca="1" si="24"/>
        <v>#NAME?</v>
      </c>
      <c r="L131" t="e">
        <f t="shared" ca="1" si="24"/>
        <v>#NAME?</v>
      </c>
      <c r="M131" t="e">
        <f t="shared" ca="1" si="24"/>
        <v>#NAME?</v>
      </c>
      <c r="N131" t="e">
        <f t="shared" ca="1" si="24"/>
        <v>#NAME?</v>
      </c>
      <c r="O131" t="e">
        <f t="shared" ca="1" si="24"/>
        <v>#NAME?</v>
      </c>
      <c r="P131" t="e">
        <f t="shared" ca="1" si="24"/>
        <v>#NAME?</v>
      </c>
      <c r="R131" t="e">
        <f t="shared" ca="1" si="27"/>
        <v>#NAME?</v>
      </c>
      <c r="S131" t="e">
        <f t="shared" ca="1" si="25"/>
        <v>#NAME?</v>
      </c>
      <c r="T131" t="e">
        <f t="shared" ca="1" si="25"/>
        <v>#NAME?</v>
      </c>
      <c r="U131" t="e">
        <f t="shared" ca="1" si="25"/>
        <v>#NAME?</v>
      </c>
      <c r="V131" t="e">
        <f t="shared" ca="1" si="25"/>
        <v>#NAME?</v>
      </c>
      <c r="W131" t="e">
        <f t="shared" ca="1" si="25"/>
        <v>#NAME?</v>
      </c>
      <c r="X131" t="e">
        <f t="shared" ca="1" si="25"/>
        <v>#NAME?</v>
      </c>
      <c r="Z131" s="15">
        <v>1</v>
      </c>
    </row>
    <row r="132" spans="1:34">
      <c r="A132" s="22" t="s">
        <v>362</v>
      </c>
      <c r="B132" s="25" t="s">
        <v>152</v>
      </c>
      <c r="C132" s="25" t="s">
        <v>152</v>
      </c>
      <c r="D132" s="25"/>
      <c r="E132" s="25"/>
      <c r="F132" s="25"/>
      <c r="G132" s="44" t="s">
        <v>186</v>
      </c>
      <c r="H132" s="110" t="s">
        <v>142</v>
      </c>
      <c r="J132" t="e">
        <f t="shared" ca="1" si="26"/>
        <v>#NAME?</v>
      </c>
      <c r="K132" t="e">
        <f t="shared" ca="1" si="24"/>
        <v>#NAME?</v>
      </c>
      <c r="L132" t="e">
        <f t="shared" ca="1" si="24"/>
        <v>#NAME?</v>
      </c>
      <c r="M132" t="e">
        <f t="shared" ca="1" si="24"/>
        <v>#NAME?</v>
      </c>
      <c r="N132" t="e">
        <f t="shared" ca="1" si="24"/>
        <v>#NAME?</v>
      </c>
      <c r="O132" t="e">
        <f t="shared" ca="1" si="24"/>
        <v>#NAME?</v>
      </c>
      <c r="P132" t="e">
        <f t="shared" ca="1" si="24"/>
        <v>#NAME?</v>
      </c>
      <c r="R132" t="e">
        <f t="shared" ca="1" si="27"/>
        <v>#NAME?</v>
      </c>
      <c r="S132" t="e">
        <f t="shared" ca="1" si="25"/>
        <v>#NAME?</v>
      </c>
      <c r="T132" t="e">
        <f t="shared" ca="1" si="25"/>
        <v>#NAME?</v>
      </c>
      <c r="U132" t="e">
        <f t="shared" ca="1" si="25"/>
        <v>#NAME?</v>
      </c>
      <c r="V132" t="e">
        <f t="shared" ca="1" si="25"/>
        <v>#NAME?</v>
      </c>
      <c r="W132" t="e">
        <f t="shared" ca="1" si="25"/>
        <v>#NAME?</v>
      </c>
      <c r="X132" t="e">
        <f t="shared" ca="1" si="25"/>
        <v>#NAME?</v>
      </c>
      <c r="Z132" s="15">
        <v>1</v>
      </c>
    </row>
    <row r="133" spans="1:34">
      <c r="A133" s="22" t="s">
        <v>363</v>
      </c>
      <c r="B133" s="44" t="s">
        <v>189</v>
      </c>
      <c r="C133" s="25"/>
      <c r="D133" s="25" t="s">
        <v>152</v>
      </c>
      <c r="E133" s="25" t="s">
        <v>152</v>
      </c>
      <c r="F133" s="25" t="s">
        <v>152</v>
      </c>
      <c r="G133" s="25" t="s">
        <v>152</v>
      </c>
      <c r="H133" s="25"/>
      <c r="J133" t="e">
        <f t="shared" ca="1" si="26"/>
        <v>#NAME?</v>
      </c>
      <c r="K133" t="e">
        <f t="shared" ca="1" si="24"/>
        <v>#NAME?</v>
      </c>
      <c r="L133" t="e">
        <f t="shared" ca="1" si="24"/>
        <v>#NAME?</v>
      </c>
      <c r="M133" t="e">
        <f t="shared" ca="1" si="24"/>
        <v>#NAME?</v>
      </c>
      <c r="N133" t="e">
        <f t="shared" ca="1" si="24"/>
        <v>#NAME?</v>
      </c>
      <c r="O133" t="e">
        <f t="shared" ca="1" si="24"/>
        <v>#NAME?</v>
      </c>
      <c r="P133" t="e">
        <f t="shared" ca="1" si="24"/>
        <v>#NAME?</v>
      </c>
      <c r="R133" t="e">
        <f t="shared" ca="1" si="27"/>
        <v>#NAME?</v>
      </c>
      <c r="S133" t="e">
        <f t="shared" ca="1" si="25"/>
        <v>#NAME?</v>
      </c>
      <c r="T133" t="e">
        <f t="shared" ca="1" si="25"/>
        <v>#NAME?</v>
      </c>
      <c r="U133" t="e">
        <f t="shared" ca="1" si="25"/>
        <v>#NAME?</v>
      </c>
      <c r="V133" t="e">
        <f t="shared" ca="1" si="25"/>
        <v>#NAME?</v>
      </c>
      <c r="W133" t="e">
        <f t="shared" ca="1" si="25"/>
        <v>#NAME?</v>
      </c>
      <c r="X133" t="e">
        <f t="shared" ca="1" si="25"/>
        <v>#NAME?</v>
      </c>
      <c r="Z133" s="15">
        <v>1</v>
      </c>
    </row>
    <row r="134" spans="1:34">
      <c r="A134" s="22" t="s">
        <v>364</v>
      </c>
      <c r="B134" s="101" t="s">
        <v>118</v>
      </c>
      <c r="C134" s="91" t="s">
        <v>116</v>
      </c>
      <c r="D134" s="25"/>
      <c r="E134" s="91" t="s">
        <v>118</v>
      </c>
      <c r="F134" s="90" t="s">
        <v>118</v>
      </c>
      <c r="G134" s="25"/>
      <c r="H134" s="25" t="s">
        <v>152</v>
      </c>
      <c r="J134" t="e">
        <f t="shared" ca="1" si="26"/>
        <v>#NAME?</v>
      </c>
      <c r="K134" t="e">
        <f t="shared" ca="1" si="24"/>
        <v>#NAME?</v>
      </c>
      <c r="L134" t="e">
        <f t="shared" ca="1" si="24"/>
        <v>#NAME?</v>
      </c>
      <c r="M134" t="e">
        <f t="shared" ca="1" si="24"/>
        <v>#NAME?</v>
      </c>
      <c r="N134" t="e">
        <f t="shared" ca="1" si="24"/>
        <v>#NAME?</v>
      </c>
      <c r="O134" t="e">
        <f t="shared" ca="1" si="24"/>
        <v>#NAME?</v>
      </c>
      <c r="P134" t="e">
        <f t="shared" ca="1" si="24"/>
        <v>#NAME?</v>
      </c>
      <c r="R134" t="e">
        <f t="shared" ca="1" si="27"/>
        <v>#NAME?</v>
      </c>
      <c r="S134" t="e">
        <f t="shared" ca="1" si="25"/>
        <v>#NAME?</v>
      </c>
      <c r="T134" t="e">
        <f t="shared" ca="1" si="25"/>
        <v>#NAME?</v>
      </c>
      <c r="U134" t="e">
        <f t="shared" ca="1" si="25"/>
        <v>#NAME?</v>
      </c>
      <c r="V134" t="e">
        <f t="shared" ca="1" si="25"/>
        <v>#NAME?</v>
      </c>
      <c r="W134" t="e">
        <f t="shared" ca="1" si="25"/>
        <v>#NAME?</v>
      </c>
      <c r="X134" t="e">
        <f t="shared" ca="1" si="25"/>
        <v>#NAME?</v>
      </c>
      <c r="Z134" s="15">
        <v>1</v>
      </c>
    </row>
    <row r="135" spans="1:34">
      <c r="A135" s="22" t="s">
        <v>365</v>
      </c>
      <c r="B135" s="100" t="s">
        <v>181</v>
      </c>
      <c r="C135" s="91" t="s">
        <v>118</v>
      </c>
      <c r="D135" s="25"/>
      <c r="E135" s="101" t="s">
        <v>116</v>
      </c>
      <c r="F135" s="110" t="s">
        <v>139</v>
      </c>
      <c r="G135" s="25"/>
      <c r="H135" s="25"/>
      <c r="J135" t="e">
        <f t="shared" ca="1" si="26"/>
        <v>#NAME?</v>
      </c>
      <c r="K135" t="e">
        <f t="shared" ca="1" si="24"/>
        <v>#NAME?</v>
      </c>
      <c r="L135" t="e">
        <f t="shared" ca="1" si="24"/>
        <v>#NAME?</v>
      </c>
      <c r="M135" t="e">
        <f t="shared" ca="1" si="24"/>
        <v>#NAME?</v>
      </c>
      <c r="N135" t="e">
        <f t="shared" ca="1" si="24"/>
        <v>#NAME?</v>
      </c>
      <c r="O135" t="e">
        <f t="shared" ca="1" si="24"/>
        <v>#NAME?</v>
      </c>
      <c r="P135" t="e">
        <f t="shared" ca="1" si="24"/>
        <v>#NAME?</v>
      </c>
      <c r="R135" t="e">
        <f t="shared" ca="1" si="27"/>
        <v>#NAME?</v>
      </c>
      <c r="S135" t="e">
        <f t="shared" ca="1" si="25"/>
        <v>#NAME?</v>
      </c>
      <c r="T135" t="e">
        <f t="shared" ca="1" si="25"/>
        <v>#NAME?</v>
      </c>
      <c r="U135" t="e">
        <f t="shared" ca="1" si="25"/>
        <v>#NAME?</v>
      </c>
      <c r="V135" t="e">
        <f t="shared" ca="1" si="25"/>
        <v>#NAME?</v>
      </c>
      <c r="W135" t="e">
        <f t="shared" ca="1" si="25"/>
        <v>#NAME?</v>
      </c>
      <c r="X135" t="e">
        <f t="shared" ca="1" si="25"/>
        <v>#NAME?</v>
      </c>
      <c r="Z135" s="15">
        <v>1</v>
      </c>
    </row>
    <row r="136" spans="1:34">
      <c r="A136" s="106" t="s">
        <v>223</v>
      </c>
      <c r="B136" s="107" t="str">
        <f t="shared" ref="B136:H136" si="29">B101</f>
        <v>Mon 15 Jun</v>
      </c>
      <c r="C136" s="107" t="str">
        <f t="shared" si="29"/>
        <v>Tues 16 Jun</v>
      </c>
      <c r="D136" s="107" t="str">
        <f t="shared" si="29"/>
        <v>Wed 17 Jun</v>
      </c>
      <c r="E136" s="107" t="str">
        <f t="shared" si="29"/>
        <v>Thu 18 Jun</v>
      </c>
      <c r="F136" s="107" t="str">
        <f t="shared" si="29"/>
        <v>Fri 19 Jun</v>
      </c>
      <c r="G136" s="107" t="str">
        <f t="shared" si="29"/>
        <v>Sat 20 Jun</v>
      </c>
      <c r="H136" s="107" t="str">
        <f t="shared" si="29"/>
        <v>Sun 21 Jun</v>
      </c>
      <c r="J136" t="e">
        <f t="shared" ca="1" si="26"/>
        <v>#NAME?</v>
      </c>
      <c r="K136" t="e">
        <f t="shared" ca="1" si="24"/>
        <v>#NAME?</v>
      </c>
      <c r="L136" t="e">
        <f t="shared" ca="1" si="24"/>
        <v>#NAME?</v>
      </c>
      <c r="M136" t="e">
        <f t="shared" ca="1" si="24"/>
        <v>#NAME?</v>
      </c>
      <c r="N136" t="e">
        <f t="shared" ca="1" si="24"/>
        <v>#NAME?</v>
      </c>
      <c r="O136" t="e">
        <f t="shared" ca="1" si="24"/>
        <v>#NAME?</v>
      </c>
      <c r="P136" t="e">
        <f t="shared" ca="1" si="24"/>
        <v>#NAME?</v>
      </c>
      <c r="R136" t="e">
        <f t="shared" ca="1" si="27"/>
        <v>#NAME?</v>
      </c>
      <c r="S136" t="e">
        <f t="shared" ca="1" si="25"/>
        <v>#NAME?</v>
      </c>
      <c r="T136" t="e">
        <f t="shared" ca="1" si="25"/>
        <v>#NAME?</v>
      </c>
      <c r="U136" t="e">
        <f t="shared" ca="1" si="25"/>
        <v>#NAME?</v>
      </c>
      <c r="V136" t="e">
        <f t="shared" ca="1" si="25"/>
        <v>#NAME?</v>
      </c>
      <c r="W136" t="e">
        <f t="shared" ca="1" si="25"/>
        <v>#NAME?</v>
      </c>
      <c r="X136" t="e">
        <f t="shared" ca="1" si="25"/>
        <v>#NAME?</v>
      </c>
      <c r="Z136" s="53">
        <f>SUM(Z128:Z135)</f>
        <v>8</v>
      </c>
      <c r="AA136" s="55"/>
      <c r="AB136" s="55"/>
      <c r="AC136" s="55"/>
    </row>
    <row r="137" spans="1:34">
      <c r="A137" s="114" t="s">
        <v>405</v>
      </c>
      <c r="B137" s="120" t="s">
        <v>118</v>
      </c>
      <c r="C137" s="101" t="s">
        <v>116</v>
      </c>
      <c r="D137" s="25" t="s">
        <v>152</v>
      </c>
      <c r="E137" s="25" t="s">
        <v>152</v>
      </c>
      <c r="F137" s="25"/>
      <c r="G137" s="25"/>
      <c r="H137" s="25"/>
      <c r="J137" t="e">
        <f t="shared" ca="1" si="26"/>
        <v>#NAME?</v>
      </c>
      <c r="K137" t="e">
        <f t="shared" ca="1" si="24"/>
        <v>#NAME?</v>
      </c>
      <c r="L137" t="e">
        <f t="shared" ca="1" si="24"/>
        <v>#NAME?</v>
      </c>
      <c r="M137" t="e">
        <f t="shared" ca="1" si="24"/>
        <v>#NAME?</v>
      </c>
      <c r="N137" t="e">
        <f t="shared" ref="N137:P140" ca="1" si="30">colorindex(F137)</f>
        <v>#NAME?</v>
      </c>
      <c r="O137" t="e">
        <f t="shared" ca="1" si="30"/>
        <v>#NAME?</v>
      </c>
      <c r="P137" t="e">
        <f t="shared" ca="1" si="30"/>
        <v>#NAME?</v>
      </c>
      <c r="R137" t="e">
        <f t="shared" ca="1" si="27"/>
        <v>#NAME?</v>
      </c>
      <c r="S137" t="e">
        <f t="shared" ca="1" si="25"/>
        <v>#NAME?</v>
      </c>
      <c r="T137" t="e">
        <f t="shared" ca="1" si="25"/>
        <v>#NAME?</v>
      </c>
      <c r="U137" t="e">
        <f t="shared" ca="1" si="25"/>
        <v>#NAME?</v>
      </c>
      <c r="V137" t="e">
        <f t="shared" ref="V137:X140" ca="1" si="31">ShiftIndex(F137)</f>
        <v>#NAME?</v>
      </c>
      <c r="W137" t="e">
        <f t="shared" ca="1" si="31"/>
        <v>#NAME?</v>
      </c>
      <c r="X137" t="e">
        <f t="shared" ca="1" si="31"/>
        <v>#NAME?</v>
      </c>
      <c r="AA137" s="56"/>
      <c r="AB137" s="55"/>
      <c r="AC137" s="56"/>
    </row>
    <row r="138" spans="1:34">
      <c r="A138" s="21" t="s">
        <v>406</v>
      </c>
      <c r="B138" s="90" t="s">
        <v>116</v>
      </c>
      <c r="C138" s="25"/>
      <c r="D138" s="25"/>
      <c r="E138" s="25"/>
      <c r="F138" s="91" t="s">
        <v>118</v>
      </c>
      <c r="G138" s="91" t="s">
        <v>118</v>
      </c>
      <c r="H138" s="44" t="s">
        <v>186</v>
      </c>
      <c r="J138" t="e">
        <f t="shared" ca="1" si="26"/>
        <v>#NAME?</v>
      </c>
      <c r="K138" t="e">
        <f t="shared" ca="1" si="26"/>
        <v>#NAME?</v>
      </c>
      <c r="L138" t="e">
        <f t="shared" ca="1" si="26"/>
        <v>#NAME?</v>
      </c>
      <c r="M138" t="e">
        <f t="shared" ca="1" si="26"/>
        <v>#NAME?</v>
      </c>
      <c r="N138" t="e">
        <f t="shared" ca="1" si="30"/>
        <v>#NAME?</v>
      </c>
      <c r="O138" t="e">
        <f t="shared" ca="1" si="30"/>
        <v>#NAME?</v>
      </c>
      <c r="P138" t="e">
        <f t="shared" ca="1" si="30"/>
        <v>#NAME?</v>
      </c>
      <c r="R138" t="e">
        <f t="shared" ca="1" si="27"/>
        <v>#NAME?</v>
      </c>
      <c r="S138" t="e">
        <f t="shared" ca="1" si="27"/>
        <v>#NAME?</v>
      </c>
      <c r="T138" t="e">
        <f t="shared" ca="1" si="27"/>
        <v>#NAME?</v>
      </c>
      <c r="U138" t="e">
        <f t="shared" ca="1" si="27"/>
        <v>#NAME?</v>
      </c>
      <c r="V138" t="e">
        <f t="shared" ca="1" si="31"/>
        <v>#NAME?</v>
      </c>
      <c r="W138" t="e">
        <f t="shared" ca="1" si="31"/>
        <v>#NAME?</v>
      </c>
      <c r="X138" t="e">
        <f t="shared" ca="1" si="31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2">B136</f>
        <v>Mon 15 Jun</v>
      </c>
      <c r="C139" s="107" t="str">
        <f t="shared" si="32"/>
        <v>Tues 16 Jun</v>
      </c>
      <c r="D139" s="107" t="str">
        <f t="shared" si="32"/>
        <v>Wed 17 Jun</v>
      </c>
      <c r="E139" s="107" t="str">
        <f t="shared" si="32"/>
        <v>Thu 18 Jun</v>
      </c>
      <c r="F139" s="107" t="str">
        <f t="shared" si="32"/>
        <v>Fri 19 Jun</v>
      </c>
      <c r="G139" s="107" t="str">
        <f t="shared" si="32"/>
        <v>Sat 20 Jun</v>
      </c>
      <c r="H139" s="107" t="str">
        <f t="shared" si="32"/>
        <v>Sun 21 Jun</v>
      </c>
      <c r="J139" t="e">
        <f t="shared" ca="1" si="26"/>
        <v>#NAME?</v>
      </c>
      <c r="K139" t="e">
        <f t="shared" ca="1" si="26"/>
        <v>#NAME?</v>
      </c>
      <c r="L139" t="e">
        <f t="shared" ca="1" si="26"/>
        <v>#NAME?</v>
      </c>
      <c r="M139" t="e">
        <f t="shared" ca="1" si="26"/>
        <v>#NAME?</v>
      </c>
      <c r="N139" t="e">
        <f t="shared" ca="1" si="30"/>
        <v>#NAME?</v>
      </c>
      <c r="O139" t="e">
        <f t="shared" ca="1" si="30"/>
        <v>#NAME?</v>
      </c>
      <c r="P139" t="e">
        <f t="shared" ca="1" si="30"/>
        <v>#NAME?</v>
      </c>
      <c r="Q139"/>
      <c r="R139" t="e">
        <f t="shared" ca="1" si="27"/>
        <v>#NAME?</v>
      </c>
      <c r="S139" t="e">
        <f t="shared" ca="1" si="27"/>
        <v>#NAME?</v>
      </c>
      <c r="T139" t="e">
        <f t="shared" ca="1" si="27"/>
        <v>#NAME?</v>
      </c>
      <c r="U139" t="e">
        <f t="shared" ca="1" si="27"/>
        <v>#NAME?</v>
      </c>
      <c r="V139" t="e">
        <f t="shared" ca="1" si="31"/>
        <v>#NAME?</v>
      </c>
      <c r="W139" t="e">
        <f t="shared" ca="1" si="31"/>
        <v>#NAME?</v>
      </c>
      <c r="X139" t="e">
        <f t="shared" ca="1" si="31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6"/>
        <v>#NAME?</v>
      </c>
      <c r="K140" t="e">
        <f t="shared" ca="1" si="26"/>
        <v>#NAME?</v>
      </c>
      <c r="L140" t="e">
        <f t="shared" ca="1" si="26"/>
        <v>#NAME?</v>
      </c>
      <c r="M140" t="e">
        <f t="shared" ca="1" si="26"/>
        <v>#NAME?</v>
      </c>
      <c r="N140" t="e">
        <f t="shared" ca="1" si="30"/>
        <v>#NAME?</v>
      </c>
      <c r="O140" t="e">
        <f t="shared" ca="1" si="30"/>
        <v>#NAME?</v>
      </c>
      <c r="P140" t="e">
        <f t="shared" ca="1" si="30"/>
        <v>#NAME?</v>
      </c>
      <c r="Q140"/>
      <c r="R140" t="e">
        <f t="shared" ca="1" si="27"/>
        <v>#NAME?</v>
      </c>
      <c r="S140" t="e">
        <f t="shared" ca="1" si="27"/>
        <v>#NAME?</v>
      </c>
      <c r="T140" t="e">
        <f t="shared" ca="1" si="27"/>
        <v>#NAME?</v>
      </c>
      <c r="U140" t="e">
        <f t="shared" ca="1" si="27"/>
        <v>#NAME?</v>
      </c>
      <c r="V140" t="e">
        <f t="shared" ca="1" si="31"/>
        <v>#NAME?</v>
      </c>
      <c r="W140" t="e">
        <f t="shared" ca="1" si="31"/>
        <v>#NAME?</v>
      </c>
      <c r="X140" t="e">
        <f t="shared" ca="1" si="31"/>
        <v>#NAME?</v>
      </c>
      <c r="Z140" s="12"/>
      <c r="AA140"/>
    </row>
    <row r="141" spans="1:34">
      <c r="A141" s="106" t="s">
        <v>242</v>
      </c>
      <c r="B141" s="107" t="str">
        <f t="shared" ref="B141:H141" si="33">B58</f>
        <v>Mon 15 Jun</v>
      </c>
      <c r="C141" s="107" t="str">
        <f t="shared" si="33"/>
        <v>Tues 16 Jun</v>
      </c>
      <c r="D141" s="107" t="str">
        <f t="shared" si="33"/>
        <v>Wed 17 Jun</v>
      </c>
      <c r="E141" s="107" t="str">
        <f t="shared" si="33"/>
        <v>Thu 18 Jun</v>
      </c>
      <c r="F141" s="107" t="str">
        <f t="shared" si="33"/>
        <v>Fri 19 Jun</v>
      </c>
      <c r="G141" s="107" t="str">
        <f t="shared" si="33"/>
        <v>Sat 20 Jun</v>
      </c>
      <c r="H141" s="107" t="str">
        <f t="shared" si="33"/>
        <v>Sun 21 Jun</v>
      </c>
    </row>
    <row r="142" spans="1:34">
      <c r="A142" s="27" t="s">
        <v>243</v>
      </c>
      <c r="B142" s="17">
        <f t="shared" ref="B142:H142" ca="1" si="34">COUNTIFS(J:J,"Red",R:R,"AM")</f>
        <v>0</v>
      </c>
      <c r="C142" s="17">
        <f t="shared" ca="1" si="34"/>
        <v>0</v>
      </c>
      <c r="D142" s="17">
        <f t="shared" ca="1" si="34"/>
        <v>0</v>
      </c>
      <c r="E142" s="17">
        <f t="shared" ca="1" si="34"/>
        <v>0</v>
      </c>
      <c r="F142" s="17">
        <f t="shared" ca="1" si="34"/>
        <v>0</v>
      </c>
      <c r="G142" s="17">
        <f t="shared" ca="1" si="34"/>
        <v>0</v>
      </c>
      <c r="H142" s="17">
        <f t="shared" ca="1" si="34"/>
        <v>0</v>
      </c>
    </row>
    <row r="143" spans="1:34">
      <c r="A143" s="2" t="s">
        <v>244</v>
      </c>
      <c r="B143" s="17">
        <f t="shared" ref="B143:H143" ca="1" si="35">COUNTIFS(J:J,"Green",R:R,"AM")</f>
        <v>0</v>
      </c>
      <c r="C143" s="17">
        <f t="shared" ca="1" si="35"/>
        <v>0</v>
      </c>
      <c r="D143" s="17">
        <f t="shared" ca="1" si="35"/>
        <v>0</v>
      </c>
      <c r="E143" s="17">
        <f t="shared" ca="1" si="35"/>
        <v>0</v>
      </c>
      <c r="F143" s="17">
        <f t="shared" ca="1" si="35"/>
        <v>0</v>
      </c>
      <c r="G143" s="17">
        <f t="shared" ca="1" si="35"/>
        <v>0</v>
      </c>
      <c r="H143" s="17">
        <f t="shared" ca="1" si="35"/>
        <v>0</v>
      </c>
    </row>
    <row r="144" spans="1:34">
      <c r="A144" s="26" t="s">
        <v>245</v>
      </c>
      <c r="B144" s="17">
        <f t="shared" ref="B144:H144" ca="1" si="36">COUNTIFS(J:J,"Gold",R:R,"AM")</f>
        <v>0</v>
      </c>
      <c r="C144" s="17">
        <f t="shared" ca="1" si="36"/>
        <v>0</v>
      </c>
      <c r="D144" s="17">
        <f t="shared" ca="1" si="36"/>
        <v>0</v>
      </c>
      <c r="E144" s="17">
        <f t="shared" ca="1" si="36"/>
        <v>0</v>
      </c>
      <c r="F144" s="17">
        <f t="shared" ca="1" si="36"/>
        <v>0</v>
      </c>
      <c r="G144" s="17">
        <f t="shared" ca="1" si="36"/>
        <v>0</v>
      </c>
      <c r="H144" s="17">
        <f t="shared" ca="1" si="36"/>
        <v>0</v>
      </c>
    </row>
    <row r="145" spans="1:26">
      <c r="A145" s="29" t="s">
        <v>246</v>
      </c>
      <c r="B145" s="17">
        <f t="shared" ref="B145:H145" ca="1" si="37">COUNTIFS(J:J,"LGreen",R:R,"AM")</f>
        <v>0</v>
      </c>
      <c r="C145" s="17">
        <f t="shared" ca="1" si="37"/>
        <v>0</v>
      </c>
      <c r="D145" s="17">
        <f t="shared" ca="1" si="37"/>
        <v>0</v>
      </c>
      <c r="E145" s="17">
        <f t="shared" ca="1" si="37"/>
        <v>0</v>
      </c>
      <c r="F145" s="17">
        <f t="shared" ca="1" si="37"/>
        <v>0</v>
      </c>
      <c r="G145" s="17">
        <f t="shared" ca="1" si="37"/>
        <v>0</v>
      </c>
      <c r="H145" s="17">
        <f t="shared" ca="1" si="37"/>
        <v>0</v>
      </c>
    </row>
    <row r="146" spans="1:26">
      <c r="A146" s="43" t="s">
        <v>26</v>
      </c>
      <c r="B146" s="17">
        <f t="shared" ref="B146:H146" ca="1" si="38">COUNTIFS(J:J,"Blue",R:R,"AM")</f>
        <v>0</v>
      </c>
      <c r="C146" s="17">
        <f t="shared" ca="1" si="38"/>
        <v>0</v>
      </c>
      <c r="D146" s="17">
        <f t="shared" ca="1" si="38"/>
        <v>0</v>
      </c>
      <c r="E146" s="17">
        <f t="shared" ca="1" si="38"/>
        <v>0</v>
      </c>
      <c r="F146" s="17">
        <f t="shared" ca="1" si="38"/>
        <v>0</v>
      </c>
      <c r="G146" s="17">
        <f t="shared" ca="1" si="38"/>
        <v>0</v>
      </c>
      <c r="H146" s="17">
        <f t="shared" ca="1" si="38"/>
        <v>0</v>
      </c>
    </row>
    <row r="147" spans="1:26">
      <c r="A147" s="3" t="s">
        <v>16</v>
      </c>
      <c r="B147" s="17">
        <f t="shared" ref="B147:H147" ca="1" si="39">COUNTIFS(J:J,"Pink",R:R,"AM")</f>
        <v>0</v>
      </c>
      <c r="C147" s="17">
        <f t="shared" ca="1" si="39"/>
        <v>0</v>
      </c>
      <c r="D147" s="17">
        <f t="shared" ca="1" si="39"/>
        <v>0</v>
      </c>
      <c r="E147" s="17">
        <f t="shared" ca="1" si="39"/>
        <v>0</v>
      </c>
      <c r="F147" s="17">
        <f t="shared" ca="1" si="39"/>
        <v>0</v>
      </c>
      <c r="G147" s="17">
        <f t="shared" ca="1" si="39"/>
        <v>0</v>
      </c>
      <c r="H147" s="17">
        <f t="shared" ca="1" si="39"/>
        <v>0</v>
      </c>
    </row>
    <row r="148" spans="1:26">
      <c r="A148" s="5" t="s">
        <v>247</v>
      </c>
      <c r="B148" s="17">
        <f t="shared" ref="B148:H148" ca="1" si="40">COUNTIFS(R:R,"AM") - B142-B143-B144-B145-B146-B147</f>
        <v>0</v>
      </c>
      <c r="C148" s="17">
        <f t="shared" ca="1" si="40"/>
        <v>1</v>
      </c>
      <c r="D148" s="17">
        <f t="shared" ca="1" si="40"/>
        <v>0</v>
      </c>
      <c r="E148" s="17">
        <f t="shared" ca="1" si="40"/>
        <v>0</v>
      </c>
      <c r="F148" s="17">
        <f t="shared" ca="1" si="40"/>
        <v>0</v>
      </c>
      <c r="G148" s="17">
        <f t="shared" ca="1" si="40"/>
        <v>1</v>
      </c>
      <c r="H148" s="17">
        <f t="shared" ca="1" si="40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41">SUM(C142:C147)</f>
        <v>0</v>
      </c>
      <c r="D149" s="47">
        <f t="shared" ca="1" si="41"/>
        <v>0</v>
      </c>
      <c r="E149" s="47">
        <f t="shared" ca="1" si="41"/>
        <v>0</v>
      </c>
      <c r="F149" s="47">
        <f t="shared" ca="1" si="41"/>
        <v>0</v>
      </c>
      <c r="G149" s="47">
        <f t="shared" ca="1" si="41"/>
        <v>0</v>
      </c>
      <c r="H149" s="47">
        <f t="shared" ca="1" si="41"/>
        <v>0</v>
      </c>
      <c r="Z149" s="48"/>
    </row>
    <row r="150" spans="1:26">
      <c r="A150" s="27" t="s">
        <v>249</v>
      </c>
      <c r="B150" s="17">
        <f t="shared" ref="B150:H150" ca="1" si="42">COUNTIFS(J:J,"Red",R:R,"PM")</f>
        <v>0</v>
      </c>
      <c r="C150" s="17">
        <f t="shared" ca="1" si="42"/>
        <v>0</v>
      </c>
      <c r="D150" s="17">
        <f t="shared" ca="1" si="42"/>
        <v>0</v>
      </c>
      <c r="E150" s="17">
        <f t="shared" ca="1" si="42"/>
        <v>0</v>
      </c>
      <c r="F150" s="17">
        <f t="shared" ca="1" si="42"/>
        <v>0</v>
      </c>
      <c r="G150" s="17">
        <f t="shared" ca="1" si="42"/>
        <v>0</v>
      </c>
      <c r="H150" s="17">
        <f t="shared" ca="1" si="42"/>
        <v>0</v>
      </c>
    </row>
    <row r="151" spans="1:26">
      <c r="A151" s="2" t="s">
        <v>250</v>
      </c>
      <c r="B151" s="17">
        <f t="shared" ref="B151:H151" ca="1" si="43">COUNTIFS(J:J,"Green",R:R,"PM")</f>
        <v>0</v>
      </c>
      <c r="C151" s="17">
        <f t="shared" ca="1" si="43"/>
        <v>0</v>
      </c>
      <c r="D151" s="17">
        <f t="shared" ca="1" si="43"/>
        <v>0</v>
      </c>
      <c r="E151" s="17">
        <f t="shared" ca="1" si="43"/>
        <v>0</v>
      </c>
      <c r="F151" s="17">
        <f t="shared" ca="1" si="43"/>
        <v>0</v>
      </c>
      <c r="G151" s="17">
        <f t="shared" ca="1" si="43"/>
        <v>0</v>
      </c>
      <c r="H151" s="17">
        <f t="shared" ca="1" si="43"/>
        <v>0</v>
      </c>
    </row>
    <row r="152" spans="1:26">
      <c r="A152" s="26" t="s">
        <v>251</v>
      </c>
      <c r="B152" s="17">
        <f t="shared" ref="B152:H152" ca="1" si="44">COUNTIFS(J:J,"Gold",R:R,"PM")</f>
        <v>0</v>
      </c>
      <c r="C152" s="17">
        <f t="shared" ca="1" si="44"/>
        <v>0</v>
      </c>
      <c r="D152" s="17">
        <f t="shared" ca="1" si="44"/>
        <v>0</v>
      </c>
      <c r="E152" s="17">
        <f t="shared" ca="1" si="44"/>
        <v>0</v>
      </c>
      <c r="F152" s="17">
        <f t="shared" ca="1" si="44"/>
        <v>0</v>
      </c>
      <c r="G152" s="17">
        <f t="shared" ca="1" si="44"/>
        <v>0</v>
      </c>
      <c r="H152" s="17">
        <f t="shared" ca="1" si="44"/>
        <v>0</v>
      </c>
    </row>
    <row r="153" spans="1:26">
      <c r="A153" s="29" t="s">
        <v>252</v>
      </c>
      <c r="B153" s="17">
        <f t="shared" ref="B153:H153" ca="1" si="45">COUNTIFS(J:J,"LGreen",R:R,"PM")</f>
        <v>0</v>
      </c>
      <c r="C153" s="17">
        <f t="shared" ca="1" si="45"/>
        <v>0</v>
      </c>
      <c r="D153" s="17">
        <f t="shared" ca="1" si="45"/>
        <v>0</v>
      </c>
      <c r="E153" s="17">
        <f t="shared" ca="1" si="45"/>
        <v>0</v>
      </c>
      <c r="F153" s="17">
        <f t="shared" ca="1" si="45"/>
        <v>0</v>
      </c>
      <c r="G153" s="17">
        <f t="shared" ca="1" si="45"/>
        <v>0</v>
      </c>
      <c r="H153" s="17">
        <f t="shared" ca="1" si="45"/>
        <v>0</v>
      </c>
    </row>
    <row r="154" spans="1:26">
      <c r="A154" s="10" t="s">
        <v>253</v>
      </c>
      <c r="B154" s="17">
        <f t="shared" ref="B154:H154" ca="1" si="46">COUNTIFS(J:J,"Blue",R:R,"PM")</f>
        <v>0</v>
      </c>
      <c r="C154" s="17">
        <f t="shared" ca="1" si="46"/>
        <v>0</v>
      </c>
      <c r="D154" s="17">
        <f t="shared" ca="1" si="46"/>
        <v>0</v>
      </c>
      <c r="E154" s="17">
        <f t="shared" ca="1" si="46"/>
        <v>0</v>
      </c>
      <c r="F154" s="17">
        <f t="shared" ca="1" si="46"/>
        <v>0</v>
      </c>
      <c r="G154" s="17">
        <f t="shared" ca="1" si="46"/>
        <v>0</v>
      </c>
      <c r="H154" s="17">
        <f t="shared" ca="1" si="46"/>
        <v>0</v>
      </c>
    </row>
    <row r="155" spans="1:26">
      <c r="A155" s="3" t="s">
        <v>59</v>
      </c>
      <c r="B155" s="17">
        <f t="shared" ref="B155:H155" ca="1" si="47">COUNTIFS(J:J,"Pink",R:R,"PM")</f>
        <v>0</v>
      </c>
      <c r="C155" s="17">
        <f t="shared" ca="1" si="47"/>
        <v>0</v>
      </c>
      <c r="D155" s="17">
        <f t="shared" ca="1" si="47"/>
        <v>0</v>
      </c>
      <c r="E155" s="17">
        <f t="shared" ca="1" si="47"/>
        <v>0</v>
      </c>
      <c r="F155" s="17">
        <f t="shared" ca="1" si="47"/>
        <v>0</v>
      </c>
      <c r="G155" s="17">
        <f t="shared" ca="1" si="47"/>
        <v>0</v>
      </c>
      <c r="H155" s="17">
        <f t="shared" ca="1" si="47"/>
        <v>0</v>
      </c>
    </row>
    <row r="156" spans="1:26">
      <c r="A156" s="5" t="s">
        <v>254</v>
      </c>
      <c r="B156" s="17">
        <f t="shared" ref="B156:H156" ca="1" si="48">COUNTIFS(R:R,"PM") -B151-B152-B155-B154-B150-B153</f>
        <v>0</v>
      </c>
      <c r="C156" s="17">
        <f t="shared" ca="1" si="48"/>
        <v>0</v>
      </c>
      <c r="D156" s="17">
        <f t="shared" ca="1" si="48"/>
        <v>0</v>
      </c>
      <c r="E156" s="17">
        <f t="shared" ca="1" si="48"/>
        <v>0</v>
      </c>
      <c r="F156" s="17">
        <f t="shared" ca="1" si="48"/>
        <v>0</v>
      </c>
      <c r="G156" s="17">
        <f t="shared" ca="1" si="48"/>
        <v>0</v>
      </c>
      <c r="H156" s="17">
        <f t="shared" ca="1" si="48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9">SUM(C150:C155)</f>
        <v>0</v>
      </c>
      <c r="D157" s="47">
        <f t="shared" ca="1" si="49"/>
        <v>0</v>
      </c>
      <c r="E157" s="47">
        <f t="shared" ca="1" si="49"/>
        <v>0</v>
      </c>
      <c r="F157" s="47">
        <f t="shared" ca="1" si="49"/>
        <v>0</v>
      </c>
      <c r="G157" s="47">
        <f t="shared" ca="1" si="49"/>
        <v>0</v>
      </c>
      <c r="H157" s="47">
        <f t="shared" ca="1" si="49"/>
        <v>0</v>
      </c>
      <c r="Z157" s="48"/>
    </row>
    <row r="158" spans="1:26">
      <c r="A158" s="4" t="s">
        <v>256</v>
      </c>
      <c r="B158" s="17">
        <f t="shared" ref="B158:H158" ca="1" si="50">COUNTIFS(R:R,"ND")</f>
        <v>0</v>
      </c>
      <c r="C158" s="17">
        <f t="shared" ca="1" si="50"/>
        <v>0</v>
      </c>
      <c r="D158" s="17">
        <f t="shared" ca="1" si="50"/>
        <v>0</v>
      </c>
      <c r="E158" s="17">
        <f t="shared" ca="1" si="50"/>
        <v>0</v>
      </c>
      <c r="F158" s="17">
        <f t="shared" ca="1" si="50"/>
        <v>0</v>
      </c>
      <c r="G158" s="17">
        <f t="shared" ca="1" si="50"/>
        <v>0</v>
      </c>
      <c r="H158" s="17">
        <f t="shared" ca="1" si="50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49:H53">
    <sortCondition ref="A49"/>
  </sortState>
  <mergeCells count="17">
    <mergeCell ref="B91:H91"/>
    <mergeCell ref="B110:H110"/>
    <mergeCell ref="B106:H106"/>
    <mergeCell ref="B128:H128"/>
    <mergeCell ref="B99:H99"/>
    <mergeCell ref="B5:H5"/>
    <mergeCell ref="B11:H11"/>
    <mergeCell ref="B13:H13"/>
    <mergeCell ref="B14:H14"/>
    <mergeCell ref="B15:H15"/>
    <mergeCell ref="B38:H38"/>
    <mergeCell ref="B42:H42"/>
    <mergeCell ref="B17:H17"/>
    <mergeCell ref="B18:H18"/>
    <mergeCell ref="B21:H21"/>
    <mergeCell ref="B28:H28"/>
    <mergeCell ref="B31:H31"/>
  </mergeCells>
  <phoneticPr fontId="12" type="noConversion"/>
  <conditionalFormatting sqref="B145:H145 B147:H147 B153:H153 B155:H155">
    <cfRule type="cellIs" dxfId="41" priority="4" operator="lessThan">
      <formula>2</formula>
    </cfRule>
  </conditionalFormatting>
  <conditionalFormatting sqref="B146:H146">
    <cfRule type="cellIs" dxfId="40" priority="2" operator="lessThan">
      <formula>2</formula>
    </cfRule>
  </conditionalFormatting>
  <conditionalFormatting sqref="B143:H144 B151:H152">
    <cfRule type="cellIs" dxfId="39" priority="5" operator="lessThan">
      <formula>4</formula>
    </cfRule>
  </conditionalFormatting>
  <conditionalFormatting sqref="B142:H142 B150:H150">
    <cfRule type="cellIs" dxfId="38" priority="6" operator="lessThan">
      <formula>2</formula>
    </cfRule>
  </conditionalFormatting>
  <conditionalFormatting sqref="B158:H158">
    <cfRule type="cellIs" dxfId="37" priority="3" operator="lessThan">
      <formula>7</formula>
    </cfRule>
  </conditionalFormatting>
  <conditionalFormatting sqref="B154:H154">
    <cfRule type="cellIs" dxfId="3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7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2">
    <tabColor theme="0"/>
    <pageSetUpPr fitToPage="1"/>
  </sheetPr>
  <dimension ref="A1:AH161"/>
  <sheetViews>
    <sheetView topLeftCell="A118" zoomScaleNormal="100" workbookViewId="0">
      <selection activeCell="F143" sqref="F143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46195</v>
      </c>
      <c r="C2" s="105">
        <f>B2+1</f>
        <v>46196</v>
      </c>
      <c r="D2" s="105">
        <f t="shared" ref="D2:H2" si="0">C2+1</f>
        <v>46197</v>
      </c>
      <c r="E2" s="105">
        <f t="shared" si="0"/>
        <v>46198</v>
      </c>
      <c r="F2" s="105">
        <f t="shared" si="0"/>
        <v>46199</v>
      </c>
      <c r="G2" s="105">
        <f t="shared" si="0"/>
        <v>46200</v>
      </c>
      <c r="H2" s="105">
        <f t="shared" si="0"/>
        <v>46201</v>
      </c>
    </row>
    <row r="3" spans="1:26" ht="14.45" customHeight="1">
      <c r="A3" s="21" t="s">
        <v>15</v>
      </c>
      <c r="B3" s="25"/>
      <c r="C3" s="25"/>
      <c r="D3" s="25"/>
      <c r="E3" s="25"/>
      <c r="F3" s="25"/>
      <c r="G3" s="25"/>
      <c r="H3" s="110" t="s">
        <v>16</v>
      </c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25"/>
      <c r="G4" s="110" t="s">
        <v>59</v>
      </c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7" t="s">
        <v>18</v>
      </c>
      <c r="C5" s="128"/>
      <c r="D5" s="128"/>
      <c r="E5" s="128"/>
      <c r="F5" s="128"/>
      <c r="G5" s="128"/>
      <c r="H5" s="129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18" t="s">
        <v>36</v>
      </c>
      <c r="C7" s="25"/>
      <c r="D7" s="25" t="s">
        <v>24</v>
      </c>
      <c r="E7" s="118" t="s">
        <v>31</v>
      </c>
      <c r="F7" s="115" t="s">
        <v>287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/>
      <c r="F8" s="25"/>
      <c r="G8" s="44" t="s">
        <v>26</v>
      </c>
      <c r="H8" s="116" t="s">
        <v>45</v>
      </c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28" t="s">
        <v>34</v>
      </c>
      <c r="C9" s="25"/>
      <c r="D9" s="25"/>
      <c r="E9" s="25" t="s">
        <v>24</v>
      </c>
      <c r="F9" s="110" t="s">
        <v>16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 t="s">
        <v>24</v>
      </c>
      <c r="C10" s="25"/>
      <c r="D10" s="117" t="s">
        <v>31</v>
      </c>
      <c r="E10" s="25"/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115" t="s">
        <v>287</v>
      </c>
      <c r="D11" s="25"/>
      <c r="E11" s="25"/>
      <c r="F11" s="116" t="s">
        <v>45</v>
      </c>
      <c r="G11" s="117" t="s">
        <v>31</v>
      </c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127" t="s">
        <v>259</v>
      </c>
      <c r="C12" s="128"/>
      <c r="D12" s="128"/>
      <c r="E12" s="128"/>
      <c r="F12" s="128"/>
      <c r="G12" s="128"/>
      <c r="H12" s="129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25"/>
      <c r="C13" s="25"/>
      <c r="D13" s="25"/>
      <c r="E13" s="44" t="s">
        <v>26</v>
      </c>
      <c r="F13" s="25"/>
      <c r="G13" s="110" t="s">
        <v>16</v>
      </c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/>
      <c r="C15" s="25"/>
      <c r="D15" s="25"/>
      <c r="E15" s="25" t="s">
        <v>24</v>
      </c>
      <c r="F15" s="117" t="s">
        <v>31</v>
      </c>
      <c r="G15" s="118" t="s">
        <v>36</v>
      </c>
      <c r="H15" s="110" t="s">
        <v>59</v>
      </c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118" t="s">
        <v>31</v>
      </c>
      <c r="E16" s="25"/>
      <c r="F16" s="25"/>
      <c r="G16" s="116" t="s">
        <v>32</v>
      </c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27" t="s">
        <v>29</v>
      </c>
      <c r="C17" s="128"/>
      <c r="D17" s="128"/>
      <c r="E17" s="128"/>
      <c r="F17" s="128"/>
      <c r="G17" s="128"/>
      <c r="H17" s="129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127" t="s">
        <v>18</v>
      </c>
      <c r="C18" s="128"/>
      <c r="D18" s="128"/>
      <c r="E18" s="128"/>
      <c r="F18" s="128"/>
      <c r="G18" s="128"/>
      <c r="H18" s="129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24</v>
      </c>
      <c r="G19" s="25"/>
      <c r="H19" s="116" t="s">
        <v>32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127" t="s">
        <v>20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10" t="s">
        <v>59</v>
      </c>
      <c r="C21" s="25"/>
      <c r="D21" s="25"/>
      <c r="E21" s="25" t="s">
        <v>24</v>
      </c>
      <c r="F21" s="28" t="s">
        <v>25</v>
      </c>
      <c r="G21" s="116" t="s">
        <v>45</v>
      </c>
      <c r="H21" s="25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6" t="s">
        <v>45</v>
      </c>
      <c r="C22" s="118" t="s">
        <v>36</v>
      </c>
      <c r="D22" s="25" t="s">
        <v>24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27" t="s">
        <v>20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44" t="s">
        <v>26</v>
      </c>
      <c r="E24" s="25"/>
      <c r="F24" s="118" t="s">
        <v>36</v>
      </c>
      <c r="G24" s="25"/>
      <c r="H24" s="28" t="s">
        <v>34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8" t="s">
        <v>36</v>
      </c>
      <c r="E25" s="25" t="s">
        <v>24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115" t="s">
        <v>287</v>
      </c>
      <c r="E26" s="25"/>
      <c r="F26" s="44" t="s">
        <v>26</v>
      </c>
      <c r="G26" s="28" t="s">
        <v>34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25"/>
      <c r="C27" s="118" t="s">
        <v>31</v>
      </c>
      <c r="D27" s="25" t="s">
        <v>24</v>
      </c>
      <c r="E27" s="25"/>
      <c r="F27" s="116" t="s">
        <v>32</v>
      </c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/>
      <c r="C29" s="28" t="s">
        <v>25</v>
      </c>
      <c r="D29" s="117" t="s">
        <v>36</v>
      </c>
      <c r="E29" s="25"/>
      <c r="F29" s="25"/>
      <c r="G29" s="25"/>
      <c r="H29" s="118" t="s">
        <v>36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116" t="s">
        <v>32</v>
      </c>
      <c r="C30" s="117" t="s">
        <v>36</v>
      </c>
      <c r="D30" s="25" t="s">
        <v>24</v>
      </c>
      <c r="E30" s="117" t="s">
        <v>31</v>
      </c>
      <c r="F30" s="25"/>
      <c r="G30" s="25"/>
      <c r="H30" s="25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25"/>
      <c r="C31" s="110" t="s">
        <v>16</v>
      </c>
      <c r="D31" s="25"/>
      <c r="E31" s="115" t="s">
        <v>287</v>
      </c>
      <c r="F31" s="110" t="s">
        <v>59</v>
      </c>
      <c r="G31" s="25"/>
      <c r="H31" s="44" t="s">
        <v>26</v>
      </c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127" t="s">
        <v>18</v>
      </c>
      <c r="C32" s="128"/>
      <c r="D32" s="128"/>
      <c r="E32" s="128"/>
      <c r="F32" s="128"/>
      <c r="G32" s="128"/>
      <c r="H32" s="129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28" t="s">
        <v>25</v>
      </c>
      <c r="C33" s="25" t="s">
        <v>24</v>
      </c>
      <c r="D33" s="116" t="s">
        <v>32</v>
      </c>
      <c r="E33" s="118" t="s">
        <v>36</v>
      </c>
      <c r="F33" s="25"/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25"/>
      <c r="D35" s="25" t="s">
        <v>24</v>
      </c>
      <c r="E35" s="116" t="s">
        <v>45</v>
      </c>
      <c r="F35" s="25"/>
      <c r="G35" s="25"/>
      <c r="H35" s="118" t="s">
        <v>31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27" t="s">
        <v>18</v>
      </c>
      <c r="C36" s="128"/>
      <c r="D36" s="128"/>
      <c r="E36" s="128"/>
      <c r="F36" s="128"/>
      <c r="G36" s="128"/>
      <c r="H36" s="129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115" t="s">
        <v>287</v>
      </c>
      <c r="C37" s="25" t="s">
        <v>24</v>
      </c>
      <c r="D37" s="110" t="s">
        <v>16</v>
      </c>
      <c r="E37" s="116" t="s">
        <v>32</v>
      </c>
      <c r="F37" s="25"/>
      <c r="G37" s="25"/>
      <c r="H37" s="117" t="s">
        <v>31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18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118" t="s">
        <v>31</v>
      </c>
      <c r="C39" s="117" t="s">
        <v>31</v>
      </c>
      <c r="D39" s="25" t="s">
        <v>24</v>
      </c>
      <c r="E39" s="25"/>
      <c r="F39" s="25"/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27" t="s">
        <v>311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6" t="s">
        <v>45</v>
      </c>
      <c r="E41" s="25"/>
      <c r="F41" s="117" t="s">
        <v>36</v>
      </c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25"/>
      <c r="C42" s="116" t="s">
        <v>32</v>
      </c>
      <c r="D42" s="25"/>
      <c r="E42" s="110" t="s">
        <v>16</v>
      </c>
      <c r="F42" s="25"/>
      <c r="G42" s="117" t="s">
        <v>36</v>
      </c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110" t="s">
        <v>16</v>
      </c>
      <c r="C43" s="28" t="s">
        <v>34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117" t="s">
        <v>36</v>
      </c>
      <c r="C44" s="110" t="s">
        <v>59</v>
      </c>
      <c r="D44" s="25" t="s">
        <v>24</v>
      </c>
      <c r="E44" s="25"/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28" t="s">
        <v>25</v>
      </c>
      <c r="E45" s="117" t="s">
        <v>36</v>
      </c>
      <c r="F45" s="25"/>
      <c r="G45" s="118" t="s">
        <v>31</v>
      </c>
      <c r="H45" s="117" t="s">
        <v>36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116" t="s">
        <v>45</v>
      </c>
      <c r="D46" s="25" t="s">
        <v>24</v>
      </c>
      <c r="E46" s="110" t="s">
        <v>59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44" t="s">
        <v>26</v>
      </c>
      <c r="C47" s="25"/>
      <c r="D47" s="25"/>
      <c r="E47" s="25" t="s">
        <v>24</v>
      </c>
      <c r="F47" s="25"/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27" t="s">
        <v>311</v>
      </c>
      <c r="C48" s="128"/>
      <c r="D48" s="128"/>
      <c r="E48" s="128"/>
      <c r="F48" s="128"/>
      <c r="G48" s="128"/>
      <c r="H48" s="129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25"/>
      <c r="C49" s="25"/>
      <c r="D49" s="110" t="s">
        <v>59</v>
      </c>
      <c r="E49" s="25"/>
      <c r="F49" s="118" t="s">
        <v>31</v>
      </c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27" t="s">
        <v>20</v>
      </c>
      <c r="C50" s="128"/>
      <c r="D50" s="128"/>
      <c r="E50" s="128"/>
      <c r="F50" s="128"/>
      <c r="G50" s="128"/>
      <c r="H50" s="129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87</v>
      </c>
      <c r="B51" s="25" t="s">
        <v>337</v>
      </c>
      <c r="C51" s="25"/>
      <c r="D51" s="25"/>
      <c r="E51" s="25"/>
      <c r="F51" s="28" t="s">
        <v>34</v>
      </c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94</v>
      </c>
      <c r="C53" s="51" t="s">
        <v>370</v>
      </c>
      <c r="D53" s="51" t="s">
        <v>92</v>
      </c>
      <c r="E53" s="51" t="s">
        <v>316</v>
      </c>
      <c r="F53" s="51" t="s">
        <v>269</v>
      </c>
      <c r="G53" s="51" t="s">
        <v>270</v>
      </c>
      <c r="H53" s="51" t="s">
        <v>407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22 Jun</v>
      </c>
      <c r="C54" s="107" t="str">
        <f>C58</f>
        <v>Tues 23 Jun</v>
      </c>
      <c r="D54" s="107" t="str">
        <f t="shared" ref="D54:H54" si="11">D58</f>
        <v>Wed 24 Jun</v>
      </c>
      <c r="E54" s="107" t="str">
        <f t="shared" si="11"/>
        <v>Thu 25 Jun</v>
      </c>
      <c r="F54" s="107" t="str">
        <f t="shared" si="11"/>
        <v>Fri 26 Jun</v>
      </c>
      <c r="G54" s="107" t="str">
        <f t="shared" si="11"/>
        <v>Sat 27 Jun</v>
      </c>
      <c r="H54" s="107" t="str">
        <f t="shared" si="11"/>
        <v>Sun 28 Jun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 t="s">
        <v>24</v>
      </c>
      <c r="C55" s="25"/>
      <c r="D55" s="25" t="s">
        <v>108</v>
      </c>
      <c r="E55" s="25" t="s">
        <v>108</v>
      </c>
      <c r="F55" s="25"/>
      <c r="G55" s="25"/>
      <c r="H55" s="25"/>
      <c r="J55" t="e">
        <f t="shared" ref="J55:P56" ca="1" si="12">colorindex(B55)</f>
        <v>#NAME?</v>
      </c>
      <c r="K55" t="e">
        <f t="shared" ca="1" si="12"/>
        <v>#NAME?</v>
      </c>
      <c r="L55" t="e">
        <f t="shared" ca="1" si="12"/>
        <v>#NAME?</v>
      </c>
      <c r="M55" t="e">
        <f t="shared" ca="1" si="12"/>
        <v>#NAME?</v>
      </c>
      <c r="N55" t="e">
        <f t="shared" ca="1" si="12"/>
        <v>#NAME?</v>
      </c>
      <c r="O55" t="e">
        <f t="shared" ca="1" si="12"/>
        <v>#NAME?</v>
      </c>
      <c r="P55" t="e">
        <f t="shared" ca="1" si="12"/>
        <v>#NAME?</v>
      </c>
      <c r="R55" t="e">
        <f t="shared" ref="R55:X56" ca="1" si="13">ShiftIndex(B55)</f>
        <v>#NAME?</v>
      </c>
      <c r="S55" t="e">
        <f t="shared" ca="1" si="13"/>
        <v>#NAME?</v>
      </c>
      <c r="T55" t="e">
        <f t="shared" ca="1" si="13"/>
        <v>#NAME?</v>
      </c>
      <c r="U55" t="e">
        <f t="shared" ca="1" si="13"/>
        <v>#NAME?</v>
      </c>
      <c r="V55" t="e">
        <f t="shared" ca="1" si="13"/>
        <v>#NAME?</v>
      </c>
      <c r="W55" t="e">
        <f t="shared" ca="1" si="13"/>
        <v>#NAME?</v>
      </c>
      <c r="X55" t="e">
        <f t="shared" ca="1" si="13"/>
        <v>#NAME?</v>
      </c>
    </row>
    <row r="56" spans="1:26" ht="15" customHeight="1">
      <c r="A56" s="22" t="s">
        <v>109</v>
      </c>
      <c r="B56" s="25" t="s">
        <v>108</v>
      </c>
      <c r="C56" s="25"/>
      <c r="D56" s="25"/>
      <c r="E56" s="25"/>
      <c r="F56" s="25" t="s">
        <v>108</v>
      </c>
      <c r="G56" s="25"/>
      <c r="H56" s="25"/>
      <c r="J56" t="e">
        <f t="shared" ca="1" si="12"/>
        <v>#NAME?</v>
      </c>
      <c r="K56" t="e">
        <f t="shared" ca="1" si="12"/>
        <v>#NAME?</v>
      </c>
      <c r="L56" t="e">
        <f t="shared" ca="1" si="12"/>
        <v>#NAME?</v>
      </c>
      <c r="M56" t="e">
        <f t="shared" ca="1" si="12"/>
        <v>#NAME?</v>
      </c>
      <c r="N56" t="e">
        <f t="shared" ca="1" si="12"/>
        <v>#NAME?</v>
      </c>
      <c r="O56" t="e">
        <f t="shared" ca="1" si="12"/>
        <v>#NAME?</v>
      </c>
      <c r="P56" t="e">
        <f t="shared" ca="1" si="12"/>
        <v>#NAME?</v>
      </c>
      <c r="R56" t="e">
        <f t="shared" ca="1" si="13"/>
        <v>#NAME?</v>
      </c>
      <c r="S56" t="e">
        <f t="shared" ca="1" si="13"/>
        <v>#NAME?</v>
      </c>
      <c r="T56" t="e">
        <f t="shared" ca="1" si="13"/>
        <v>#NAME?</v>
      </c>
      <c r="U56" t="e">
        <f t="shared" ca="1" si="13"/>
        <v>#NAME?</v>
      </c>
      <c r="V56" t="e">
        <f t="shared" ca="1" si="13"/>
        <v>#NAME?</v>
      </c>
      <c r="W56" t="e">
        <f t="shared" ca="1" si="13"/>
        <v>#NAME?</v>
      </c>
      <c r="X56" t="e">
        <f t="shared" ca="1" si="13"/>
        <v>#NAME?</v>
      </c>
    </row>
    <row r="57" spans="1:26" ht="15" customHeight="1">
      <c r="A57" s="22" t="s">
        <v>110</v>
      </c>
      <c r="B57" s="25"/>
      <c r="C57" s="25" t="s">
        <v>108</v>
      </c>
      <c r="D57" s="25"/>
      <c r="E57" s="25"/>
      <c r="F57" s="25"/>
      <c r="G57" s="25" t="s">
        <v>111</v>
      </c>
      <c r="H57" s="25"/>
      <c r="J57" t="s">
        <v>296</v>
      </c>
      <c r="K57" t="s">
        <v>296</v>
      </c>
      <c r="L57" t="s">
        <v>296</v>
      </c>
      <c r="M57" t="s">
        <v>296</v>
      </c>
      <c r="N57" t="s">
        <v>296</v>
      </c>
      <c r="O57" t="s">
        <v>296</v>
      </c>
      <c r="P57" t="s">
        <v>296</v>
      </c>
      <c r="R57" t="s">
        <v>296</v>
      </c>
      <c r="S57" t="s">
        <v>288</v>
      </c>
      <c r="T57" t="s">
        <v>296</v>
      </c>
      <c r="U57" t="s">
        <v>296</v>
      </c>
      <c r="V57" t="s">
        <v>296</v>
      </c>
      <c r="W57" t="s">
        <v>288</v>
      </c>
      <c r="X57" t="s">
        <v>296</v>
      </c>
    </row>
    <row r="58" spans="1:26" ht="15" customHeight="1">
      <c r="A58" s="106" t="s">
        <v>113</v>
      </c>
      <c r="B58" s="107" t="s">
        <v>408</v>
      </c>
      <c r="C58" s="107" t="s">
        <v>409</v>
      </c>
      <c r="D58" s="107" t="s">
        <v>410</v>
      </c>
      <c r="E58" s="107" t="s">
        <v>411</v>
      </c>
      <c r="F58" s="107" t="s">
        <v>412</v>
      </c>
      <c r="G58" s="107" t="s">
        <v>413</v>
      </c>
      <c r="H58" s="107" t="s">
        <v>414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28" t="s">
        <v>115</v>
      </c>
      <c r="C59" s="121" t="s">
        <v>116</v>
      </c>
      <c r="D59" s="25"/>
      <c r="E59" s="25"/>
      <c r="F59" s="25"/>
      <c r="G59" s="25" t="s">
        <v>152</v>
      </c>
      <c r="H59" s="25" t="s">
        <v>123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5"/>
      <c r="D60" s="120" t="s">
        <v>118</v>
      </c>
      <c r="E60" s="121" t="s">
        <v>116</v>
      </c>
      <c r="F60" s="25"/>
      <c r="G60" s="120" t="s">
        <v>118</v>
      </c>
      <c r="H60" s="120" t="s">
        <v>118</v>
      </c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 t="s">
        <v>123</v>
      </c>
      <c r="C61" s="25" t="s">
        <v>123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1" t="s">
        <v>116</v>
      </c>
      <c r="C62" s="120" t="s">
        <v>116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4">colorindex(E62)</f>
        <v>#NAME?</v>
      </c>
      <c r="N62" t="e">
        <f t="shared" ca="1" si="14"/>
        <v>#NAME?</v>
      </c>
      <c r="O62" t="e">
        <f t="shared" ca="1" si="14"/>
        <v>#NAME?</v>
      </c>
      <c r="P62" t="e">
        <f t="shared" ca="1" si="14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5">ShiftIndex(E62)</f>
        <v>#NAME?</v>
      </c>
      <c r="V62" t="e">
        <f t="shared" ca="1" si="15"/>
        <v>#NAME?</v>
      </c>
      <c r="W62" t="e">
        <f t="shared" ca="1" si="15"/>
        <v>#NAME?</v>
      </c>
      <c r="X62" t="e">
        <f t="shared" ca="1" si="15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22 Jun</v>
      </c>
      <c r="C63" s="107" t="str">
        <f t="shared" ref="C63:H63" si="16">C58</f>
        <v>Tues 23 Jun</v>
      </c>
      <c r="D63" s="107" t="str">
        <f t="shared" si="16"/>
        <v>Wed 24 Jun</v>
      </c>
      <c r="E63" s="107" t="str">
        <f t="shared" si="16"/>
        <v>Thu 25 Jun</v>
      </c>
      <c r="F63" s="107" t="str">
        <f t="shared" si="16"/>
        <v>Fri 26 Jun</v>
      </c>
      <c r="G63" s="107" t="str">
        <f t="shared" si="16"/>
        <v>Sat 27 Jun</v>
      </c>
      <c r="H63" s="107" t="str">
        <f t="shared" si="16"/>
        <v>Sun 28 Jun</v>
      </c>
      <c r="J63" t="e">
        <f t="shared" ref="J63:P101" ca="1" si="17">colorindex(B63)</f>
        <v>#NAME?</v>
      </c>
      <c r="K63" t="e">
        <f t="shared" ca="1" si="17"/>
        <v>#NAME?</v>
      </c>
      <c r="L63" t="e">
        <f t="shared" ca="1" si="17"/>
        <v>#NAME?</v>
      </c>
      <c r="M63" t="e">
        <f t="shared" ca="1" si="14"/>
        <v>#NAME?</v>
      </c>
      <c r="N63" t="e">
        <f t="shared" ca="1" si="14"/>
        <v>#NAME?</v>
      </c>
      <c r="O63" t="e">
        <f t="shared" ca="1" si="14"/>
        <v>#NAME?</v>
      </c>
      <c r="P63" t="e">
        <f t="shared" ca="1" si="14"/>
        <v>#NAME?</v>
      </c>
      <c r="R63" t="e">
        <f t="shared" ref="R63:X101" ca="1" si="18">ShiftIndex(B63)</f>
        <v>#NAME?</v>
      </c>
      <c r="S63" t="e">
        <f t="shared" ca="1" si="18"/>
        <v>#NAME?</v>
      </c>
      <c r="T63" t="e">
        <f t="shared" ca="1" si="18"/>
        <v>#NAME?</v>
      </c>
      <c r="U63" t="e">
        <f t="shared" ca="1" si="15"/>
        <v>#NAME?</v>
      </c>
      <c r="V63" t="e">
        <f t="shared" ca="1" si="15"/>
        <v>#NAME?</v>
      </c>
      <c r="W63" t="e">
        <f t="shared" ca="1" si="15"/>
        <v>#NAME?</v>
      </c>
      <c r="X63" t="e">
        <f t="shared" ca="1" si="15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0" t="s">
        <v>118</v>
      </c>
      <c r="F64" s="25"/>
      <c r="G64" s="28" t="s">
        <v>119</v>
      </c>
      <c r="H64" s="28" t="s">
        <v>119</v>
      </c>
      <c r="J64" t="e">
        <f t="shared" ca="1" si="17"/>
        <v>#NAME?</v>
      </c>
      <c r="K64" t="e">
        <f t="shared" ca="1" si="17"/>
        <v>#NAME?</v>
      </c>
      <c r="L64" t="e">
        <f t="shared" ca="1" si="17"/>
        <v>#NAME?</v>
      </c>
      <c r="M64" t="e">
        <f t="shared" ca="1" si="14"/>
        <v>#NAME?</v>
      </c>
      <c r="N64" t="e">
        <f t="shared" ca="1" si="14"/>
        <v>#NAME?</v>
      </c>
      <c r="O64" t="e">
        <f t="shared" ca="1" si="14"/>
        <v>#NAME?</v>
      </c>
      <c r="P64" t="e">
        <f t="shared" ca="1" si="14"/>
        <v>#NAME?</v>
      </c>
      <c r="R64" t="e">
        <f t="shared" ca="1" si="18"/>
        <v>#NAME?</v>
      </c>
      <c r="S64" t="e">
        <f t="shared" ca="1" si="18"/>
        <v>#NAME?</v>
      </c>
      <c r="T64" t="e">
        <f t="shared" ca="1" si="18"/>
        <v>#NAME?</v>
      </c>
      <c r="U64" t="e">
        <f t="shared" ca="1" si="15"/>
        <v>#NAME?</v>
      </c>
      <c r="V64" t="e">
        <f t="shared" ca="1" si="15"/>
        <v>#NAME?</v>
      </c>
      <c r="W64" t="e">
        <f t="shared" ca="1" si="15"/>
        <v>#NAME?</v>
      </c>
      <c r="X64" t="e">
        <f t="shared" ca="1" si="15"/>
        <v>#NAME?</v>
      </c>
      <c r="Z64" s="15">
        <v>1</v>
      </c>
    </row>
    <row r="65" spans="1:26" ht="15" customHeight="1">
      <c r="A65" s="22" t="s">
        <v>128</v>
      </c>
      <c r="B65" s="25"/>
      <c r="C65" s="25"/>
      <c r="D65" s="25"/>
      <c r="E65" s="25"/>
      <c r="F65" s="25"/>
      <c r="G65" s="25"/>
      <c r="H65" s="25"/>
      <c r="J65" t="e">
        <f t="shared" ca="1" si="17"/>
        <v>#NAME?</v>
      </c>
      <c r="K65" t="e">
        <f t="shared" ca="1" si="17"/>
        <v>#NAME?</v>
      </c>
      <c r="L65" t="e">
        <f t="shared" ca="1" si="17"/>
        <v>#NAME?</v>
      </c>
      <c r="M65" t="e">
        <f t="shared" ca="1" si="14"/>
        <v>#NAME?</v>
      </c>
      <c r="N65" t="e">
        <f t="shared" ca="1" si="14"/>
        <v>#NAME?</v>
      </c>
      <c r="O65" t="e">
        <f t="shared" ca="1" si="14"/>
        <v>#NAME?</v>
      </c>
      <c r="P65" t="e">
        <f t="shared" ca="1" si="14"/>
        <v>#NAME?</v>
      </c>
      <c r="R65" t="e">
        <f t="shared" ca="1" si="18"/>
        <v>#NAME?</v>
      </c>
      <c r="S65" t="e">
        <f t="shared" ca="1" si="18"/>
        <v>#NAME?</v>
      </c>
      <c r="T65" t="e">
        <f t="shared" ca="1" si="18"/>
        <v>#NAME?</v>
      </c>
      <c r="U65" t="e">
        <f t="shared" ca="1" si="15"/>
        <v>#NAME?</v>
      </c>
      <c r="V65" t="e">
        <f t="shared" ca="1" si="15"/>
        <v>#NAME?</v>
      </c>
      <c r="W65" t="e">
        <f t="shared" ca="1" si="15"/>
        <v>#NAME?</v>
      </c>
      <c r="X65" t="e">
        <f t="shared" ca="1" si="15"/>
        <v>#NAME?</v>
      </c>
      <c r="Z65" s="15">
        <v>0.25</v>
      </c>
    </row>
    <row r="66" spans="1:26" ht="15" customHeight="1">
      <c r="A66" s="22" t="s">
        <v>129</v>
      </c>
      <c r="B66" s="28" t="s">
        <v>119</v>
      </c>
      <c r="C66" s="25"/>
      <c r="D66" s="121" t="s">
        <v>118</v>
      </c>
      <c r="E66" s="25"/>
      <c r="F66" s="25"/>
      <c r="G66" s="25"/>
      <c r="H66" s="25"/>
      <c r="J66" t="e">
        <f t="shared" ca="1" si="17"/>
        <v>#NAME?</v>
      </c>
      <c r="K66" t="e">
        <f t="shared" ca="1" si="17"/>
        <v>#NAME?</v>
      </c>
      <c r="L66" t="e">
        <f t="shared" ca="1" si="17"/>
        <v>#NAME?</v>
      </c>
      <c r="M66" t="e">
        <f t="shared" ca="1" si="14"/>
        <v>#NAME?</v>
      </c>
      <c r="N66" t="e">
        <f t="shared" ca="1" si="14"/>
        <v>#NAME?</v>
      </c>
      <c r="O66" t="e">
        <f t="shared" ca="1" si="14"/>
        <v>#NAME?</v>
      </c>
      <c r="P66" t="e">
        <f t="shared" ca="1" si="14"/>
        <v>#NAME?</v>
      </c>
      <c r="R66" t="e">
        <f t="shared" ca="1" si="18"/>
        <v>#NAME?</v>
      </c>
      <c r="S66" t="e">
        <f t="shared" ca="1" si="18"/>
        <v>#NAME?</v>
      </c>
      <c r="T66" t="e">
        <f t="shared" ca="1" si="18"/>
        <v>#NAME?</v>
      </c>
      <c r="U66" t="e">
        <f t="shared" ca="1" si="15"/>
        <v>#NAME?</v>
      </c>
      <c r="V66" t="e">
        <f t="shared" ca="1" si="15"/>
        <v>#NAME?</v>
      </c>
      <c r="W66" t="e">
        <f t="shared" ca="1" si="15"/>
        <v>#NAME?</v>
      </c>
      <c r="X66" t="e">
        <f t="shared" ca="1" si="15"/>
        <v>#NAME?</v>
      </c>
      <c r="Z66" s="15">
        <v>0.5</v>
      </c>
    </row>
    <row r="67" spans="1:26" ht="26.25">
      <c r="A67" s="106" t="s">
        <v>130</v>
      </c>
      <c r="B67" s="108" t="str">
        <f>B58</f>
        <v>Mon 22 Jun</v>
      </c>
      <c r="C67" s="107" t="str">
        <f t="shared" ref="C67:H67" si="19">C58</f>
        <v>Tues 23 Jun</v>
      </c>
      <c r="D67" s="108" t="s">
        <v>415</v>
      </c>
      <c r="E67" s="107" t="str">
        <f t="shared" si="19"/>
        <v>Thu 25 Jun</v>
      </c>
      <c r="F67" s="107" t="str">
        <f t="shared" si="19"/>
        <v>Fri 26 Jun</v>
      </c>
      <c r="G67" s="107" t="str">
        <f t="shared" si="19"/>
        <v>Sat 27 Jun</v>
      </c>
      <c r="H67" s="107" t="str">
        <f t="shared" si="19"/>
        <v>Sun 28 Jun</v>
      </c>
      <c r="J67" t="e">
        <f t="shared" ca="1" si="17"/>
        <v>#NAME?</v>
      </c>
      <c r="K67" t="e">
        <f t="shared" ca="1" si="17"/>
        <v>#NAME?</v>
      </c>
      <c r="L67" t="e">
        <f t="shared" ca="1" si="17"/>
        <v>#NAME?</v>
      </c>
      <c r="M67" t="e">
        <f t="shared" ca="1" si="14"/>
        <v>#NAME?</v>
      </c>
      <c r="N67" t="e">
        <f t="shared" ca="1" si="14"/>
        <v>#NAME?</v>
      </c>
      <c r="O67" t="e">
        <f t="shared" ca="1" si="14"/>
        <v>#NAME?</v>
      </c>
      <c r="P67" t="e">
        <f t="shared" ca="1" si="14"/>
        <v>#NAME?</v>
      </c>
      <c r="R67" t="e">
        <f t="shared" ca="1" si="18"/>
        <v>#NAME?</v>
      </c>
      <c r="S67" t="e">
        <f t="shared" ca="1" si="18"/>
        <v>#NAME?</v>
      </c>
      <c r="T67" t="e">
        <f t="shared" ca="1" si="18"/>
        <v>#NAME?</v>
      </c>
      <c r="U67" t="e">
        <f t="shared" ca="1" si="15"/>
        <v>#NAME?</v>
      </c>
      <c r="V67" t="e">
        <f t="shared" ca="1" si="15"/>
        <v>#NAME?</v>
      </c>
      <c r="W67" t="e">
        <f t="shared" ca="1" si="15"/>
        <v>#NAME?</v>
      </c>
      <c r="X67" t="e">
        <f t="shared" ca="1" si="15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28" t="s">
        <v>115</v>
      </c>
      <c r="E68" s="28" t="s">
        <v>115</v>
      </c>
      <c r="F68" s="121" t="s">
        <v>116</v>
      </c>
      <c r="G68" s="25"/>
      <c r="H68" s="25"/>
      <c r="J68" t="e">
        <f t="shared" ca="1" si="17"/>
        <v>#NAME?</v>
      </c>
      <c r="K68" t="e">
        <f t="shared" ca="1" si="17"/>
        <v>#NAME?</v>
      </c>
      <c r="L68" t="e">
        <f t="shared" ca="1" si="17"/>
        <v>#NAME?</v>
      </c>
      <c r="M68" t="e">
        <f t="shared" ca="1" si="14"/>
        <v>#NAME?</v>
      </c>
      <c r="N68" t="e">
        <f t="shared" ca="1" si="14"/>
        <v>#NAME?</v>
      </c>
      <c r="O68" t="e">
        <f t="shared" ca="1" si="14"/>
        <v>#NAME?</v>
      </c>
      <c r="P68" t="e">
        <f t="shared" ca="1" si="14"/>
        <v>#NAME?</v>
      </c>
      <c r="R68" t="e">
        <f t="shared" ca="1" si="18"/>
        <v>#NAME?</v>
      </c>
      <c r="S68" t="e">
        <f t="shared" ca="1" si="18"/>
        <v>#NAME?</v>
      </c>
      <c r="T68" t="e">
        <f t="shared" ca="1" si="18"/>
        <v>#NAME?</v>
      </c>
      <c r="U68" t="e">
        <f t="shared" ca="1" si="15"/>
        <v>#NAME?</v>
      </c>
      <c r="V68" t="e">
        <f t="shared" ca="1" si="15"/>
        <v>#NAME?</v>
      </c>
      <c r="W68" t="e">
        <f t="shared" ca="1" si="15"/>
        <v>#NAME?</v>
      </c>
      <c r="X68" t="e">
        <f t="shared" ca="1" si="15"/>
        <v>#NAME?</v>
      </c>
      <c r="Z68" s="15">
        <v>0.5</v>
      </c>
    </row>
    <row r="69" spans="1:26" ht="14.45" customHeight="1">
      <c r="A69" s="22" t="s">
        <v>135</v>
      </c>
      <c r="B69" s="25"/>
      <c r="C69" s="44" t="s">
        <v>186</v>
      </c>
      <c r="D69" s="25" t="s">
        <v>141</v>
      </c>
      <c r="E69" s="28" t="s">
        <v>119</v>
      </c>
      <c r="F69" s="25"/>
      <c r="G69" s="25"/>
      <c r="H69" s="25"/>
      <c r="J69" t="e">
        <f t="shared" ca="1" si="17"/>
        <v>#NAME?</v>
      </c>
      <c r="K69" t="e">
        <f t="shared" ca="1" si="17"/>
        <v>#NAME?</v>
      </c>
      <c r="L69" t="e">
        <f t="shared" ca="1" si="17"/>
        <v>#NAME?</v>
      </c>
      <c r="M69" t="e">
        <f t="shared" ca="1" si="14"/>
        <v>#NAME?</v>
      </c>
      <c r="N69" t="e">
        <f t="shared" ca="1" si="14"/>
        <v>#NAME?</v>
      </c>
      <c r="O69" t="e">
        <f t="shared" ca="1" si="14"/>
        <v>#NAME?</v>
      </c>
      <c r="P69" t="e">
        <f t="shared" ca="1" si="14"/>
        <v>#NAME?</v>
      </c>
      <c r="R69" t="e">
        <f t="shared" ca="1" si="18"/>
        <v>#NAME?</v>
      </c>
      <c r="S69" t="e">
        <f t="shared" ca="1" si="18"/>
        <v>#NAME?</v>
      </c>
      <c r="T69" t="e">
        <f t="shared" ca="1" si="18"/>
        <v>#NAME?</v>
      </c>
      <c r="U69" t="e">
        <f t="shared" ca="1" si="15"/>
        <v>#NAME?</v>
      </c>
      <c r="V69" t="e">
        <f t="shared" ca="1" si="15"/>
        <v>#NAME?</v>
      </c>
      <c r="W69" t="e">
        <f t="shared" ca="1" si="15"/>
        <v>#NAME?</v>
      </c>
      <c r="X69" t="e">
        <f t="shared" ca="1" si="15"/>
        <v>#NAME?</v>
      </c>
      <c r="Z69" s="15">
        <v>0.5</v>
      </c>
    </row>
    <row r="70" spans="1:26" ht="15" customHeight="1">
      <c r="A70" s="22" t="s">
        <v>136</v>
      </c>
      <c r="B70" s="25" t="s">
        <v>152</v>
      </c>
      <c r="C70" s="25" t="s">
        <v>152</v>
      </c>
      <c r="D70" s="25" t="s">
        <v>123</v>
      </c>
      <c r="E70" s="25" t="s">
        <v>123</v>
      </c>
      <c r="F70" s="25"/>
      <c r="G70" s="25"/>
      <c r="H70" s="25"/>
      <c r="J70" t="e">
        <f t="shared" ca="1" si="17"/>
        <v>#NAME?</v>
      </c>
      <c r="K70" t="e">
        <f t="shared" ca="1" si="17"/>
        <v>#NAME?</v>
      </c>
      <c r="L70" t="e">
        <f t="shared" ca="1" si="17"/>
        <v>#NAME?</v>
      </c>
      <c r="M70" t="e">
        <f t="shared" ca="1" si="14"/>
        <v>#NAME?</v>
      </c>
      <c r="N70" t="e">
        <f t="shared" ca="1" si="14"/>
        <v>#NAME?</v>
      </c>
      <c r="O70" t="e">
        <f t="shared" ca="1" si="14"/>
        <v>#NAME?</v>
      </c>
      <c r="P70" t="e">
        <f t="shared" ca="1" si="14"/>
        <v>#NAME?</v>
      </c>
      <c r="R70" t="e">
        <f t="shared" ca="1" si="18"/>
        <v>#NAME?</v>
      </c>
      <c r="S70" t="e">
        <f t="shared" ca="1" si="18"/>
        <v>#NAME?</v>
      </c>
      <c r="T70" t="e">
        <f t="shared" ca="1" si="18"/>
        <v>#NAME?</v>
      </c>
      <c r="U70" t="e">
        <f t="shared" ca="1" si="15"/>
        <v>#NAME?</v>
      </c>
      <c r="V70" t="e">
        <f t="shared" ca="1" si="15"/>
        <v>#NAME?</v>
      </c>
      <c r="W70" t="e">
        <f t="shared" ca="1" si="15"/>
        <v>#NAME?</v>
      </c>
      <c r="X70" t="e">
        <f t="shared" ca="1" si="15"/>
        <v>#NAME?</v>
      </c>
      <c r="Z70" s="24">
        <v>1</v>
      </c>
    </row>
    <row r="71" spans="1:26" ht="15" customHeight="1">
      <c r="A71" s="22" t="s">
        <v>137</v>
      </c>
      <c r="B71" s="44" t="s">
        <v>186</v>
      </c>
      <c r="C71" s="25"/>
      <c r="D71" s="25" t="s">
        <v>141</v>
      </c>
      <c r="E71" s="25" t="s">
        <v>152</v>
      </c>
      <c r="F71" s="25" t="s">
        <v>123</v>
      </c>
      <c r="G71" s="25"/>
      <c r="H71" s="25"/>
      <c r="J71" t="e">
        <f t="shared" ca="1" si="17"/>
        <v>#NAME?</v>
      </c>
      <c r="K71" t="e">
        <f t="shared" ca="1" si="17"/>
        <v>#NAME?</v>
      </c>
      <c r="L71" t="e">
        <f t="shared" ca="1" si="17"/>
        <v>#NAME?</v>
      </c>
      <c r="M71" t="e">
        <f t="shared" ca="1" si="14"/>
        <v>#NAME?</v>
      </c>
      <c r="N71" t="e">
        <f t="shared" ca="1" si="14"/>
        <v>#NAME?</v>
      </c>
      <c r="O71" t="e">
        <f t="shared" ca="1" si="14"/>
        <v>#NAME?</v>
      </c>
      <c r="P71" t="e">
        <f t="shared" ca="1" si="14"/>
        <v>#NAME?</v>
      </c>
      <c r="R71" t="e">
        <f t="shared" ca="1" si="18"/>
        <v>#NAME?</v>
      </c>
      <c r="S71" t="e">
        <f t="shared" ca="1" si="18"/>
        <v>#NAME?</v>
      </c>
      <c r="T71" t="e">
        <f t="shared" ca="1" si="18"/>
        <v>#NAME?</v>
      </c>
      <c r="U71" t="e">
        <f t="shared" ca="1" si="15"/>
        <v>#NAME?</v>
      </c>
      <c r="V71" t="e">
        <f t="shared" ca="1" si="15"/>
        <v>#NAME?</v>
      </c>
      <c r="W71" t="e">
        <f t="shared" ca="1" si="15"/>
        <v>#NAME?</v>
      </c>
      <c r="X71" t="e">
        <f t="shared" ca="1" si="15"/>
        <v>#NAME?</v>
      </c>
      <c r="Z71" s="24">
        <v>1</v>
      </c>
    </row>
    <row r="72" spans="1:26" ht="15" customHeight="1">
      <c r="A72" s="22" t="s">
        <v>140</v>
      </c>
      <c r="B72" s="25"/>
      <c r="C72" s="25"/>
      <c r="D72" s="25" t="s">
        <v>141</v>
      </c>
      <c r="E72" s="25"/>
      <c r="F72" s="25"/>
      <c r="G72" s="120" t="s">
        <v>116</v>
      </c>
      <c r="H72" s="110" t="s">
        <v>139</v>
      </c>
      <c r="J72" t="e">
        <f t="shared" ca="1" si="17"/>
        <v>#NAME?</v>
      </c>
      <c r="K72" t="e">
        <f t="shared" ca="1" si="17"/>
        <v>#NAME?</v>
      </c>
      <c r="L72" t="e">
        <f t="shared" ca="1" si="17"/>
        <v>#NAME?</v>
      </c>
      <c r="M72" t="e">
        <f t="shared" ca="1" si="14"/>
        <v>#NAME?</v>
      </c>
      <c r="N72" t="e">
        <f t="shared" ca="1" si="14"/>
        <v>#NAME?</v>
      </c>
      <c r="O72" t="e">
        <f t="shared" ca="1" si="14"/>
        <v>#NAME?</v>
      </c>
      <c r="P72" t="e">
        <f t="shared" ca="1" si="14"/>
        <v>#NAME?</v>
      </c>
      <c r="R72" t="e">
        <f t="shared" ca="1" si="18"/>
        <v>#NAME?</v>
      </c>
      <c r="S72" t="e">
        <f t="shared" ca="1" si="18"/>
        <v>#NAME?</v>
      </c>
      <c r="T72" t="e">
        <f t="shared" ca="1" si="18"/>
        <v>#NAME?</v>
      </c>
      <c r="U72" t="e">
        <f t="shared" ca="1" si="15"/>
        <v>#NAME?</v>
      </c>
      <c r="V72" t="e">
        <f t="shared" ca="1" si="15"/>
        <v>#NAME?</v>
      </c>
      <c r="W72" t="e">
        <f t="shared" ca="1" si="15"/>
        <v>#NAME?</v>
      </c>
      <c r="X72" t="e">
        <f t="shared" ca="1" si="15"/>
        <v>#NAME?</v>
      </c>
      <c r="Z72" s="24">
        <v>1</v>
      </c>
    </row>
    <row r="73" spans="1:26" ht="15" customHeight="1">
      <c r="A73" s="22" t="s">
        <v>143</v>
      </c>
      <c r="B73" s="25"/>
      <c r="C73" s="25"/>
      <c r="D73" s="25" t="s">
        <v>141</v>
      </c>
      <c r="E73" s="120" t="s">
        <v>116</v>
      </c>
      <c r="F73" s="28" t="s">
        <v>115</v>
      </c>
      <c r="G73" s="121" t="s">
        <v>116</v>
      </c>
      <c r="H73" s="25"/>
      <c r="J73" t="e">
        <f t="shared" ca="1" si="17"/>
        <v>#NAME?</v>
      </c>
      <c r="K73" t="e">
        <f t="shared" ca="1" si="17"/>
        <v>#NAME?</v>
      </c>
      <c r="L73" t="e">
        <f t="shared" ca="1" si="17"/>
        <v>#NAME?</v>
      </c>
      <c r="M73" t="e">
        <f t="shared" ca="1" si="17"/>
        <v>#NAME?</v>
      </c>
      <c r="N73" t="e">
        <f t="shared" ca="1" si="17"/>
        <v>#NAME?</v>
      </c>
      <c r="O73" t="e">
        <f t="shared" ca="1" si="17"/>
        <v>#NAME?</v>
      </c>
      <c r="P73" t="e">
        <f t="shared" ca="1" si="17"/>
        <v>#NAME?</v>
      </c>
      <c r="R73" t="e">
        <f t="shared" ca="1" si="18"/>
        <v>#NAME?</v>
      </c>
      <c r="S73" t="e">
        <f t="shared" ca="1" si="18"/>
        <v>#NAME?</v>
      </c>
      <c r="T73" t="e">
        <f t="shared" ca="1" si="18"/>
        <v>#NAME?</v>
      </c>
      <c r="U73" t="e">
        <f t="shared" ca="1" si="18"/>
        <v>#NAME?</v>
      </c>
      <c r="V73" t="e">
        <f t="shared" ca="1" si="18"/>
        <v>#NAME?</v>
      </c>
      <c r="W73" t="e">
        <f t="shared" ca="1" si="18"/>
        <v>#NAME?</v>
      </c>
      <c r="X73" t="e">
        <f t="shared" ca="1" si="18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152</v>
      </c>
      <c r="G74" s="25" t="s">
        <v>123</v>
      </c>
      <c r="H74" s="25" t="s">
        <v>152</v>
      </c>
      <c r="J74" t="e">
        <f t="shared" ca="1" si="17"/>
        <v>#NAME?</v>
      </c>
      <c r="K74" t="e">
        <f t="shared" ca="1" si="17"/>
        <v>#NAME?</v>
      </c>
      <c r="L74" t="e">
        <f t="shared" ca="1" si="17"/>
        <v>#NAME?</v>
      </c>
      <c r="M74" t="e">
        <f t="shared" ca="1" si="17"/>
        <v>#NAME?</v>
      </c>
      <c r="N74" t="e">
        <f t="shared" ca="1" si="17"/>
        <v>#NAME?</v>
      </c>
      <c r="O74" t="e">
        <f t="shared" ca="1" si="17"/>
        <v>#NAME?</v>
      </c>
      <c r="P74" t="e">
        <f t="shared" ca="1" si="17"/>
        <v>#NAME?</v>
      </c>
      <c r="R74" t="e">
        <f t="shared" ca="1" si="18"/>
        <v>#NAME?</v>
      </c>
      <c r="S74" t="e">
        <f t="shared" ca="1" si="18"/>
        <v>#NAME?</v>
      </c>
      <c r="T74" t="e">
        <f t="shared" ca="1" si="18"/>
        <v>#NAME?</v>
      </c>
      <c r="U74" t="e">
        <f t="shared" ca="1" si="18"/>
        <v>#NAME?</v>
      </c>
      <c r="V74" t="e">
        <f t="shared" ca="1" si="18"/>
        <v>#NAME?</v>
      </c>
      <c r="W74" t="e">
        <f t="shared" ca="1" si="18"/>
        <v>#NAME?</v>
      </c>
      <c r="X74" t="e">
        <f t="shared" ca="1" si="18"/>
        <v>#NAME?</v>
      </c>
      <c r="Z74" s="24">
        <v>1</v>
      </c>
    </row>
    <row r="75" spans="1:26" ht="26.25">
      <c r="A75" s="106" t="s">
        <v>146</v>
      </c>
      <c r="B75" s="108" t="str">
        <f>B58</f>
        <v>Mon 22 Jun</v>
      </c>
      <c r="C75" s="107" t="str">
        <f>C67</f>
        <v>Tues 23 Jun</v>
      </c>
      <c r="D75" s="108" t="s">
        <v>415</v>
      </c>
      <c r="E75" s="107" t="str">
        <f>E67</f>
        <v>Thu 25 Jun</v>
      </c>
      <c r="F75" s="107" t="str">
        <f>F67</f>
        <v>Fri 26 Jun</v>
      </c>
      <c r="G75" s="107" t="str">
        <f>G67</f>
        <v>Sat 27 Jun</v>
      </c>
      <c r="H75" s="107" t="str">
        <f>H67</f>
        <v>Sun 28 Jun</v>
      </c>
      <c r="J75" t="e">
        <f t="shared" ca="1" si="17"/>
        <v>#NAME?</v>
      </c>
      <c r="K75" t="e">
        <f t="shared" ca="1" si="17"/>
        <v>#NAME?</v>
      </c>
      <c r="L75" t="e">
        <f t="shared" ca="1" si="17"/>
        <v>#NAME?</v>
      </c>
      <c r="M75" t="e">
        <f t="shared" ca="1" si="17"/>
        <v>#NAME?</v>
      </c>
      <c r="N75" t="e">
        <f t="shared" ca="1" si="17"/>
        <v>#NAME?</v>
      </c>
      <c r="O75" t="e">
        <f t="shared" ca="1" si="17"/>
        <v>#NAME?</v>
      </c>
      <c r="P75" t="e">
        <f t="shared" ca="1" si="17"/>
        <v>#NAME?</v>
      </c>
      <c r="R75" t="e">
        <f t="shared" ca="1" si="18"/>
        <v>#NAME?</v>
      </c>
      <c r="S75" t="e">
        <f t="shared" ca="1" si="18"/>
        <v>#NAME?</v>
      </c>
      <c r="T75" t="e">
        <f t="shared" ca="1" si="18"/>
        <v>#NAME?</v>
      </c>
      <c r="U75" t="e">
        <f t="shared" ca="1" si="18"/>
        <v>#NAME?</v>
      </c>
      <c r="V75" t="e">
        <f t="shared" ca="1" si="18"/>
        <v>#NAME?</v>
      </c>
      <c r="W75" t="e">
        <f t="shared" ca="1" si="18"/>
        <v>#NAME?</v>
      </c>
      <c r="X75" t="e">
        <f t="shared" ca="1" si="18"/>
        <v>#NAME?</v>
      </c>
      <c r="Z75" s="53">
        <f>SUM(Z68:Z74)</f>
        <v>6</v>
      </c>
    </row>
    <row r="76" spans="1:26" ht="15" customHeight="1">
      <c r="A76" s="22" t="s">
        <v>147</v>
      </c>
      <c r="B76" s="25" t="s">
        <v>152</v>
      </c>
      <c r="C76" s="25"/>
      <c r="D76" s="25" t="s">
        <v>141</v>
      </c>
      <c r="E76" s="25"/>
      <c r="F76" s="25"/>
      <c r="G76" s="28" t="s">
        <v>115</v>
      </c>
      <c r="H76" s="121" t="s">
        <v>116</v>
      </c>
      <c r="J76" t="e">
        <f t="shared" ca="1" si="17"/>
        <v>#NAME?</v>
      </c>
      <c r="K76" t="e">
        <f t="shared" ca="1" si="17"/>
        <v>#NAME?</v>
      </c>
      <c r="L76" t="e">
        <f t="shared" ca="1" si="17"/>
        <v>#NAME?</v>
      </c>
      <c r="M76" t="e">
        <f t="shared" ca="1" si="17"/>
        <v>#NAME?</v>
      </c>
      <c r="N76" t="e">
        <f t="shared" ca="1" si="17"/>
        <v>#NAME?</v>
      </c>
      <c r="O76" t="e">
        <f t="shared" ca="1" si="17"/>
        <v>#NAME?</v>
      </c>
      <c r="P76" t="e">
        <f t="shared" ca="1" si="17"/>
        <v>#NAME?</v>
      </c>
      <c r="R76" t="e">
        <f t="shared" ca="1" si="18"/>
        <v>#NAME?</v>
      </c>
      <c r="S76" t="e">
        <f t="shared" ca="1" si="18"/>
        <v>#NAME?</v>
      </c>
      <c r="T76" t="e">
        <f t="shared" ca="1" si="18"/>
        <v>#NAME?</v>
      </c>
      <c r="U76" t="e">
        <f t="shared" ca="1" si="18"/>
        <v>#NAME?</v>
      </c>
      <c r="V76" t="e">
        <f t="shared" ca="1" si="18"/>
        <v>#NAME?</v>
      </c>
      <c r="W76" t="e">
        <f t="shared" ca="1" si="18"/>
        <v>#NAME?</v>
      </c>
      <c r="X76" t="e">
        <f t="shared" ca="1" si="18"/>
        <v>#NAME?</v>
      </c>
      <c r="Z76" s="24">
        <v>1</v>
      </c>
    </row>
    <row r="77" spans="1:26" ht="15" customHeight="1">
      <c r="A77" s="22" t="s">
        <v>151</v>
      </c>
      <c r="B77" s="127" t="s">
        <v>18</v>
      </c>
      <c r="C77" s="128"/>
      <c r="D77" s="128"/>
      <c r="E77" s="128"/>
      <c r="F77" s="128"/>
      <c r="G77" s="128"/>
      <c r="H77" s="129"/>
      <c r="J77" t="e">
        <f t="shared" ca="1" si="17"/>
        <v>#NAME?</v>
      </c>
      <c r="K77" t="e">
        <f t="shared" ca="1" si="17"/>
        <v>#NAME?</v>
      </c>
      <c r="L77" t="e">
        <f t="shared" ca="1" si="17"/>
        <v>#NAME?</v>
      </c>
      <c r="M77" t="e">
        <f t="shared" ca="1" si="17"/>
        <v>#NAME?</v>
      </c>
      <c r="N77" t="e">
        <f t="shared" ca="1" si="17"/>
        <v>#NAME?</v>
      </c>
      <c r="O77" t="e">
        <f t="shared" ca="1" si="17"/>
        <v>#NAME?</v>
      </c>
      <c r="P77" t="e">
        <f t="shared" ca="1" si="17"/>
        <v>#NAME?</v>
      </c>
      <c r="R77" t="e">
        <f t="shared" ca="1" si="18"/>
        <v>#NAME?</v>
      </c>
      <c r="S77" t="e">
        <f t="shared" ca="1" si="18"/>
        <v>#NAME?</v>
      </c>
      <c r="T77" t="e">
        <f t="shared" ca="1" si="18"/>
        <v>#NAME?</v>
      </c>
      <c r="U77" t="e">
        <f t="shared" ca="1" si="18"/>
        <v>#NAME?</v>
      </c>
      <c r="V77" t="e">
        <f t="shared" ca="1" si="18"/>
        <v>#NAME?</v>
      </c>
      <c r="W77" t="e">
        <f t="shared" ca="1" si="18"/>
        <v>#NAME?</v>
      </c>
      <c r="X77" t="e">
        <f t="shared" ca="1" si="18"/>
        <v>#NAME?</v>
      </c>
      <c r="Z77" s="15">
        <v>1</v>
      </c>
    </row>
    <row r="78" spans="1:26" ht="15" customHeight="1">
      <c r="A78" s="22" t="s">
        <v>153</v>
      </c>
      <c r="B78" s="25"/>
      <c r="C78" s="121" t="s">
        <v>118</v>
      </c>
      <c r="D78" s="25" t="s">
        <v>141</v>
      </c>
      <c r="E78" s="25"/>
      <c r="F78" s="25"/>
      <c r="G78" s="25"/>
      <c r="H78" s="25" t="s">
        <v>152</v>
      </c>
      <c r="J78" t="e">
        <f t="shared" ca="1" si="17"/>
        <v>#NAME?</v>
      </c>
      <c r="K78" t="e">
        <f t="shared" ca="1" si="17"/>
        <v>#NAME?</v>
      </c>
      <c r="L78" t="e">
        <f t="shared" ca="1" si="17"/>
        <v>#NAME?</v>
      </c>
      <c r="M78" t="e">
        <f t="shared" ca="1" si="17"/>
        <v>#NAME?</v>
      </c>
      <c r="N78" t="e">
        <f t="shared" ca="1" si="17"/>
        <v>#NAME?</v>
      </c>
      <c r="O78" t="e">
        <f t="shared" ca="1" si="17"/>
        <v>#NAME?</v>
      </c>
      <c r="P78" t="e">
        <f t="shared" ca="1" si="17"/>
        <v>#NAME?</v>
      </c>
      <c r="R78" t="e">
        <f t="shared" ca="1" si="18"/>
        <v>#NAME?</v>
      </c>
      <c r="S78" t="e">
        <f t="shared" ca="1" si="18"/>
        <v>#NAME?</v>
      </c>
      <c r="T78" t="e">
        <f t="shared" ca="1" si="18"/>
        <v>#NAME?</v>
      </c>
      <c r="U78" t="e">
        <f t="shared" ca="1" si="18"/>
        <v>#NAME?</v>
      </c>
      <c r="V78" t="e">
        <f t="shared" ca="1" si="18"/>
        <v>#NAME?</v>
      </c>
      <c r="W78" t="e">
        <f t="shared" ca="1" si="18"/>
        <v>#NAME?</v>
      </c>
      <c r="X78" t="e">
        <f t="shared" ca="1" si="18"/>
        <v>#NAME?</v>
      </c>
      <c r="Z78" s="15">
        <v>0.5</v>
      </c>
    </row>
    <row r="79" spans="1:26">
      <c r="A79" s="22" t="s">
        <v>154</v>
      </c>
      <c r="B79" s="25"/>
      <c r="C79" s="25"/>
      <c r="D79" s="25" t="s">
        <v>141</v>
      </c>
      <c r="E79" s="28" t="s">
        <v>119</v>
      </c>
      <c r="F79" s="110" t="s">
        <v>142</v>
      </c>
      <c r="G79" s="120" t="s">
        <v>116</v>
      </c>
      <c r="H79" s="28" t="s">
        <v>115</v>
      </c>
      <c r="J79" t="e">
        <f t="shared" ref="J79:P97" ca="1" si="20">colorindex(B79)</f>
        <v>#NAME?</v>
      </c>
      <c r="K79" t="e">
        <f t="shared" ca="1" si="20"/>
        <v>#NAME?</v>
      </c>
      <c r="L79" t="e">
        <f t="shared" ca="1" si="20"/>
        <v>#NAME?</v>
      </c>
      <c r="M79" t="e">
        <f t="shared" ca="1" si="20"/>
        <v>#NAME?</v>
      </c>
      <c r="N79" t="e">
        <f t="shared" ca="1" si="20"/>
        <v>#NAME?</v>
      </c>
      <c r="O79" t="e">
        <f t="shared" ca="1" si="20"/>
        <v>#NAME?</v>
      </c>
      <c r="P79" t="e">
        <f t="shared" ca="1" si="20"/>
        <v>#NAME?</v>
      </c>
      <c r="R79" t="e">
        <f t="shared" ref="R79:X97" ca="1" si="21">ShiftIndex(B79)</f>
        <v>#NAME?</v>
      </c>
      <c r="S79" t="e">
        <f t="shared" ca="1" si="21"/>
        <v>#NAME?</v>
      </c>
      <c r="T79" t="e">
        <f t="shared" ca="1" si="21"/>
        <v>#NAME?</v>
      </c>
      <c r="U79" t="e">
        <f t="shared" ca="1" si="21"/>
        <v>#NAME?</v>
      </c>
      <c r="V79" t="e">
        <f t="shared" ca="1" si="21"/>
        <v>#NAME?</v>
      </c>
      <c r="W79" t="e">
        <f t="shared" ca="1" si="21"/>
        <v>#NAME?</v>
      </c>
      <c r="X79" t="e">
        <f t="shared" ca="1" si="21"/>
        <v>#NAME?</v>
      </c>
      <c r="Z79" s="15">
        <v>1</v>
      </c>
    </row>
    <row r="80" spans="1:26">
      <c r="A80" s="22" t="s">
        <v>155</v>
      </c>
      <c r="B80" s="25"/>
      <c r="C80" s="28" t="s">
        <v>115</v>
      </c>
      <c r="D80" s="25"/>
      <c r="E80" s="25"/>
      <c r="F80" s="25"/>
      <c r="G80" s="25"/>
      <c r="H80" s="121" t="s">
        <v>118</v>
      </c>
      <c r="J80" t="e">
        <f t="shared" ca="1" si="20"/>
        <v>#NAME?</v>
      </c>
      <c r="K80" t="e">
        <f t="shared" ca="1" si="20"/>
        <v>#NAME?</v>
      </c>
      <c r="L80" t="e">
        <f t="shared" ca="1" si="20"/>
        <v>#NAME?</v>
      </c>
      <c r="M80" t="e">
        <f t="shared" ca="1" si="20"/>
        <v>#NAME?</v>
      </c>
      <c r="N80" t="e">
        <f t="shared" ca="1" si="20"/>
        <v>#NAME?</v>
      </c>
      <c r="O80" t="e">
        <f t="shared" ca="1" si="20"/>
        <v>#NAME?</v>
      </c>
      <c r="P80" t="e">
        <f t="shared" ca="1" si="20"/>
        <v>#NAME?</v>
      </c>
      <c r="R80" t="e">
        <f t="shared" ca="1" si="21"/>
        <v>#NAME?</v>
      </c>
      <c r="S80" t="e">
        <f t="shared" ca="1" si="21"/>
        <v>#NAME?</v>
      </c>
      <c r="T80" t="e">
        <f t="shared" ca="1" si="21"/>
        <v>#NAME?</v>
      </c>
      <c r="U80" t="e">
        <f t="shared" ca="1" si="21"/>
        <v>#NAME?</v>
      </c>
      <c r="V80" t="e">
        <f t="shared" ca="1" si="21"/>
        <v>#NAME?</v>
      </c>
      <c r="W80" t="e">
        <f t="shared" ca="1" si="21"/>
        <v>#NAME?</v>
      </c>
      <c r="X80" t="e">
        <f t="shared" ca="1" si="21"/>
        <v>#NAME?</v>
      </c>
      <c r="Z80" s="15">
        <v>0.5</v>
      </c>
    </row>
    <row r="81" spans="1:26" ht="15" customHeight="1">
      <c r="A81" s="22" t="s">
        <v>156</v>
      </c>
      <c r="B81" s="120" t="s">
        <v>118</v>
      </c>
      <c r="C81" s="120" t="s">
        <v>116</v>
      </c>
      <c r="D81" s="121" t="s">
        <v>116</v>
      </c>
      <c r="E81" s="25"/>
      <c r="F81" s="120" t="s">
        <v>116</v>
      </c>
      <c r="G81" s="25"/>
      <c r="H81" s="25"/>
      <c r="J81" t="e">
        <f t="shared" ca="1" si="20"/>
        <v>#NAME?</v>
      </c>
      <c r="K81" t="e">
        <f t="shared" ca="1" si="20"/>
        <v>#NAME?</v>
      </c>
      <c r="L81" t="e">
        <f t="shared" ca="1" si="20"/>
        <v>#NAME?</v>
      </c>
      <c r="M81" t="e">
        <f t="shared" ca="1" si="20"/>
        <v>#NAME?</v>
      </c>
      <c r="N81" t="e">
        <f t="shared" ca="1" si="20"/>
        <v>#NAME?</v>
      </c>
      <c r="O81" t="e">
        <f t="shared" ca="1" si="20"/>
        <v>#NAME?</v>
      </c>
      <c r="P81" t="e">
        <f t="shared" ca="1" si="20"/>
        <v>#NAME?</v>
      </c>
      <c r="R81" t="e">
        <f t="shared" ca="1" si="21"/>
        <v>#NAME?</v>
      </c>
      <c r="S81" t="e">
        <f t="shared" ca="1" si="21"/>
        <v>#NAME?</v>
      </c>
      <c r="T81" t="e">
        <f t="shared" ca="1" si="21"/>
        <v>#NAME?</v>
      </c>
      <c r="U81" t="e">
        <f t="shared" ca="1" si="21"/>
        <v>#NAME?</v>
      </c>
      <c r="V81" t="e">
        <f t="shared" ca="1" si="21"/>
        <v>#NAME?</v>
      </c>
      <c r="W81" t="e">
        <f t="shared" ca="1" si="21"/>
        <v>#NAME?</v>
      </c>
      <c r="X81" t="e">
        <f t="shared" ca="1" si="21"/>
        <v>#NAME?</v>
      </c>
      <c r="Z81" s="15">
        <v>1</v>
      </c>
    </row>
    <row r="82" spans="1:26" ht="15" customHeight="1">
      <c r="A82" s="22" t="s">
        <v>158</v>
      </c>
      <c r="B82" s="120" t="s">
        <v>116</v>
      </c>
      <c r="C82" s="25" t="s">
        <v>152</v>
      </c>
      <c r="D82" s="25" t="s">
        <v>152</v>
      </c>
      <c r="E82" s="25" t="s">
        <v>152</v>
      </c>
      <c r="F82" s="25"/>
      <c r="G82" s="25"/>
      <c r="H82" s="120" t="s">
        <v>116</v>
      </c>
      <c r="J82" t="e">
        <f t="shared" ca="1" si="20"/>
        <v>#NAME?</v>
      </c>
      <c r="K82" t="e">
        <f t="shared" ca="1" si="20"/>
        <v>#NAME?</v>
      </c>
      <c r="L82" t="e">
        <f t="shared" ca="1" si="20"/>
        <v>#NAME?</v>
      </c>
      <c r="M82" t="e">
        <f t="shared" ca="1" si="20"/>
        <v>#NAME?</v>
      </c>
      <c r="N82" t="e">
        <f t="shared" ca="1" si="20"/>
        <v>#NAME?</v>
      </c>
      <c r="O82" t="e">
        <f t="shared" ca="1" si="20"/>
        <v>#NAME?</v>
      </c>
      <c r="P82" t="e">
        <f t="shared" ca="1" si="20"/>
        <v>#NAME?</v>
      </c>
      <c r="R82" t="e">
        <f t="shared" ca="1" si="21"/>
        <v>#NAME?</v>
      </c>
      <c r="S82" t="e">
        <f t="shared" ca="1" si="21"/>
        <v>#NAME?</v>
      </c>
      <c r="T82" t="e">
        <f t="shared" ca="1" si="21"/>
        <v>#NAME?</v>
      </c>
      <c r="U82" t="e">
        <f t="shared" ca="1" si="21"/>
        <v>#NAME?</v>
      </c>
      <c r="V82" t="e">
        <f t="shared" ca="1" si="21"/>
        <v>#NAME?</v>
      </c>
      <c r="W82" t="e">
        <f t="shared" ca="1" si="21"/>
        <v>#NAME?</v>
      </c>
      <c r="X82" t="e">
        <f t="shared" ca="1" si="21"/>
        <v>#NAME?</v>
      </c>
      <c r="Z82" s="15">
        <v>1</v>
      </c>
    </row>
    <row r="83" spans="1:26" ht="15" customHeight="1">
      <c r="A83" s="22" t="s">
        <v>159</v>
      </c>
      <c r="B83" s="110" t="s">
        <v>139</v>
      </c>
      <c r="C83" s="25" t="s">
        <v>152</v>
      </c>
      <c r="D83" s="25" t="s">
        <v>152</v>
      </c>
      <c r="E83" s="25" t="s">
        <v>152</v>
      </c>
      <c r="F83" s="25"/>
      <c r="G83" s="25"/>
      <c r="H83" s="120" t="s">
        <v>116</v>
      </c>
      <c r="J83" t="e">
        <f t="shared" ca="1" si="20"/>
        <v>#NAME?</v>
      </c>
      <c r="K83" t="e">
        <f t="shared" ca="1" si="20"/>
        <v>#NAME?</v>
      </c>
      <c r="L83" t="e">
        <f t="shared" ca="1" si="20"/>
        <v>#NAME?</v>
      </c>
      <c r="M83" t="e">
        <f t="shared" ca="1" si="20"/>
        <v>#NAME?</v>
      </c>
      <c r="N83" t="e">
        <f t="shared" ca="1" si="20"/>
        <v>#NAME?</v>
      </c>
      <c r="O83" t="e">
        <f t="shared" ca="1" si="20"/>
        <v>#NAME?</v>
      </c>
      <c r="P83" t="e">
        <f t="shared" ca="1" si="20"/>
        <v>#NAME?</v>
      </c>
      <c r="R83" t="e">
        <f t="shared" ca="1" si="21"/>
        <v>#NAME?</v>
      </c>
      <c r="S83" t="e">
        <f t="shared" ca="1" si="21"/>
        <v>#NAME?</v>
      </c>
      <c r="T83" t="e">
        <f t="shared" ca="1" si="21"/>
        <v>#NAME?</v>
      </c>
      <c r="U83" t="e">
        <f t="shared" ca="1" si="21"/>
        <v>#NAME?</v>
      </c>
      <c r="V83" t="e">
        <f t="shared" ca="1" si="21"/>
        <v>#NAME?</v>
      </c>
      <c r="W83" t="e">
        <f t="shared" ca="1" si="21"/>
        <v>#NAME?</v>
      </c>
      <c r="X83" t="e">
        <f t="shared" ca="1" si="21"/>
        <v>#NAME?</v>
      </c>
      <c r="Z83" s="15">
        <v>1</v>
      </c>
    </row>
    <row r="84" spans="1:26" ht="15" customHeight="1">
      <c r="A84" s="22" t="s">
        <v>160</v>
      </c>
      <c r="B84" s="127" t="s">
        <v>18</v>
      </c>
      <c r="C84" s="128"/>
      <c r="D84" s="128"/>
      <c r="E84" s="128"/>
      <c r="F84" s="128"/>
      <c r="G84" s="128"/>
      <c r="H84" s="129"/>
      <c r="J84" t="e">
        <f t="shared" ca="1" si="20"/>
        <v>#NAME?</v>
      </c>
      <c r="K84" t="e">
        <f t="shared" ca="1" si="20"/>
        <v>#NAME?</v>
      </c>
      <c r="L84" t="e">
        <f t="shared" ca="1" si="20"/>
        <v>#NAME?</v>
      </c>
      <c r="M84" t="e">
        <f t="shared" ca="1" si="20"/>
        <v>#NAME?</v>
      </c>
      <c r="N84" t="e">
        <f t="shared" ca="1" si="20"/>
        <v>#NAME?</v>
      </c>
      <c r="O84" t="e">
        <f t="shared" ca="1" si="20"/>
        <v>#NAME?</v>
      </c>
      <c r="P84" t="e">
        <f t="shared" ca="1" si="20"/>
        <v>#NAME?</v>
      </c>
      <c r="R84" t="e">
        <f t="shared" ca="1" si="21"/>
        <v>#NAME?</v>
      </c>
      <c r="S84" t="e">
        <f t="shared" ca="1" si="21"/>
        <v>#NAME?</v>
      </c>
      <c r="T84" t="e">
        <f t="shared" ca="1" si="21"/>
        <v>#NAME?</v>
      </c>
      <c r="U84" t="e">
        <f t="shared" ca="1" si="21"/>
        <v>#NAME?</v>
      </c>
      <c r="V84" t="e">
        <f t="shared" ca="1" si="21"/>
        <v>#NAME?</v>
      </c>
      <c r="W84" t="e">
        <f t="shared" ca="1" si="21"/>
        <v>#NAME?</v>
      </c>
      <c r="X84" t="e">
        <f t="shared" ca="1" si="21"/>
        <v>#NAME?</v>
      </c>
      <c r="Z84" s="15">
        <v>1</v>
      </c>
    </row>
    <row r="85" spans="1:26">
      <c r="A85" s="22" t="s">
        <v>161</v>
      </c>
      <c r="B85" s="25"/>
      <c r="C85" s="28" t="s">
        <v>119</v>
      </c>
      <c r="D85" s="25" t="s">
        <v>141</v>
      </c>
      <c r="E85" s="25"/>
      <c r="F85" s="25"/>
      <c r="G85" s="25"/>
      <c r="H85" s="25"/>
      <c r="J85" t="e">
        <f t="shared" ca="1" si="20"/>
        <v>#NAME?</v>
      </c>
      <c r="K85" t="e">
        <f t="shared" ca="1" si="20"/>
        <v>#NAME?</v>
      </c>
      <c r="L85" t="e">
        <f t="shared" ca="1" si="20"/>
        <v>#NAME?</v>
      </c>
      <c r="M85" t="e">
        <f t="shared" ca="1" si="20"/>
        <v>#NAME?</v>
      </c>
      <c r="N85" t="e">
        <f t="shared" ca="1" si="20"/>
        <v>#NAME?</v>
      </c>
      <c r="O85" t="e">
        <f t="shared" ca="1" si="20"/>
        <v>#NAME?</v>
      </c>
      <c r="P85" t="e">
        <f t="shared" ca="1" si="20"/>
        <v>#NAME?</v>
      </c>
      <c r="R85" t="e">
        <f t="shared" ca="1" si="21"/>
        <v>#NAME?</v>
      </c>
      <c r="S85" t="e">
        <f t="shared" ca="1" si="21"/>
        <v>#NAME?</v>
      </c>
      <c r="T85" t="e">
        <f t="shared" ca="1" si="21"/>
        <v>#NAME?</v>
      </c>
      <c r="U85" t="e">
        <f t="shared" ca="1" si="21"/>
        <v>#NAME?</v>
      </c>
      <c r="V85" t="e">
        <f t="shared" ca="1" si="21"/>
        <v>#NAME?</v>
      </c>
      <c r="W85" t="e">
        <f t="shared" ca="1" si="21"/>
        <v>#NAME?</v>
      </c>
      <c r="X85" t="e">
        <f t="shared" ca="1" si="21"/>
        <v>#NAME?</v>
      </c>
      <c r="Z85" s="15">
        <v>0.25</v>
      </c>
    </row>
    <row r="86" spans="1:26">
      <c r="A86" s="22" t="s">
        <v>162</v>
      </c>
      <c r="B86" s="121" t="s">
        <v>118</v>
      </c>
      <c r="C86" s="110" t="s">
        <v>142</v>
      </c>
      <c r="D86" s="121" t="s">
        <v>116</v>
      </c>
      <c r="E86" s="25"/>
      <c r="F86" s="28" t="s">
        <v>119</v>
      </c>
      <c r="G86" s="25"/>
      <c r="H86" s="25"/>
      <c r="J86" t="e">
        <f t="shared" ca="1" si="20"/>
        <v>#NAME?</v>
      </c>
      <c r="K86" t="e">
        <f t="shared" ca="1" si="20"/>
        <v>#NAME?</v>
      </c>
      <c r="L86" t="e">
        <f t="shared" ca="1" si="20"/>
        <v>#NAME?</v>
      </c>
      <c r="M86" t="e">
        <f t="shared" ca="1" si="20"/>
        <v>#NAME?</v>
      </c>
      <c r="N86" t="e">
        <f t="shared" ca="1" si="20"/>
        <v>#NAME?</v>
      </c>
      <c r="O86" t="e">
        <f t="shared" ca="1" si="20"/>
        <v>#NAME?</v>
      </c>
      <c r="P86" t="e">
        <f t="shared" ca="1" si="20"/>
        <v>#NAME?</v>
      </c>
      <c r="R86" t="e">
        <f t="shared" ca="1" si="21"/>
        <v>#NAME?</v>
      </c>
      <c r="S86" t="e">
        <f t="shared" ca="1" si="21"/>
        <v>#NAME?</v>
      </c>
      <c r="T86" t="e">
        <f t="shared" ca="1" si="21"/>
        <v>#NAME?</v>
      </c>
      <c r="U86" t="e">
        <f t="shared" ca="1" si="21"/>
        <v>#NAME?</v>
      </c>
      <c r="V86" t="e">
        <f t="shared" ca="1" si="21"/>
        <v>#NAME?</v>
      </c>
      <c r="W86" t="e">
        <f t="shared" ca="1" si="21"/>
        <v>#NAME?</v>
      </c>
      <c r="X86" t="e">
        <f t="shared" ca="1" si="21"/>
        <v>#NAME?</v>
      </c>
      <c r="Z86" s="15">
        <v>1</v>
      </c>
    </row>
    <row r="87" spans="1:26" ht="15" customHeight="1">
      <c r="A87" s="22" t="s">
        <v>163</v>
      </c>
      <c r="B87" s="25"/>
      <c r="C87" s="25"/>
      <c r="D87" s="25" t="s">
        <v>141</v>
      </c>
      <c r="E87" s="28" t="s">
        <v>115</v>
      </c>
      <c r="F87" s="25" t="s">
        <v>152</v>
      </c>
      <c r="G87" s="25" t="s">
        <v>152</v>
      </c>
      <c r="H87" s="25" t="s">
        <v>152</v>
      </c>
      <c r="J87" t="e">
        <f t="shared" ca="1" si="20"/>
        <v>#NAME?</v>
      </c>
      <c r="K87" t="e">
        <f t="shared" ca="1" si="20"/>
        <v>#NAME?</v>
      </c>
      <c r="L87" t="e">
        <f t="shared" ca="1" si="20"/>
        <v>#NAME?</v>
      </c>
      <c r="M87" t="e">
        <f t="shared" ca="1" si="20"/>
        <v>#NAME?</v>
      </c>
      <c r="N87" t="e">
        <f t="shared" ca="1" si="20"/>
        <v>#NAME?</v>
      </c>
      <c r="O87" t="e">
        <f t="shared" ca="1" si="20"/>
        <v>#NAME?</v>
      </c>
      <c r="P87" t="e">
        <f t="shared" ca="1" si="20"/>
        <v>#NAME?</v>
      </c>
      <c r="R87" t="e">
        <f t="shared" ca="1" si="21"/>
        <v>#NAME?</v>
      </c>
      <c r="S87" t="e">
        <f t="shared" ca="1" si="21"/>
        <v>#NAME?</v>
      </c>
      <c r="T87" t="e">
        <f t="shared" ca="1" si="21"/>
        <v>#NAME?</v>
      </c>
      <c r="U87" t="e">
        <f t="shared" ca="1" si="21"/>
        <v>#NAME?</v>
      </c>
      <c r="V87" t="e">
        <f t="shared" ca="1" si="21"/>
        <v>#NAME?</v>
      </c>
      <c r="W87" t="e">
        <f t="shared" ca="1" si="21"/>
        <v>#NAME?</v>
      </c>
      <c r="X87" t="e">
        <f t="shared" ca="1" si="21"/>
        <v>#NAME?</v>
      </c>
      <c r="Z87" s="15">
        <v>1</v>
      </c>
    </row>
    <row r="88" spans="1:26" ht="15" customHeight="1">
      <c r="A88" s="22" t="s">
        <v>164</v>
      </c>
      <c r="B88" s="25"/>
      <c r="C88" s="121" t="s">
        <v>116</v>
      </c>
      <c r="D88" s="28" t="s">
        <v>115</v>
      </c>
      <c r="E88" s="25"/>
      <c r="F88" s="28" t="s">
        <v>115</v>
      </c>
      <c r="G88" s="121" t="s">
        <v>116</v>
      </c>
      <c r="H88" s="25"/>
      <c r="J88" t="e">
        <f t="shared" ca="1" si="20"/>
        <v>#NAME?</v>
      </c>
      <c r="K88" t="e">
        <f t="shared" ca="1" si="20"/>
        <v>#NAME?</v>
      </c>
      <c r="L88" t="e">
        <f t="shared" ca="1" si="20"/>
        <v>#NAME?</v>
      </c>
      <c r="M88" t="e">
        <f t="shared" ca="1" si="20"/>
        <v>#NAME?</v>
      </c>
      <c r="N88" t="e">
        <f t="shared" ca="1" si="20"/>
        <v>#NAME?</v>
      </c>
      <c r="O88" t="e">
        <f t="shared" ca="1" si="20"/>
        <v>#NAME?</v>
      </c>
      <c r="P88" t="e">
        <f t="shared" ca="1" si="20"/>
        <v>#NAME?</v>
      </c>
      <c r="R88" t="e">
        <f t="shared" ca="1" si="21"/>
        <v>#NAME?</v>
      </c>
      <c r="S88" t="e">
        <f t="shared" ca="1" si="21"/>
        <v>#NAME?</v>
      </c>
      <c r="T88" t="e">
        <f t="shared" ca="1" si="21"/>
        <v>#NAME?</v>
      </c>
      <c r="U88" t="e">
        <f t="shared" ca="1" si="21"/>
        <v>#NAME?</v>
      </c>
      <c r="V88" t="e">
        <f t="shared" ca="1" si="21"/>
        <v>#NAME?</v>
      </c>
      <c r="W88" t="e">
        <f t="shared" ca="1" si="21"/>
        <v>#NAME?</v>
      </c>
      <c r="X88" t="e">
        <f t="shared" ca="1" si="21"/>
        <v>#NAME?</v>
      </c>
      <c r="Z88" s="15">
        <v>0.75</v>
      </c>
    </row>
    <row r="89" spans="1:26" ht="15" customHeight="1">
      <c r="A89" s="22" t="s">
        <v>167</v>
      </c>
      <c r="B89" s="110" t="s">
        <v>142</v>
      </c>
      <c r="C89" s="25"/>
      <c r="D89" s="25" t="s">
        <v>141</v>
      </c>
      <c r="E89" s="110" t="s">
        <v>142</v>
      </c>
      <c r="F89" s="121" t="s">
        <v>116</v>
      </c>
      <c r="G89" s="25"/>
      <c r="H89" s="121" t="s">
        <v>116</v>
      </c>
      <c r="J89" t="e">
        <f t="shared" ca="1" si="20"/>
        <v>#NAME?</v>
      </c>
      <c r="K89" t="e">
        <f t="shared" ca="1" si="20"/>
        <v>#NAME?</v>
      </c>
      <c r="L89" t="e">
        <f t="shared" ca="1" si="20"/>
        <v>#NAME?</v>
      </c>
      <c r="M89" t="e">
        <f t="shared" ca="1" si="20"/>
        <v>#NAME?</v>
      </c>
      <c r="N89" t="e">
        <f t="shared" ca="1" si="20"/>
        <v>#NAME?</v>
      </c>
      <c r="O89" t="e">
        <f t="shared" ca="1" si="20"/>
        <v>#NAME?</v>
      </c>
      <c r="P89" t="e">
        <f t="shared" ca="1" si="20"/>
        <v>#NAME?</v>
      </c>
      <c r="R89" t="e">
        <f t="shared" ca="1" si="21"/>
        <v>#NAME?</v>
      </c>
      <c r="S89" t="e">
        <f t="shared" ca="1" si="21"/>
        <v>#NAME?</v>
      </c>
      <c r="T89" t="e">
        <f t="shared" ca="1" si="21"/>
        <v>#NAME?</v>
      </c>
      <c r="U89" t="e">
        <f t="shared" ca="1" si="21"/>
        <v>#NAME?</v>
      </c>
      <c r="V89" t="e">
        <f t="shared" ca="1" si="21"/>
        <v>#NAME?</v>
      </c>
      <c r="W89" t="e">
        <f t="shared" ca="1" si="21"/>
        <v>#NAME?</v>
      </c>
      <c r="X89" t="e">
        <f t="shared" ca="1" si="21"/>
        <v>#NAME?</v>
      </c>
      <c r="Z89" s="15">
        <v>0.75</v>
      </c>
    </row>
    <row r="90" spans="1:26" ht="15" customHeight="1">
      <c r="A90" s="22" t="s">
        <v>168</v>
      </c>
      <c r="B90" s="25" t="s">
        <v>152</v>
      </c>
      <c r="C90" s="25" t="s">
        <v>152</v>
      </c>
      <c r="D90" s="25" t="s">
        <v>152</v>
      </c>
      <c r="E90" s="25"/>
      <c r="F90" s="25"/>
      <c r="G90" s="25"/>
      <c r="H90" s="25"/>
      <c r="J90" t="e">
        <f t="shared" ca="1" si="20"/>
        <v>#NAME?</v>
      </c>
      <c r="K90" t="e">
        <f t="shared" ca="1" si="20"/>
        <v>#NAME?</v>
      </c>
      <c r="L90" t="e">
        <f t="shared" ca="1" si="20"/>
        <v>#NAME?</v>
      </c>
      <c r="M90" t="e">
        <f t="shared" ca="1" si="20"/>
        <v>#NAME?</v>
      </c>
      <c r="N90" t="e">
        <f t="shared" ca="1" si="20"/>
        <v>#NAME?</v>
      </c>
      <c r="O90" t="e">
        <f t="shared" ca="1" si="20"/>
        <v>#NAME?</v>
      </c>
      <c r="P90" t="e">
        <f t="shared" ca="1" si="20"/>
        <v>#NAME?</v>
      </c>
      <c r="R90" t="e">
        <f t="shared" ca="1" si="21"/>
        <v>#NAME?</v>
      </c>
      <c r="S90" t="e">
        <f t="shared" ca="1" si="21"/>
        <v>#NAME?</v>
      </c>
      <c r="T90" t="e">
        <f t="shared" ca="1" si="21"/>
        <v>#NAME?</v>
      </c>
      <c r="U90" t="e">
        <f t="shared" ca="1" si="21"/>
        <v>#NAME?</v>
      </c>
      <c r="V90" t="e">
        <f t="shared" ca="1" si="21"/>
        <v>#NAME?</v>
      </c>
      <c r="W90" t="e">
        <f t="shared" ca="1" si="21"/>
        <v>#NAME?</v>
      </c>
      <c r="X90" t="e">
        <f t="shared" ca="1" si="21"/>
        <v>#NAME?</v>
      </c>
      <c r="Z90" s="15">
        <v>1</v>
      </c>
    </row>
    <row r="91" spans="1:26" ht="15" customHeight="1">
      <c r="A91" s="22" t="s">
        <v>169</v>
      </c>
      <c r="B91" s="127" t="s">
        <v>18</v>
      </c>
      <c r="C91" s="128"/>
      <c r="D91" s="128"/>
      <c r="E91" s="128"/>
      <c r="F91" s="128"/>
      <c r="G91" s="128"/>
      <c r="H91" s="129"/>
      <c r="J91" t="e">
        <f t="shared" ca="1" si="20"/>
        <v>#NAME?</v>
      </c>
      <c r="K91" t="e">
        <f t="shared" ca="1" si="20"/>
        <v>#NAME?</v>
      </c>
      <c r="L91" t="e">
        <f t="shared" ca="1" si="20"/>
        <v>#NAME?</v>
      </c>
      <c r="M91" t="e">
        <f t="shared" ca="1" si="20"/>
        <v>#NAME?</v>
      </c>
      <c r="N91" t="e">
        <f t="shared" ca="1" si="20"/>
        <v>#NAME?</v>
      </c>
      <c r="O91" t="e">
        <f t="shared" ca="1" si="20"/>
        <v>#NAME?</v>
      </c>
      <c r="P91" t="e">
        <f t="shared" ca="1" si="20"/>
        <v>#NAME?</v>
      </c>
      <c r="R91" t="e">
        <f t="shared" ca="1" si="21"/>
        <v>#NAME?</v>
      </c>
      <c r="S91" t="e">
        <f t="shared" ca="1" si="21"/>
        <v>#NAME?</v>
      </c>
      <c r="T91" t="e">
        <f t="shared" ca="1" si="21"/>
        <v>#NAME?</v>
      </c>
      <c r="U91" t="e">
        <f t="shared" ca="1" si="21"/>
        <v>#NAME?</v>
      </c>
      <c r="V91" t="e">
        <f t="shared" ca="1" si="21"/>
        <v>#NAME?</v>
      </c>
      <c r="W91" t="e">
        <f t="shared" ca="1" si="21"/>
        <v>#NAME?</v>
      </c>
      <c r="X91" t="e">
        <f t="shared" ca="1" si="21"/>
        <v>#NAME?</v>
      </c>
      <c r="Z91" s="15">
        <v>1</v>
      </c>
    </row>
    <row r="92" spans="1:26" ht="15" customHeight="1">
      <c r="A92" s="22" t="s">
        <v>171</v>
      </c>
      <c r="B92" s="25"/>
      <c r="C92" s="120" t="s">
        <v>118</v>
      </c>
      <c r="D92" s="25" t="s">
        <v>141</v>
      </c>
      <c r="E92" s="25"/>
      <c r="F92" s="120" t="s">
        <v>118</v>
      </c>
      <c r="G92" s="121" t="s">
        <v>118</v>
      </c>
      <c r="H92" s="25"/>
      <c r="J92" t="e">
        <f t="shared" ca="1" si="20"/>
        <v>#NAME?</v>
      </c>
      <c r="K92" t="e">
        <f t="shared" ca="1" si="20"/>
        <v>#NAME?</v>
      </c>
      <c r="L92" t="e">
        <f t="shared" ca="1" si="20"/>
        <v>#NAME?</v>
      </c>
      <c r="M92" t="e">
        <f t="shared" ca="1" si="20"/>
        <v>#NAME?</v>
      </c>
      <c r="N92" t="e">
        <f t="shared" ca="1" si="20"/>
        <v>#NAME?</v>
      </c>
      <c r="O92" t="e">
        <f t="shared" ca="1" si="20"/>
        <v>#NAME?</v>
      </c>
      <c r="P92" t="e">
        <f t="shared" ca="1" si="20"/>
        <v>#NAME?</v>
      </c>
      <c r="R92" t="e">
        <f t="shared" ca="1" si="21"/>
        <v>#NAME?</v>
      </c>
      <c r="S92" t="e">
        <f t="shared" ca="1" si="21"/>
        <v>#NAME?</v>
      </c>
      <c r="T92" t="e">
        <f t="shared" ca="1" si="21"/>
        <v>#NAME?</v>
      </c>
      <c r="U92" t="e">
        <f t="shared" ca="1" si="21"/>
        <v>#NAME?</v>
      </c>
      <c r="V92" t="e">
        <f t="shared" ca="1" si="21"/>
        <v>#NAME?</v>
      </c>
      <c r="W92" t="e">
        <f t="shared" ca="1" si="21"/>
        <v>#NAME?</v>
      </c>
      <c r="X92" t="e">
        <f t="shared" ca="1" si="21"/>
        <v>#NAME?</v>
      </c>
      <c r="Z92" s="15">
        <v>0.75</v>
      </c>
    </row>
    <row r="93" spans="1:26">
      <c r="A93" s="22" t="s">
        <v>174</v>
      </c>
      <c r="B93" s="25"/>
      <c r="C93" s="25"/>
      <c r="D93" s="120" t="s">
        <v>116</v>
      </c>
      <c r="E93" s="110" t="s">
        <v>139</v>
      </c>
      <c r="F93" s="25"/>
      <c r="G93" s="25"/>
      <c r="H93" s="25"/>
      <c r="J93" t="e">
        <f t="shared" ca="1" si="20"/>
        <v>#NAME?</v>
      </c>
      <c r="K93" t="e">
        <f t="shared" ca="1" si="20"/>
        <v>#NAME?</v>
      </c>
      <c r="L93" t="e">
        <f t="shared" ca="1" si="20"/>
        <v>#NAME?</v>
      </c>
      <c r="M93" t="e">
        <f t="shared" ca="1" si="20"/>
        <v>#NAME?</v>
      </c>
      <c r="N93" t="e">
        <f t="shared" ca="1" si="20"/>
        <v>#NAME?</v>
      </c>
      <c r="O93" t="e">
        <f t="shared" ca="1" si="20"/>
        <v>#NAME?</v>
      </c>
      <c r="P93" t="e">
        <f t="shared" ca="1" si="20"/>
        <v>#NAME?</v>
      </c>
      <c r="R93" t="e">
        <f t="shared" ca="1" si="21"/>
        <v>#NAME?</v>
      </c>
      <c r="S93" t="e">
        <f t="shared" ca="1" si="21"/>
        <v>#NAME?</v>
      </c>
      <c r="T93" t="e">
        <f t="shared" ca="1" si="21"/>
        <v>#NAME?</v>
      </c>
      <c r="U93" t="e">
        <f t="shared" ca="1" si="21"/>
        <v>#NAME?</v>
      </c>
      <c r="V93" t="e">
        <f t="shared" ca="1" si="21"/>
        <v>#NAME?</v>
      </c>
      <c r="W93" t="e">
        <f t="shared" ca="1" si="21"/>
        <v>#NAME?</v>
      </c>
      <c r="X93" t="e">
        <f t="shared" ca="1" si="21"/>
        <v>#NAME?</v>
      </c>
      <c r="Z93" s="15">
        <v>0.75</v>
      </c>
    </row>
    <row r="94" spans="1:26">
      <c r="A94" s="22" t="s">
        <v>175</v>
      </c>
      <c r="B94" s="121" t="s">
        <v>116</v>
      </c>
      <c r="C94" s="25"/>
      <c r="D94" s="25" t="s">
        <v>141</v>
      </c>
      <c r="E94" s="25"/>
      <c r="F94" s="25"/>
      <c r="G94" s="110" t="s">
        <v>142</v>
      </c>
      <c r="H94" s="110" t="s">
        <v>142</v>
      </c>
      <c r="J94" t="e">
        <f t="shared" ca="1" si="20"/>
        <v>#NAME?</v>
      </c>
      <c r="K94" t="e">
        <f t="shared" ca="1" si="20"/>
        <v>#NAME?</v>
      </c>
      <c r="L94" t="e">
        <f t="shared" ca="1" si="20"/>
        <v>#NAME?</v>
      </c>
      <c r="M94" t="e">
        <f t="shared" ca="1" si="20"/>
        <v>#NAME?</v>
      </c>
      <c r="N94" t="e">
        <f t="shared" ca="1" si="20"/>
        <v>#NAME?</v>
      </c>
      <c r="O94" t="e">
        <f t="shared" ca="1" si="20"/>
        <v>#NAME?</v>
      </c>
      <c r="P94" t="e">
        <f t="shared" ca="1" si="20"/>
        <v>#NAME?</v>
      </c>
      <c r="R94" t="e">
        <f t="shared" ca="1" si="21"/>
        <v>#NAME?</v>
      </c>
      <c r="S94" t="e">
        <f t="shared" ca="1" si="21"/>
        <v>#NAME?</v>
      </c>
      <c r="T94" t="e">
        <f t="shared" ca="1" si="21"/>
        <v>#NAME?</v>
      </c>
      <c r="U94" t="e">
        <f t="shared" ca="1" si="21"/>
        <v>#NAME?</v>
      </c>
      <c r="V94" t="e">
        <f t="shared" ca="1" si="21"/>
        <v>#NAME?</v>
      </c>
      <c r="W94" t="e">
        <f t="shared" ca="1" si="21"/>
        <v>#NAME?</v>
      </c>
      <c r="X94" t="e">
        <f t="shared" ca="1" si="21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110" t="s">
        <v>139</v>
      </c>
      <c r="H95" s="25"/>
      <c r="J95" t="e">
        <f t="shared" ca="1" si="20"/>
        <v>#NAME?</v>
      </c>
      <c r="K95" t="e">
        <f t="shared" ca="1" si="20"/>
        <v>#NAME?</v>
      </c>
      <c r="L95" t="e">
        <f t="shared" ca="1" si="20"/>
        <v>#NAME?</v>
      </c>
      <c r="M95" t="e">
        <f t="shared" ca="1" si="20"/>
        <v>#NAME?</v>
      </c>
      <c r="N95" t="e">
        <f t="shared" ca="1" si="20"/>
        <v>#NAME?</v>
      </c>
      <c r="O95" t="e">
        <f t="shared" ca="1" si="20"/>
        <v>#NAME?</v>
      </c>
      <c r="P95" t="e">
        <f t="shared" ca="1" si="20"/>
        <v>#NAME?</v>
      </c>
      <c r="R95" t="e">
        <f t="shared" ca="1" si="21"/>
        <v>#NAME?</v>
      </c>
      <c r="S95" t="e">
        <f t="shared" ca="1" si="21"/>
        <v>#NAME?</v>
      </c>
      <c r="T95" t="e">
        <f t="shared" ca="1" si="21"/>
        <v>#NAME?</v>
      </c>
      <c r="U95" t="e">
        <f t="shared" ca="1" si="21"/>
        <v>#NAME?</v>
      </c>
      <c r="V95" t="e">
        <f t="shared" ca="1" si="21"/>
        <v>#NAME?</v>
      </c>
      <c r="W95" t="e">
        <f t="shared" ca="1" si="21"/>
        <v>#NAME?</v>
      </c>
      <c r="X95" t="e">
        <f t="shared" ca="1" si="21"/>
        <v>#NAME?</v>
      </c>
      <c r="Z95" s="15">
        <v>0.25</v>
      </c>
    </row>
    <row r="96" spans="1:26" ht="15" customHeight="1">
      <c r="A96" s="22" t="s">
        <v>177</v>
      </c>
      <c r="B96" s="25"/>
      <c r="C96" s="25"/>
      <c r="D96" s="25" t="s">
        <v>141</v>
      </c>
      <c r="E96" s="121" t="s">
        <v>116</v>
      </c>
      <c r="F96" s="25" t="s">
        <v>152</v>
      </c>
      <c r="G96" s="25" t="s">
        <v>152</v>
      </c>
      <c r="H96" s="25" t="s">
        <v>152</v>
      </c>
      <c r="J96" t="e">
        <f t="shared" ca="1" si="20"/>
        <v>#NAME?</v>
      </c>
      <c r="K96" t="e">
        <f t="shared" ca="1" si="20"/>
        <v>#NAME?</v>
      </c>
      <c r="L96" t="e">
        <f t="shared" ca="1" si="20"/>
        <v>#NAME?</v>
      </c>
      <c r="M96" t="e">
        <f t="shared" ca="1" si="20"/>
        <v>#NAME?</v>
      </c>
      <c r="N96" t="e">
        <f t="shared" ca="1" si="20"/>
        <v>#NAME?</v>
      </c>
      <c r="O96" t="e">
        <f t="shared" ca="1" si="20"/>
        <v>#NAME?</v>
      </c>
      <c r="P96" t="e">
        <f t="shared" ca="1" si="20"/>
        <v>#NAME?</v>
      </c>
      <c r="R96" t="e">
        <f t="shared" ca="1" si="21"/>
        <v>#NAME?</v>
      </c>
      <c r="S96" t="e">
        <f t="shared" ca="1" si="21"/>
        <v>#NAME?</v>
      </c>
      <c r="T96" t="e">
        <f t="shared" ca="1" si="21"/>
        <v>#NAME?</v>
      </c>
      <c r="U96" t="e">
        <f t="shared" ca="1" si="21"/>
        <v>#NAME?</v>
      </c>
      <c r="V96" t="e">
        <f t="shared" ca="1" si="21"/>
        <v>#NAME?</v>
      </c>
      <c r="W96" t="e">
        <f t="shared" ca="1" si="21"/>
        <v>#NAME?</v>
      </c>
      <c r="X96" t="e">
        <f t="shared" ca="1" si="21"/>
        <v>#NAME?</v>
      </c>
      <c r="Z96" s="15">
        <v>0.75</v>
      </c>
    </row>
    <row r="97" spans="1:26" ht="15" customHeight="1">
      <c r="A97" s="22" t="s">
        <v>178</v>
      </c>
      <c r="B97" s="120" t="s">
        <v>116</v>
      </c>
      <c r="C97" s="110" t="s">
        <v>139</v>
      </c>
      <c r="D97" s="120" t="s">
        <v>116</v>
      </c>
      <c r="E97" s="25"/>
      <c r="F97" s="121" t="s">
        <v>118</v>
      </c>
      <c r="G97" s="25"/>
      <c r="H97" s="25"/>
      <c r="J97" t="e">
        <f t="shared" ca="1" si="20"/>
        <v>#NAME?</v>
      </c>
      <c r="K97" t="e">
        <f t="shared" ca="1" si="20"/>
        <v>#NAME?</v>
      </c>
      <c r="L97" t="e">
        <f t="shared" ca="1" si="20"/>
        <v>#NAME?</v>
      </c>
      <c r="M97" t="e">
        <f t="shared" ca="1" si="20"/>
        <v>#NAME?</v>
      </c>
      <c r="N97" t="e">
        <f t="shared" ca="1" si="20"/>
        <v>#NAME?</v>
      </c>
      <c r="O97" t="e">
        <f t="shared" ca="1" si="20"/>
        <v>#NAME?</v>
      </c>
      <c r="P97" t="e">
        <f t="shared" ca="1" si="20"/>
        <v>#NAME?</v>
      </c>
      <c r="R97" t="e">
        <f t="shared" ca="1" si="21"/>
        <v>#NAME?</v>
      </c>
      <c r="S97" t="e">
        <f t="shared" ca="1" si="21"/>
        <v>#NAME?</v>
      </c>
      <c r="T97" t="e">
        <f t="shared" ca="1" si="21"/>
        <v>#NAME?</v>
      </c>
      <c r="U97" t="e">
        <f t="shared" ca="1" si="21"/>
        <v>#NAME?</v>
      </c>
      <c r="V97" t="e">
        <f t="shared" ca="1" si="21"/>
        <v>#NAME?</v>
      </c>
      <c r="W97" t="e">
        <f t="shared" ca="1" si="21"/>
        <v>#NAME?</v>
      </c>
      <c r="X97" t="e">
        <f t="shared" ca="1" si="21"/>
        <v>#NAME?</v>
      </c>
      <c r="Z97" s="15">
        <v>1</v>
      </c>
    </row>
    <row r="98" spans="1:26">
      <c r="A98" s="106" t="s">
        <v>179</v>
      </c>
      <c r="B98" s="107" t="str">
        <f t="shared" ref="B98:H98" si="22">B58</f>
        <v>Mon 22 Jun</v>
      </c>
      <c r="C98" s="107" t="str">
        <f t="shared" si="22"/>
        <v>Tues 23 Jun</v>
      </c>
      <c r="D98" s="107" t="str">
        <f t="shared" si="22"/>
        <v>Wed 24 Jun</v>
      </c>
      <c r="E98" s="107" t="str">
        <f t="shared" si="22"/>
        <v>Thu 25 Jun</v>
      </c>
      <c r="F98" s="107" t="str">
        <f t="shared" si="22"/>
        <v>Fri 26 Jun</v>
      </c>
      <c r="G98" s="107" t="str">
        <f t="shared" si="22"/>
        <v>Sat 27 Jun</v>
      </c>
      <c r="H98" s="107" t="str">
        <f t="shared" si="22"/>
        <v>Sun 28 Jun</v>
      </c>
      <c r="J98" t="e">
        <f t="shared" ca="1" si="17"/>
        <v>#NAME?</v>
      </c>
      <c r="K98" t="e">
        <f t="shared" ca="1" si="17"/>
        <v>#NAME?</v>
      </c>
      <c r="L98" t="e">
        <f t="shared" ca="1" si="17"/>
        <v>#NAME?</v>
      </c>
      <c r="M98" t="e">
        <f t="shared" ca="1" si="17"/>
        <v>#NAME?</v>
      </c>
      <c r="N98" t="e">
        <f t="shared" ca="1" si="17"/>
        <v>#NAME?</v>
      </c>
      <c r="O98" t="e">
        <f t="shared" ca="1" si="17"/>
        <v>#NAME?</v>
      </c>
      <c r="P98" t="e">
        <f t="shared" ca="1" si="17"/>
        <v>#NAME?</v>
      </c>
      <c r="R98" t="e">
        <f t="shared" ca="1" si="18"/>
        <v>#NAME?</v>
      </c>
      <c r="S98" t="e">
        <f t="shared" ca="1" si="18"/>
        <v>#NAME?</v>
      </c>
      <c r="T98" t="e">
        <f t="shared" ca="1" si="18"/>
        <v>#NAME?</v>
      </c>
      <c r="U98" t="e">
        <f t="shared" ca="1" si="18"/>
        <v>#NAME?</v>
      </c>
      <c r="V98" t="e">
        <f t="shared" ca="1" si="18"/>
        <v>#NAME?</v>
      </c>
      <c r="W98" t="e">
        <f t="shared" ca="1" si="18"/>
        <v>#NAME?</v>
      </c>
      <c r="X98" t="e">
        <f t="shared" ca="1" si="18"/>
        <v>#NAME?</v>
      </c>
      <c r="Z98" s="54">
        <f>SUM(Z76:Z97)</f>
        <v>18.25</v>
      </c>
    </row>
    <row r="99" spans="1:26">
      <c r="A99" s="22" t="s">
        <v>180</v>
      </c>
      <c r="B99" s="127" t="s">
        <v>18</v>
      </c>
      <c r="C99" s="128"/>
      <c r="D99" s="128"/>
      <c r="E99" s="128"/>
      <c r="F99" s="128"/>
      <c r="G99" s="128"/>
      <c r="H99" s="129"/>
      <c r="J99" t="e">
        <f t="shared" ca="1" si="17"/>
        <v>#NAME?</v>
      </c>
      <c r="K99" t="e">
        <f t="shared" ca="1" si="17"/>
        <v>#NAME?</v>
      </c>
      <c r="L99" t="e">
        <f t="shared" ca="1" si="17"/>
        <v>#NAME?</v>
      </c>
      <c r="M99" t="e">
        <f t="shared" ca="1" si="17"/>
        <v>#NAME?</v>
      </c>
      <c r="N99" t="e">
        <f t="shared" ca="1" si="17"/>
        <v>#NAME?</v>
      </c>
      <c r="O99" t="e">
        <f t="shared" ca="1" si="17"/>
        <v>#NAME?</v>
      </c>
      <c r="P99" t="e">
        <f t="shared" ca="1" si="17"/>
        <v>#NAME?</v>
      </c>
      <c r="R99" t="e">
        <f t="shared" ca="1" si="18"/>
        <v>#NAME?</v>
      </c>
      <c r="S99" t="e">
        <f t="shared" ca="1" si="18"/>
        <v>#NAME?</v>
      </c>
      <c r="T99" t="e">
        <f t="shared" ca="1" si="18"/>
        <v>#NAME?</v>
      </c>
      <c r="U99" t="e">
        <f t="shared" ca="1" si="18"/>
        <v>#NAME?</v>
      </c>
      <c r="V99" t="e">
        <f t="shared" ca="1" si="18"/>
        <v>#NAME?</v>
      </c>
      <c r="W99" t="e">
        <f t="shared" ca="1" si="18"/>
        <v>#NAME?</v>
      </c>
      <c r="X99" t="e">
        <f t="shared" ca="1" si="18"/>
        <v>#NAME?</v>
      </c>
      <c r="Z99" s="15">
        <v>1</v>
      </c>
    </row>
    <row r="100" spans="1:26">
      <c r="A100" s="22" t="s">
        <v>183</v>
      </c>
      <c r="B100" s="110" t="s">
        <v>182</v>
      </c>
      <c r="C100" s="110" t="s">
        <v>182</v>
      </c>
      <c r="D100" s="110" t="s">
        <v>116</v>
      </c>
      <c r="E100" s="25"/>
      <c r="F100" s="25"/>
      <c r="G100" s="110" t="s">
        <v>116</v>
      </c>
      <c r="H100" s="110" t="s">
        <v>116</v>
      </c>
      <c r="J100" t="e">
        <f t="shared" ca="1" si="17"/>
        <v>#NAME?</v>
      </c>
      <c r="K100" t="e">
        <f t="shared" ca="1" si="17"/>
        <v>#NAME?</v>
      </c>
      <c r="L100" t="e">
        <f t="shared" ca="1" si="17"/>
        <v>#NAME?</v>
      </c>
      <c r="M100" t="e">
        <f t="shared" ca="1" si="17"/>
        <v>#NAME?</v>
      </c>
      <c r="N100" t="e">
        <f t="shared" ca="1" si="17"/>
        <v>#NAME?</v>
      </c>
      <c r="O100" t="e">
        <f t="shared" ca="1" si="17"/>
        <v>#NAME?</v>
      </c>
      <c r="P100" t="e">
        <f t="shared" ca="1" si="17"/>
        <v>#NAME?</v>
      </c>
      <c r="R100" t="e">
        <f t="shared" ca="1" si="18"/>
        <v>#NAME?</v>
      </c>
      <c r="S100" t="e">
        <f t="shared" ca="1" si="18"/>
        <v>#NAME?</v>
      </c>
      <c r="T100" t="e">
        <f t="shared" ca="1" si="18"/>
        <v>#NAME?</v>
      </c>
      <c r="U100" t="e">
        <f t="shared" ca="1" si="18"/>
        <v>#NAME?</v>
      </c>
      <c r="V100" t="e">
        <f t="shared" ca="1" si="18"/>
        <v>#NAME?</v>
      </c>
      <c r="W100" t="e">
        <f t="shared" ca="1" si="18"/>
        <v>#NAME?</v>
      </c>
      <c r="X100" t="e">
        <f t="shared" ca="1" si="18"/>
        <v>#NAME?</v>
      </c>
      <c r="Z100" s="15">
        <v>1</v>
      </c>
    </row>
    <row r="101" spans="1:26">
      <c r="A101" s="106" t="s">
        <v>184</v>
      </c>
      <c r="B101" s="107" t="str">
        <f t="shared" ref="B101:H101" si="23">B58</f>
        <v>Mon 22 Jun</v>
      </c>
      <c r="C101" s="107" t="str">
        <f t="shared" si="23"/>
        <v>Tues 23 Jun</v>
      </c>
      <c r="D101" s="107" t="str">
        <f t="shared" si="23"/>
        <v>Wed 24 Jun</v>
      </c>
      <c r="E101" s="107" t="str">
        <f t="shared" si="23"/>
        <v>Thu 25 Jun</v>
      </c>
      <c r="F101" s="107" t="str">
        <f t="shared" si="23"/>
        <v>Fri 26 Jun</v>
      </c>
      <c r="G101" s="107" t="str">
        <f t="shared" si="23"/>
        <v>Sat 27 Jun</v>
      </c>
      <c r="H101" s="107" t="str">
        <f t="shared" si="23"/>
        <v>Sun 28 Jun</v>
      </c>
      <c r="J101" t="e">
        <f t="shared" ca="1" si="17"/>
        <v>#NAME?</v>
      </c>
      <c r="K101" t="e">
        <f t="shared" ref="K101:P137" ca="1" si="24">colorindex(C101)</f>
        <v>#NAME?</v>
      </c>
      <c r="L101" t="e">
        <f t="shared" ca="1" si="24"/>
        <v>#NAME?</v>
      </c>
      <c r="M101" t="e">
        <f t="shared" ca="1" si="24"/>
        <v>#NAME?</v>
      </c>
      <c r="N101" t="e">
        <f t="shared" ca="1" si="24"/>
        <v>#NAME?</v>
      </c>
      <c r="O101" t="e">
        <f t="shared" ca="1" si="24"/>
        <v>#NAME?</v>
      </c>
      <c r="P101" t="e">
        <f t="shared" ca="1" si="24"/>
        <v>#NAME?</v>
      </c>
      <c r="R101" t="e">
        <f t="shared" ca="1" si="18"/>
        <v>#NAME?</v>
      </c>
      <c r="S101" t="e">
        <f t="shared" ref="S101:X137" ca="1" si="25">ShiftIndex(C101)</f>
        <v>#NAME?</v>
      </c>
      <c r="T101" t="e">
        <f t="shared" ca="1" si="25"/>
        <v>#NAME?</v>
      </c>
      <c r="U101" t="e">
        <f t="shared" ca="1" si="25"/>
        <v>#NAME?</v>
      </c>
      <c r="V101" t="e">
        <f t="shared" ca="1" si="25"/>
        <v>#NAME?</v>
      </c>
      <c r="W101" t="e">
        <f t="shared" ca="1" si="25"/>
        <v>#NAME?</v>
      </c>
      <c r="X101" t="e">
        <f t="shared" ca="1" si="25"/>
        <v>#NAME?</v>
      </c>
      <c r="Z101" s="53">
        <f>SUM(Z99:Z100)</f>
        <v>2</v>
      </c>
    </row>
    <row r="102" spans="1:26">
      <c r="A102" s="22" t="s">
        <v>185</v>
      </c>
      <c r="B102" s="25"/>
      <c r="C102" s="101" t="s">
        <v>118</v>
      </c>
      <c r="D102" s="110" t="s">
        <v>142</v>
      </c>
      <c r="E102" s="120" t="s">
        <v>116</v>
      </c>
      <c r="F102" s="121" t="s">
        <v>116</v>
      </c>
      <c r="G102" s="25"/>
      <c r="H102" s="25"/>
      <c r="J102" t="e">
        <f t="shared" ref="J102:M140" ca="1" si="26">colorindex(B102)</f>
        <v>#NAME?</v>
      </c>
      <c r="K102" t="e">
        <f t="shared" ca="1" si="24"/>
        <v>#NAME?</v>
      </c>
      <c r="L102" t="e">
        <f t="shared" ca="1" si="24"/>
        <v>#NAME?</v>
      </c>
      <c r="M102" t="e">
        <f t="shared" ca="1" si="24"/>
        <v>#NAME?</v>
      </c>
      <c r="N102" t="e">
        <f t="shared" ca="1" si="24"/>
        <v>#NAME?</v>
      </c>
      <c r="O102" t="e">
        <f t="shared" ca="1" si="24"/>
        <v>#NAME?</v>
      </c>
      <c r="P102" t="e">
        <f t="shared" ca="1" si="24"/>
        <v>#NAME?</v>
      </c>
      <c r="R102" t="e">
        <f t="shared" ref="R102:U140" ca="1" si="27">ShiftIndex(B102)</f>
        <v>#NAME?</v>
      </c>
      <c r="S102" t="e">
        <f t="shared" ca="1" si="25"/>
        <v>#NAME?</v>
      </c>
      <c r="T102" t="e">
        <f t="shared" ca="1" si="25"/>
        <v>#NAME?</v>
      </c>
      <c r="U102" t="e">
        <f t="shared" ca="1" si="25"/>
        <v>#NAME?</v>
      </c>
      <c r="V102" t="e">
        <f t="shared" ca="1" si="25"/>
        <v>#NAME?</v>
      </c>
      <c r="W102" t="e">
        <f t="shared" ca="1" si="25"/>
        <v>#NAME?</v>
      </c>
      <c r="X102" t="e">
        <f t="shared" ca="1" si="25"/>
        <v>#NAME?</v>
      </c>
      <c r="Z102" s="15">
        <v>1</v>
      </c>
    </row>
    <row r="103" spans="1:26">
      <c r="A103" s="22" t="s">
        <v>187</v>
      </c>
      <c r="B103" s="25"/>
      <c r="C103" s="44" t="s">
        <v>186</v>
      </c>
      <c r="D103" s="101" t="s">
        <v>118</v>
      </c>
      <c r="E103" s="121" t="s">
        <v>116</v>
      </c>
      <c r="F103" s="110" t="s">
        <v>139</v>
      </c>
      <c r="G103" s="25"/>
      <c r="H103" s="25"/>
      <c r="J103" t="e">
        <f t="shared" ca="1" si="26"/>
        <v>#NAME?</v>
      </c>
      <c r="K103" t="e">
        <f t="shared" ca="1" si="24"/>
        <v>#NAME?</v>
      </c>
      <c r="L103" t="e">
        <f t="shared" ca="1" si="24"/>
        <v>#NAME?</v>
      </c>
      <c r="M103" t="e">
        <f t="shared" ca="1" si="24"/>
        <v>#NAME?</v>
      </c>
      <c r="N103" t="e">
        <f t="shared" ca="1" si="24"/>
        <v>#NAME?</v>
      </c>
      <c r="O103" t="e">
        <f t="shared" ca="1" si="24"/>
        <v>#NAME?</v>
      </c>
      <c r="P103" t="e">
        <f t="shared" ca="1" si="24"/>
        <v>#NAME?</v>
      </c>
      <c r="R103" t="e">
        <f t="shared" ca="1" si="27"/>
        <v>#NAME?</v>
      </c>
      <c r="S103" t="e">
        <f t="shared" ca="1" si="25"/>
        <v>#NAME?</v>
      </c>
      <c r="T103" t="e">
        <f t="shared" ca="1" si="25"/>
        <v>#NAME?</v>
      </c>
      <c r="U103" t="e">
        <f t="shared" ca="1" si="25"/>
        <v>#NAME?</v>
      </c>
      <c r="V103" t="e">
        <f t="shared" ca="1" si="25"/>
        <v>#NAME?</v>
      </c>
      <c r="W103" t="e">
        <f t="shared" ca="1" si="25"/>
        <v>#NAME?</v>
      </c>
      <c r="X103" t="e">
        <f t="shared" ca="1" si="25"/>
        <v>#NAME?</v>
      </c>
      <c r="Z103" s="15">
        <v>1</v>
      </c>
    </row>
    <row r="104" spans="1:26">
      <c r="A104" s="22" t="s">
        <v>188</v>
      </c>
      <c r="B104" s="120" t="s">
        <v>116</v>
      </c>
      <c r="C104" s="121" t="s">
        <v>116</v>
      </c>
      <c r="D104" s="25"/>
      <c r="E104" s="121" t="s">
        <v>118</v>
      </c>
      <c r="F104" s="120" t="s">
        <v>118</v>
      </c>
      <c r="G104" s="25"/>
      <c r="H104" s="25"/>
      <c r="J104" t="e">
        <f t="shared" ca="1" si="26"/>
        <v>#NAME?</v>
      </c>
      <c r="K104" t="e">
        <f t="shared" ca="1" si="24"/>
        <v>#NAME?</v>
      </c>
      <c r="L104" t="e">
        <f t="shared" ca="1" si="24"/>
        <v>#NAME?</v>
      </c>
      <c r="M104" t="e">
        <f t="shared" ca="1" si="24"/>
        <v>#NAME?</v>
      </c>
      <c r="N104" t="e">
        <f t="shared" ca="1" si="24"/>
        <v>#NAME?</v>
      </c>
      <c r="O104" t="e">
        <f t="shared" ca="1" si="24"/>
        <v>#NAME?</v>
      </c>
      <c r="P104" t="e">
        <f t="shared" ca="1" si="24"/>
        <v>#NAME?</v>
      </c>
      <c r="R104" t="e">
        <f t="shared" ca="1" si="27"/>
        <v>#NAME?</v>
      </c>
      <c r="S104" t="e">
        <f t="shared" ca="1" si="25"/>
        <v>#NAME?</v>
      </c>
      <c r="T104" t="e">
        <f t="shared" ca="1" si="25"/>
        <v>#NAME?</v>
      </c>
      <c r="U104" t="e">
        <f t="shared" ca="1" si="25"/>
        <v>#NAME?</v>
      </c>
      <c r="V104" t="e">
        <f t="shared" ca="1" si="25"/>
        <v>#NAME?</v>
      </c>
      <c r="W104" t="e">
        <f t="shared" ca="1" si="25"/>
        <v>#NAME?</v>
      </c>
      <c r="X104" t="e">
        <f t="shared" ca="1" si="25"/>
        <v>#NAME?</v>
      </c>
      <c r="Z104" s="15">
        <v>1</v>
      </c>
    </row>
    <row r="105" spans="1:26">
      <c r="A105" s="22" t="s">
        <v>190</v>
      </c>
      <c r="B105" s="44" t="s">
        <v>189</v>
      </c>
      <c r="C105" s="25"/>
      <c r="D105" s="110" t="s">
        <v>142</v>
      </c>
      <c r="E105" s="101" t="s">
        <v>116</v>
      </c>
      <c r="F105" s="120" t="s">
        <v>116</v>
      </c>
      <c r="G105" s="25"/>
      <c r="H105" s="25"/>
      <c r="J105" t="e">
        <f t="shared" ca="1" si="26"/>
        <v>#NAME?</v>
      </c>
      <c r="K105" t="e">
        <f t="shared" ca="1" si="24"/>
        <v>#NAME?</v>
      </c>
      <c r="L105" t="e">
        <f t="shared" ca="1" si="24"/>
        <v>#NAME?</v>
      </c>
      <c r="M105" t="e">
        <f t="shared" ca="1" si="24"/>
        <v>#NAME?</v>
      </c>
      <c r="N105" t="e">
        <f t="shared" ca="1" si="24"/>
        <v>#NAME?</v>
      </c>
      <c r="O105" t="e">
        <f t="shared" ca="1" si="24"/>
        <v>#NAME?</v>
      </c>
      <c r="P105" t="e">
        <f t="shared" ca="1" si="24"/>
        <v>#NAME?</v>
      </c>
      <c r="R105" t="e">
        <f t="shared" ca="1" si="27"/>
        <v>#NAME?</v>
      </c>
      <c r="S105" t="e">
        <f t="shared" ca="1" si="25"/>
        <v>#NAME?</v>
      </c>
      <c r="T105" t="e">
        <f t="shared" ca="1" si="25"/>
        <v>#NAME?</v>
      </c>
      <c r="U105" t="e">
        <f t="shared" ca="1" si="25"/>
        <v>#NAME?</v>
      </c>
      <c r="V105" t="e">
        <f t="shared" ca="1" si="25"/>
        <v>#NAME?</v>
      </c>
      <c r="W105" t="e">
        <f t="shared" ca="1" si="25"/>
        <v>#NAME?</v>
      </c>
      <c r="X105" t="e">
        <f t="shared" ca="1" si="25"/>
        <v>#NAME?</v>
      </c>
      <c r="Z105" s="15">
        <v>1</v>
      </c>
    </row>
    <row r="106" spans="1:26">
      <c r="A106" s="22" t="s">
        <v>191</v>
      </c>
      <c r="B106" s="127" t="s">
        <v>20</v>
      </c>
      <c r="C106" s="129"/>
      <c r="D106" s="120" t="s">
        <v>118</v>
      </c>
      <c r="E106" s="44" t="s">
        <v>186</v>
      </c>
      <c r="F106" s="121" t="s">
        <v>118</v>
      </c>
      <c r="G106" s="101" t="s">
        <v>118</v>
      </c>
      <c r="H106" s="25"/>
      <c r="J106" t="e">
        <f t="shared" ca="1" si="26"/>
        <v>#NAME?</v>
      </c>
      <c r="K106" t="e">
        <f t="shared" ca="1" si="24"/>
        <v>#NAME?</v>
      </c>
      <c r="L106" t="e">
        <f t="shared" ca="1" si="24"/>
        <v>#NAME?</v>
      </c>
      <c r="M106" t="e">
        <f t="shared" ca="1" si="24"/>
        <v>#NAME?</v>
      </c>
      <c r="N106" t="e">
        <f t="shared" ca="1" si="24"/>
        <v>#NAME?</v>
      </c>
      <c r="O106" t="e">
        <f t="shared" ca="1" si="24"/>
        <v>#NAME?</v>
      </c>
      <c r="P106" t="e">
        <f t="shared" ca="1" si="24"/>
        <v>#NAME?</v>
      </c>
      <c r="R106" t="e">
        <f t="shared" ca="1" si="27"/>
        <v>#NAME?</v>
      </c>
      <c r="S106" t="e">
        <f t="shared" ca="1" si="25"/>
        <v>#NAME?</v>
      </c>
      <c r="T106" t="e">
        <f t="shared" ca="1" si="25"/>
        <v>#NAME?</v>
      </c>
      <c r="U106" t="e">
        <f t="shared" ca="1" si="25"/>
        <v>#NAME?</v>
      </c>
      <c r="V106" t="e">
        <f t="shared" ca="1" si="25"/>
        <v>#NAME?</v>
      </c>
      <c r="W106" t="e">
        <f t="shared" ca="1" si="25"/>
        <v>#NAME?</v>
      </c>
      <c r="X106" t="e">
        <f t="shared" ca="1" si="25"/>
        <v>#NAME?</v>
      </c>
      <c r="Z106" s="15">
        <v>1</v>
      </c>
    </row>
    <row r="107" spans="1:26">
      <c r="A107" s="22" t="s">
        <v>192</v>
      </c>
      <c r="B107" s="25"/>
      <c r="C107" s="120" t="s">
        <v>118</v>
      </c>
      <c r="D107" s="44" t="s">
        <v>189</v>
      </c>
      <c r="E107" s="25"/>
      <c r="F107" s="101" t="s">
        <v>118</v>
      </c>
      <c r="G107" s="127" t="s">
        <v>20</v>
      </c>
      <c r="H107" s="129"/>
      <c r="J107" t="e">
        <f t="shared" ca="1" si="26"/>
        <v>#NAME?</v>
      </c>
      <c r="K107" t="e">
        <f t="shared" ca="1" si="24"/>
        <v>#NAME?</v>
      </c>
      <c r="L107" t="e">
        <f t="shared" ca="1" si="24"/>
        <v>#NAME?</v>
      </c>
      <c r="M107" t="e">
        <f t="shared" ca="1" si="24"/>
        <v>#NAME?</v>
      </c>
      <c r="N107" t="e">
        <f t="shared" ca="1" si="24"/>
        <v>#NAME?</v>
      </c>
      <c r="O107" t="e">
        <f ca="1">colorindex(#REF!)</f>
        <v>#NAME?</v>
      </c>
      <c r="P107" t="e">
        <f ca="1">colorindex(G107)</f>
        <v>#NAME?</v>
      </c>
      <c r="R107" t="e">
        <f t="shared" ca="1" si="27"/>
        <v>#NAME?</v>
      </c>
      <c r="S107" t="e">
        <f t="shared" ca="1" si="25"/>
        <v>#NAME?</v>
      </c>
      <c r="T107" t="e">
        <f t="shared" ca="1" si="25"/>
        <v>#NAME?</v>
      </c>
      <c r="U107" t="e">
        <f t="shared" ca="1" si="25"/>
        <v>#NAME?</v>
      </c>
      <c r="V107" t="e">
        <f t="shared" ca="1" si="25"/>
        <v>#NAME?</v>
      </c>
      <c r="W107" t="e">
        <f ca="1">ShiftIndex(#REF!)</f>
        <v>#NAME?</v>
      </c>
      <c r="X107" t="e">
        <f ca="1">ShiftIndex(G107)</f>
        <v>#NAME?</v>
      </c>
      <c r="Z107" s="15">
        <v>0.875</v>
      </c>
    </row>
    <row r="108" spans="1:26">
      <c r="A108" s="22" t="s">
        <v>193</v>
      </c>
      <c r="B108" s="25" t="s">
        <v>152</v>
      </c>
      <c r="C108" s="25" t="s">
        <v>152</v>
      </c>
      <c r="D108" s="25"/>
      <c r="E108" s="25"/>
      <c r="F108" s="25"/>
      <c r="G108" s="25"/>
      <c r="H108" s="25"/>
      <c r="J108" t="e">
        <f t="shared" ca="1" si="26"/>
        <v>#NAME?</v>
      </c>
      <c r="K108" t="e">
        <f t="shared" ca="1" si="24"/>
        <v>#NAME?</v>
      </c>
      <c r="L108" t="e">
        <f t="shared" ca="1" si="24"/>
        <v>#NAME?</v>
      </c>
      <c r="M108" t="e">
        <f t="shared" ca="1" si="24"/>
        <v>#NAME?</v>
      </c>
      <c r="N108" t="e">
        <f t="shared" ca="1" si="24"/>
        <v>#NAME?</v>
      </c>
      <c r="O108" t="e">
        <f t="shared" ca="1" si="24"/>
        <v>#NAME?</v>
      </c>
      <c r="P108" t="e">
        <f t="shared" ca="1" si="24"/>
        <v>#NAME?</v>
      </c>
      <c r="R108" t="e">
        <f t="shared" ca="1" si="27"/>
        <v>#NAME?</v>
      </c>
      <c r="S108" t="e">
        <f t="shared" ca="1" si="25"/>
        <v>#NAME?</v>
      </c>
      <c r="T108" t="e">
        <f t="shared" ca="1" si="25"/>
        <v>#NAME?</v>
      </c>
      <c r="U108" t="e">
        <f t="shared" ca="1" si="25"/>
        <v>#NAME?</v>
      </c>
      <c r="V108" t="e">
        <f t="shared" ca="1" si="25"/>
        <v>#NAME?</v>
      </c>
      <c r="W108" t="e">
        <f t="shared" ca="1" si="25"/>
        <v>#NAME?</v>
      </c>
      <c r="X108" t="e">
        <f t="shared" ca="1" si="25"/>
        <v>#NAME?</v>
      </c>
      <c r="Z108" s="15">
        <v>1</v>
      </c>
    </row>
    <row r="109" spans="1:26" ht="14.45" customHeight="1">
      <c r="A109" s="22" t="s">
        <v>283</v>
      </c>
      <c r="B109" s="127" t="s">
        <v>18</v>
      </c>
      <c r="C109" s="128"/>
      <c r="D109" s="128"/>
      <c r="E109" s="128"/>
      <c r="F109" s="128"/>
      <c r="G109" s="128"/>
      <c r="H109" s="129"/>
      <c r="J109" t="e">
        <f t="shared" ca="1" si="26"/>
        <v>#NAME?</v>
      </c>
      <c r="K109" t="e">
        <f t="shared" ca="1" si="24"/>
        <v>#NAME?</v>
      </c>
      <c r="L109" t="e">
        <f t="shared" ca="1" si="24"/>
        <v>#NAME?</v>
      </c>
      <c r="M109" t="e">
        <f t="shared" ca="1" si="24"/>
        <v>#NAME?</v>
      </c>
      <c r="N109" t="e">
        <f t="shared" ca="1" si="24"/>
        <v>#NAME?</v>
      </c>
      <c r="O109" t="e">
        <f t="shared" ca="1" si="24"/>
        <v>#NAME?</v>
      </c>
      <c r="P109" t="e">
        <f t="shared" ca="1" si="24"/>
        <v>#NAME?</v>
      </c>
      <c r="R109" t="e">
        <f t="shared" ca="1" si="27"/>
        <v>#NAME?</v>
      </c>
      <c r="S109" t="e">
        <f t="shared" ca="1" si="25"/>
        <v>#NAME?</v>
      </c>
      <c r="T109" t="e">
        <f t="shared" ca="1" si="25"/>
        <v>#NAME?</v>
      </c>
      <c r="U109" t="e">
        <f t="shared" ca="1" si="25"/>
        <v>#NAME?</v>
      </c>
      <c r="V109" t="e">
        <f t="shared" ca="1" si="25"/>
        <v>#NAME?</v>
      </c>
      <c r="W109" t="e">
        <f t="shared" ca="1" si="25"/>
        <v>#NAME?</v>
      </c>
      <c r="X109" t="e">
        <f t="shared" ca="1" si="25"/>
        <v>#NAME?</v>
      </c>
      <c r="Z109" s="15">
        <v>1</v>
      </c>
    </row>
    <row r="110" spans="1:26">
      <c r="A110" s="22" t="s">
        <v>195</v>
      </c>
      <c r="B110" s="127" t="s">
        <v>20</v>
      </c>
      <c r="C110" s="128"/>
      <c r="D110" s="128"/>
      <c r="E110" s="128"/>
      <c r="F110" s="128"/>
      <c r="G110" s="128"/>
      <c r="H110" s="129"/>
      <c r="J110" t="e">
        <f t="shared" ca="1" si="26"/>
        <v>#NAME?</v>
      </c>
      <c r="K110" t="e">
        <f t="shared" ca="1" si="24"/>
        <v>#NAME?</v>
      </c>
      <c r="L110" t="e">
        <f t="shared" ca="1" si="24"/>
        <v>#NAME?</v>
      </c>
      <c r="M110" t="e">
        <f t="shared" ca="1" si="24"/>
        <v>#NAME?</v>
      </c>
      <c r="N110" t="e">
        <f t="shared" ca="1" si="24"/>
        <v>#NAME?</v>
      </c>
      <c r="O110" t="e">
        <f t="shared" ca="1" si="24"/>
        <v>#NAME?</v>
      </c>
      <c r="P110" t="e">
        <f t="shared" ca="1" si="24"/>
        <v>#NAME?</v>
      </c>
      <c r="R110" t="e">
        <f t="shared" ca="1" si="27"/>
        <v>#NAME?</v>
      </c>
      <c r="S110" t="e">
        <f t="shared" ca="1" si="25"/>
        <v>#NAME?</v>
      </c>
      <c r="T110" t="e">
        <f t="shared" ca="1" si="25"/>
        <v>#NAME?</v>
      </c>
      <c r="U110" t="e">
        <f t="shared" ca="1" si="25"/>
        <v>#NAME?</v>
      </c>
      <c r="V110" t="e">
        <f t="shared" ca="1" si="25"/>
        <v>#NAME?</v>
      </c>
      <c r="W110" t="e">
        <f t="shared" ca="1" si="25"/>
        <v>#NAME?</v>
      </c>
      <c r="X110" t="e">
        <f t="shared" ca="1" si="25"/>
        <v>#NAME?</v>
      </c>
      <c r="Z110" s="15">
        <v>0.5</v>
      </c>
    </row>
    <row r="111" spans="1:26">
      <c r="A111" s="42" t="s">
        <v>196</v>
      </c>
      <c r="B111" s="25"/>
      <c r="C111" s="25"/>
      <c r="D111" s="121" t="s">
        <v>116</v>
      </c>
      <c r="E111" s="44" t="s">
        <v>189</v>
      </c>
      <c r="F111" s="25"/>
      <c r="G111" s="25"/>
      <c r="H111" s="25"/>
      <c r="J111" t="e">
        <f t="shared" ca="1" si="26"/>
        <v>#NAME?</v>
      </c>
      <c r="K111" t="e">
        <f t="shared" ca="1" si="24"/>
        <v>#NAME?</v>
      </c>
      <c r="L111" t="e">
        <f t="shared" ca="1" si="24"/>
        <v>#NAME?</v>
      </c>
      <c r="M111" t="e">
        <f t="shared" ca="1" si="24"/>
        <v>#NAME?</v>
      </c>
      <c r="N111" t="e">
        <f t="shared" ca="1" si="24"/>
        <v>#NAME?</v>
      </c>
      <c r="O111" t="e">
        <f t="shared" ca="1" si="24"/>
        <v>#NAME?</v>
      </c>
      <c r="P111" t="e">
        <f t="shared" ca="1" si="24"/>
        <v>#NAME?</v>
      </c>
      <c r="R111" t="e">
        <f t="shared" ca="1" si="27"/>
        <v>#NAME?</v>
      </c>
      <c r="S111" t="e">
        <f t="shared" ca="1" si="25"/>
        <v>#NAME?</v>
      </c>
      <c r="T111" t="e">
        <f t="shared" ca="1" si="25"/>
        <v>#NAME?</v>
      </c>
      <c r="U111" t="e">
        <f t="shared" ca="1" si="25"/>
        <v>#NAME?</v>
      </c>
      <c r="V111" t="e">
        <f t="shared" ca="1" si="25"/>
        <v>#NAME?</v>
      </c>
      <c r="W111" t="e">
        <f t="shared" ca="1" si="25"/>
        <v>#NAME?</v>
      </c>
      <c r="X111" t="e">
        <f t="shared" ca="1" si="25"/>
        <v>#NAME?</v>
      </c>
      <c r="Z111" s="15">
        <v>0.5</v>
      </c>
    </row>
    <row r="112" spans="1:26">
      <c r="A112" s="22" t="s">
        <v>197</v>
      </c>
      <c r="B112" s="25"/>
      <c r="C112" s="101" t="s">
        <v>116</v>
      </c>
      <c r="D112" s="120" t="s">
        <v>116</v>
      </c>
      <c r="E112" s="25"/>
      <c r="F112" s="25"/>
      <c r="G112" s="25"/>
      <c r="H112" s="25"/>
      <c r="J112" t="e">
        <f t="shared" ca="1" si="26"/>
        <v>#NAME?</v>
      </c>
      <c r="K112" t="e">
        <f t="shared" ca="1" si="24"/>
        <v>#NAME?</v>
      </c>
      <c r="L112" t="e">
        <f t="shared" ca="1" si="24"/>
        <v>#NAME?</v>
      </c>
      <c r="M112" t="e">
        <f t="shared" ca="1" si="24"/>
        <v>#NAME?</v>
      </c>
      <c r="N112" t="e">
        <f t="shared" ca="1" si="24"/>
        <v>#NAME?</v>
      </c>
      <c r="O112" t="e">
        <f t="shared" ca="1" si="24"/>
        <v>#NAME?</v>
      </c>
      <c r="P112" t="e">
        <f t="shared" ca="1" si="24"/>
        <v>#NAME?</v>
      </c>
      <c r="R112" t="e">
        <f t="shared" ca="1" si="27"/>
        <v>#NAME?</v>
      </c>
      <c r="S112" t="e">
        <f t="shared" ca="1" si="25"/>
        <v>#NAME?</v>
      </c>
      <c r="T112" t="e">
        <f t="shared" ca="1" si="25"/>
        <v>#NAME?</v>
      </c>
      <c r="U112" t="e">
        <f t="shared" ca="1" si="25"/>
        <v>#NAME?</v>
      </c>
      <c r="V112" t="e">
        <f t="shared" ca="1" si="25"/>
        <v>#NAME?</v>
      </c>
      <c r="W112" t="e">
        <f t="shared" ca="1" si="25"/>
        <v>#NAME?</v>
      </c>
      <c r="X112" t="e">
        <f t="shared" ca="1" si="25"/>
        <v>#NAME?</v>
      </c>
      <c r="Z112" s="15">
        <v>0.5</v>
      </c>
    </row>
    <row r="113" spans="1:26">
      <c r="A113" s="22" t="s">
        <v>199</v>
      </c>
      <c r="B113" s="123"/>
      <c r="C113" s="110" t="s">
        <v>139</v>
      </c>
      <c r="D113" s="123"/>
      <c r="E113" s="101" t="s">
        <v>118</v>
      </c>
      <c r="F113" s="123"/>
      <c r="G113" s="25"/>
      <c r="H113" s="25"/>
      <c r="J113" t="e">
        <f t="shared" ca="1" si="26"/>
        <v>#NAME?</v>
      </c>
      <c r="K113" t="e">
        <f t="shared" ca="1" si="24"/>
        <v>#NAME?</v>
      </c>
      <c r="L113" t="e">
        <f t="shared" ca="1" si="24"/>
        <v>#NAME?</v>
      </c>
      <c r="M113" t="e">
        <f t="shared" ca="1" si="24"/>
        <v>#NAME?</v>
      </c>
      <c r="N113" t="e">
        <f t="shared" ca="1" si="24"/>
        <v>#NAME?</v>
      </c>
      <c r="O113" t="e">
        <f t="shared" ca="1" si="24"/>
        <v>#NAME?</v>
      </c>
      <c r="P113" t="e">
        <f t="shared" ca="1" si="24"/>
        <v>#NAME?</v>
      </c>
      <c r="R113" t="e">
        <f t="shared" ca="1" si="27"/>
        <v>#NAME?</v>
      </c>
      <c r="S113" t="e">
        <f t="shared" ca="1" si="25"/>
        <v>#NAME?</v>
      </c>
      <c r="T113" t="e">
        <f t="shared" ca="1" si="25"/>
        <v>#NAME?</v>
      </c>
      <c r="U113" t="e">
        <f t="shared" ca="1" si="25"/>
        <v>#NAME?</v>
      </c>
      <c r="V113" t="e">
        <f t="shared" ca="1" si="25"/>
        <v>#NAME?</v>
      </c>
      <c r="W113" t="e">
        <f t="shared" ca="1" si="25"/>
        <v>#NAME?</v>
      </c>
      <c r="X113" t="e">
        <f t="shared" ca="1" si="25"/>
        <v>#NAME?</v>
      </c>
      <c r="Z113" s="15">
        <v>0.5</v>
      </c>
    </row>
    <row r="114" spans="1:26">
      <c r="A114" s="22" t="s">
        <v>200</v>
      </c>
      <c r="B114" s="25"/>
      <c r="C114" s="25"/>
      <c r="D114" s="25"/>
      <c r="E114" s="25" t="s">
        <v>152</v>
      </c>
      <c r="F114" s="25" t="s">
        <v>152</v>
      </c>
      <c r="G114" s="25" t="s">
        <v>152</v>
      </c>
      <c r="H114" s="25" t="s">
        <v>152</v>
      </c>
      <c r="J114" t="e">
        <f t="shared" ca="1" si="26"/>
        <v>#NAME?</v>
      </c>
      <c r="K114" t="e">
        <f t="shared" ca="1" si="24"/>
        <v>#NAME?</v>
      </c>
      <c r="L114" t="e">
        <f t="shared" ca="1" si="24"/>
        <v>#NAME?</v>
      </c>
      <c r="M114" t="e">
        <f t="shared" ca="1" si="24"/>
        <v>#NAME?</v>
      </c>
      <c r="N114" t="e">
        <f t="shared" ca="1" si="24"/>
        <v>#NAME?</v>
      </c>
      <c r="O114" t="e">
        <f t="shared" ca="1" si="24"/>
        <v>#NAME?</v>
      </c>
      <c r="P114" t="e">
        <f t="shared" ca="1" si="24"/>
        <v>#NAME?</v>
      </c>
      <c r="R114" t="e">
        <f t="shared" ca="1" si="27"/>
        <v>#NAME?</v>
      </c>
      <c r="S114" t="e">
        <f t="shared" ca="1" si="25"/>
        <v>#NAME?</v>
      </c>
      <c r="T114" t="e">
        <f t="shared" ca="1" si="25"/>
        <v>#NAME?</v>
      </c>
      <c r="U114" t="e">
        <f t="shared" ca="1" si="25"/>
        <v>#NAME?</v>
      </c>
      <c r="V114" t="e">
        <f t="shared" ca="1" si="25"/>
        <v>#NAME?</v>
      </c>
      <c r="W114" t="e">
        <f t="shared" ca="1" si="25"/>
        <v>#NAME?</v>
      </c>
      <c r="X114" t="e">
        <f t="shared" ca="1" si="25"/>
        <v>#NAME?</v>
      </c>
      <c r="Z114" s="15">
        <v>1</v>
      </c>
    </row>
    <row r="115" spans="1:26">
      <c r="A115" s="22" t="s">
        <v>201</v>
      </c>
      <c r="B115" s="121" t="s">
        <v>118</v>
      </c>
      <c r="C115" s="121" t="s">
        <v>118</v>
      </c>
      <c r="D115" s="28" t="s">
        <v>115</v>
      </c>
      <c r="E115" s="110" t="s">
        <v>139</v>
      </c>
      <c r="F115" s="25"/>
      <c r="G115" s="25"/>
      <c r="H115" s="25"/>
      <c r="J115" t="e">
        <f t="shared" ca="1" si="26"/>
        <v>#NAME?</v>
      </c>
      <c r="K115" t="e">
        <f t="shared" ca="1" si="24"/>
        <v>#NAME?</v>
      </c>
      <c r="L115" t="e">
        <f t="shared" ca="1" si="24"/>
        <v>#NAME?</v>
      </c>
      <c r="M115" t="e">
        <f t="shared" ca="1" si="24"/>
        <v>#NAME?</v>
      </c>
      <c r="N115" t="e">
        <f t="shared" ca="1" si="24"/>
        <v>#NAME?</v>
      </c>
      <c r="O115" t="e">
        <f t="shared" ca="1" si="24"/>
        <v>#NAME?</v>
      </c>
      <c r="P115" t="e">
        <f t="shared" ca="1" si="24"/>
        <v>#NAME?</v>
      </c>
      <c r="R115" t="e">
        <f t="shared" ca="1" si="27"/>
        <v>#NAME?</v>
      </c>
      <c r="S115" t="e">
        <f t="shared" ca="1" si="25"/>
        <v>#NAME?</v>
      </c>
      <c r="T115" t="e">
        <f t="shared" ca="1" si="25"/>
        <v>#NAME?</v>
      </c>
      <c r="U115" t="e">
        <f t="shared" ca="1" si="25"/>
        <v>#NAME?</v>
      </c>
      <c r="V115" t="e">
        <f t="shared" ca="1" si="25"/>
        <v>#NAME?</v>
      </c>
      <c r="W115" t="e">
        <f t="shared" ca="1" si="25"/>
        <v>#NAME?</v>
      </c>
      <c r="X115" t="e">
        <f t="shared" ca="1" si="25"/>
        <v>#NAME?</v>
      </c>
      <c r="Z115" s="15">
        <v>1</v>
      </c>
    </row>
    <row r="116" spans="1:26">
      <c r="A116" s="22" t="s">
        <v>202</v>
      </c>
      <c r="B116" s="101" t="s">
        <v>116</v>
      </c>
      <c r="C116" s="25"/>
      <c r="D116" s="121" t="s">
        <v>118</v>
      </c>
      <c r="E116" s="120" t="s">
        <v>118</v>
      </c>
      <c r="F116" s="110" t="s">
        <v>142</v>
      </c>
      <c r="G116" s="25"/>
      <c r="H116" s="25"/>
      <c r="J116" t="e">
        <f t="shared" ca="1" si="26"/>
        <v>#NAME?</v>
      </c>
      <c r="K116" t="e">
        <f t="shared" ca="1" si="24"/>
        <v>#NAME?</v>
      </c>
      <c r="L116" t="e">
        <f t="shared" ca="1" si="24"/>
        <v>#NAME?</v>
      </c>
      <c r="M116" t="e">
        <f t="shared" ca="1" si="24"/>
        <v>#NAME?</v>
      </c>
      <c r="N116" t="e">
        <f t="shared" ca="1" si="24"/>
        <v>#NAME?</v>
      </c>
      <c r="O116" t="e">
        <f t="shared" ca="1" si="24"/>
        <v>#NAME?</v>
      </c>
      <c r="P116" t="e">
        <f t="shared" ca="1" si="24"/>
        <v>#NAME?</v>
      </c>
      <c r="R116" t="e">
        <f t="shared" ca="1" si="27"/>
        <v>#NAME?</v>
      </c>
      <c r="S116" t="e">
        <f t="shared" ca="1" si="25"/>
        <v>#NAME?</v>
      </c>
      <c r="T116" t="e">
        <f t="shared" ca="1" si="25"/>
        <v>#NAME?</v>
      </c>
      <c r="U116" t="e">
        <f t="shared" ca="1" si="25"/>
        <v>#NAME?</v>
      </c>
      <c r="V116" t="e">
        <f t="shared" ca="1" si="25"/>
        <v>#NAME?</v>
      </c>
      <c r="W116" t="e">
        <f t="shared" ca="1" si="25"/>
        <v>#NAME?</v>
      </c>
      <c r="X116" t="e">
        <f t="shared" ca="1" si="25"/>
        <v>#NAME?</v>
      </c>
      <c r="Z116" s="15">
        <v>1</v>
      </c>
    </row>
    <row r="117" spans="1:26">
      <c r="A117" s="42" t="s">
        <v>203</v>
      </c>
      <c r="B117" s="25"/>
      <c r="C117" s="28" t="s">
        <v>115</v>
      </c>
      <c r="D117" s="101" t="s">
        <v>116</v>
      </c>
      <c r="E117" s="25"/>
      <c r="F117" s="25"/>
      <c r="G117" s="44" t="s">
        <v>186</v>
      </c>
      <c r="H117" s="120" t="s">
        <v>118</v>
      </c>
      <c r="J117" t="e">
        <f t="shared" ca="1" si="26"/>
        <v>#NAME?</v>
      </c>
      <c r="K117" t="e">
        <f t="shared" ca="1" si="24"/>
        <v>#NAME?</v>
      </c>
      <c r="L117" t="e">
        <f t="shared" ca="1" si="24"/>
        <v>#NAME?</v>
      </c>
      <c r="M117" t="e">
        <f t="shared" ca="1" si="24"/>
        <v>#NAME?</v>
      </c>
      <c r="N117" t="e">
        <f t="shared" ca="1" si="24"/>
        <v>#NAME?</v>
      </c>
      <c r="O117" t="e">
        <f t="shared" ca="1" si="24"/>
        <v>#NAME?</v>
      </c>
      <c r="P117" t="e">
        <f t="shared" ca="1" si="24"/>
        <v>#NAME?</v>
      </c>
      <c r="R117" t="e">
        <f t="shared" ca="1" si="27"/>
        <v>#NAME?</v>
      </c>
      <c r="S117" t="e">
        <f t="shared" ca="1" si="25"/>
        <v>#NAME?</v>
      </c>
      <c r="T117" t="e">
        <f t="shared" ca="1" si="25"/>
        <v>#NAME?</v>
      </c>
      <c r="U117" t="e">
        <f t="shared" ca="1" si="25"/>
        <v>#NAME?</v>
      </c>
      <c r="V117" t="e">
        <f t="shared" ca="1" si="25"/>
        <v>#NAME?</v>
      </c>
      <c r="W117" t="e">
        <f t="shared" ca="1" si="25"/>
        <v>#NAME?</v>
      </c>
      <c r="X117" t="e">
        <f t="shared" ca="1" si="25"/>
        <v>#NAME?</v>
      </c>
      <c r="Z117" s="15">
        <v>1</v>
      </c>
    </row>
    <row r="118" spans="1:26">
      <c r="A118" s="22" t="s">
        <v>204</v>
      </c>
      <c r="B118" s="25"/>
      <c r="C118" s="25"/>
      <c r="D118" s="110" t="s">
        <v>139</v>
      </c>
      <c r="E118" s="28" t="s">
        <v>115</v>
      </c>
      <c r="F118" s="25"/>
      <c r="G118" s="120" t="s">
        <v>118</v>
      </c>
      <c r="H118" s="44" t="s">
        <v>186</v>
      </c>
      <c r="J118" t="e">
        <f t="shared" ca="1" si="26"/>
        <v>#NAME?</v>
      </c>
      <c r="K118" t="e">
        <f t="shared" ca="1" si="24"/>
        <v>#NAME?</v>
      </c>
      <c r="L118" t="e">
        <f t="shared" ca="1" si="24"/>
        <v>#NAME?</v>
      </c>
      <c r="M118" t="e">
        <f t="shared" ca="1" si="24"/>
        <v>#NAME?</v>
      </c>
      <c r="N118" t="e">
        <f t="shared" ca="1" si="24"/>
        <v>#NAME?</v>
      </c>
      <c r="O118" t="e">
        <f t="shared" ca="1" si="24"/>
        <v>#NAME?</v>
      </c>
      <c r="P118" t="e">
        <f t="shared" ca="1" si="24"/>
        <v>#NAME?</v>
      </c>
      <c r="R118" t="e">
        <f t="shared" ca="1" si="27"/>
        <v>#NAME?</v>
      </c>
      <c r="S118" t="e">
        <f t="shared" ca="1" si="25"/>
        <v>#NAME?</v>
      </c>
      <c r="T118" t="e">
        <f t="shared" ca="1" si="25"/>
        <v>#NAME?</v>
      </c>
      <c r="U118" t="e">
        <f t="shared" ca="1" si="25"/>
        <v>#NAME?</v>
      </c>
      <c r="V118" t="e">
        <f t="shared" ca="1" si="25"/>
        <v>#NAME?</v>
      </c>
      <c r="W118" t="e">
        <f t="shared" ca="1" si="25"/>
        <v>#NAME?</v>
      </c>
      <c r="X118" t="e">
        <f t="shared" ca="1" si="25"/>
        <v>#NAME?</v>
      </c>
      <c r="Z118" s="15">
        <v>1</v>
      </c>
    </row>
    <row r="119" spans="1:26">
      <c r="A119" s="22" t="s">
        <v>205</v>
      </c>
      <c r="B119" s="120" t="s">
        <v>118</v>
      </c>
      <c r="C119" s="25"/>
      <c r="D119" s="120" t="s">
        <v>118</v>
      </c>
      <c r="E119" s="90" t="s">
        <v>118</v>
      </c>
      <c r="F119" s="101" t="s">
        <v>116</v>
      </c>
      <c r="G119" s="25"/>
      <c r="H119" s="25"/>
      <c r="J119" t="e">
        <f t="shared" ca="1" si="26"/>
        <v>#NAME?</v>
      </c>
      <c r="K119" t="e">
        <f t="shared" ca="1" si="24"/>
        <v>#NAME?</v>
      </c>
      <c r="L119" t="e">
        <f t="shared" ca="1" si="24"/>
        <v>#NAME?</v>
      </c>
      <c r="M119" t="e">
        <f t="shared" ca="1" si="24"/>
        <v>#NAME?</v>
      </c>
      <c r="N119" t="e">
        <f t="shared" ca="1" si="24"/>
        <v>#NAME?</v>
      </c>
      <c r="O119" t="e">
        <f t="shared" ca="1" si="24"/>
        <v>#NAME?</v>
      </c>
      <c r="P119" t="e">
        <f t="shared" ca="1" si="24"/>
        <v>#NAME?</v>
      </c>
      <c r="R119" t="e">
        <f t="shared" ca="1" si="27"/>
        <v>#NAME?</v>
      </c>
      <c r="S119" t="e">
        <f t="shared" ca="1" si="25"/>
        <v>#NAME?</v>
      </c>
      <c r="T119" t="e">
        <f t="shared" ca="1" si="25"/>
        <v>#NAME?</v>
      </c>
      <c r="U119" t="e">
        <f t="shared" ca="1" si="25"/>
        <v>#NAME?</v>
      </c>
      <c r="V119" t="e">
        <f t="shared" ca="1" si="25"/>
        <v>#NAME?</v>
      </c>
      <c r="W119" t="e">
        <f t="shared" ca="1" si="25"/>
        <v>#NAME?</v>
      </c>
      <c r="X119" t="e">
        <f t="shared" ca="1" si="25"/>
        <v>#NAME?</v>
      </c>
      <c r="Z119" s="15">
        <v>1</v>
      </c>
    </row>
    <row r="120" spans="1:26">
      <c r="A120" s="22" t="s">
        <v>206</v>
      </c>
      <c r="B120" s="25"/>
      <c r="C120" s="25" t="s">
        <v>152</v>
      </c>
      <c r="D120" s="25" t="s">
        <v>152</v>
      </c>
      <c r="E120" s="25" t="s">
        <v>152</v>
      </c>
      <c r="F120" s="25" t="s">
        <v>152</v>
      </c>
      <c r="G120" s="25"/>
      <c r="H120" s="25"/>
      <c r="J120" t="e">
        <f t="shared" ca="1" si="26"/>
        <v>#NAME?</v>
      </c>
      <c r="K120" t="e">
        <f t="shared" ca="1" si="24"/>
        <v>#NAME?</v>
      </c>
      <c r="L120" t="e">
        <f t="shared" ca="1" si="24"/>
        <v>#NAME?</v>
      </c>
      <c r="M120" t="e">
        <f t="shared" ca="1" si="24"/>
        <v>#NAME?</v>
      </c>
      <c r="N120" t="e">
        <f t="shared" ca="1" si="24"/>
        <v>#NAME?</v>
      </c>
      <c r="O120" t="e">
        <f t="shared" ca="1" si="24"/>
        <v>#NAME?</v>
      </c>
      <c r="P120" t="e">
        <f t="shared" ca="1" si="24"/>
        <v>#NAME?</v>
      </c>
      <c r="R120" t="e">
        <f t="shared" ca="1" si="27"/>
        <v>#NAME?</v>
      </c>
      <c r="S120" t="e">
        <f t="shared" ca="1" si="25"/>
        <v>#NAME?</v>
      </c>
      <c r="T120" t="e">
        <f t="shared" ca="1" si="25"/>
        <v>#NAME?</v>
      </c>
      <c r="U120" t="e">
        <f t="shared" ca="1" si="25"/>
        <v>#NAME?</v>
      </c>
      <c r="V120" t="e">
        <f t="shared" ca="1" si="25"/>
        <v>#NAME?</v>
      </c>
      <c r="W120" t="e">
        <f t="shared" ca="1" si="25"/>
        <v>#NAME?</v>
      </c>
      <c r="X120" t="e">
        <f t="shared" ca="1" si="25"/>
        <v>#NAME?</v>
      </c>
      <c r="Z120" s="15">
        <v>1</v>
      </c>
    </row>
    <row r="121" spans="1:26">
      <c r="A121" s="22" t="s">
        <v>207</v>
      </c>
      <c r="B121" s="121" t="s">
        <v>118</v>
      </c>
      <c r="C121" s="25"/>
      <c r="D121" s="25"/>
      <c r="E121" s="123"/>
      <c r="F121" s="110" t="s">
        <v>139</v>
      </c>
      <c r="G121" s="123"/>
      <c r="H121" s="123"/>
      <c r="J121" t="e">
        <f t="shared" ca="1" si="26"/>
        <v>#NAME?</v>
      </c>
      <c r="K121" t="e">
        <f t="shared" ca="1" si="24"/>
        <v>#NAME?</v>
      </c>
      <c r="L121" t="e">
        <f t="shared" ca="1" si="24"/>
        <v>#NAME?</v>
      </c>
      <c r="M121" t="e">
        <f t="shared" ca="1" si="24"/>
        <v>#NAME?</v>
      </c>
      <c r="N121" t="e">
        <f t="shared" ca="1" si="24"/>
        <v>#NAME?</v>
      </c>
      <c r="O121" t="e">
        <f t="shared" ca="1" si="24"/>
        <v>#NAME?</v>
      </c>
      <c r="P121" t="e">
        <f t="shared" ca="1" si="24"/>
        <v>#NAME?</v>
      </c>
      <c r="R121" t="e">
        <f t="shared" ca="1" si="27"/>
        <v>#NAME?</v>
      </c>
      <c r="S121" t="e">
        <f t="shared" ca="1" si="25"/>
        <v>#NAME?</v>
      </c>
      <c r="T121" t="e">
        <f t="shared" ca="1" si="25"/>
        <v>#NAME?</v>
      </c>
      <c r="U121" t="e">
        <f t="shared" ca="1" si="25"/>
        <v>#NAME?</v>
      </c>
      <c r="V121" t="e">
        <f t="shared" ca="1" si="25"/>
        <v>#NAME?</v>
      </c>
      <c r="W121" t="e">
        <f t="shared" ca="1" si="25"/>
        <v>#NAME?</v>
      </c>
      <c r="X121" t="e">
        <f t="shared" ca="1" si="25"/>
        <v>#NAME?</v>
      </c>
      <c r="Z121" s="15">
        <v>0.5</v>
      </c>
    </row>
    <row r="122" spans="1:26">
      <c r="A122" s="22" t="s">
        <v>208</v>
      </c>
      <c r="B122" s="25"/>
      <c r="C122" s="25"/>
      <c r="D122" s="25"/>
      <c r="E122" s="123"/>
      <c r="F122" s="123"/>
      <c r="G122" s="121" t="s">
        <v>118</v>
      </c>
      <c r="H122" s="101" t="s">
        <v>118</v>
      </c>
      <c r="J122" t="e">
        <f t="shared" ca="1" si="26"/>
        <v>#NAME?</v>
      </c>
      <c r="K122" t="e">
        <f t="shared" ca="1" si="24"/>
        <v>#NAME?</v>
      </c>
      <c r="L122" t="e">
        <f t="shared" ca="1" si="24"/>
        <v>#NAME?</v>
      </c>
      <c r="M122" t="e">
        <f t="shared" ca="1" si="24"/>
        <v>#NAME?</v>
      </c>
      <c r="N122" t="e">
        <f t="shared" ca="1" si="24"/>
        <v>#NAME?</v>
      </c>
      <c r="O122" t="e">
        <f t="shared" ca="1" si="24"/>
        <v>#NAME?</v>
      </c>
      <c r="P122" t="e">
        <f t="shared" ca="1" si="24"/>
        <v>#NAME?</v>
      </c>
      <c r="R122" t="e">
        <f t="shared" ca="1" si="27"/>
        <v>#NAME?</v>
      </c>
      <c r="S122" t="e">
        <f t="shared" ca="1" si="25"/>
        <v>#NAME?</v>
      </c>
      <c r="T122" t="e">
        <f t="shared" ca="1" si="25"/>
        <v>#NAME?</v>
      </c>
      <c r="U122" t="e">
        <f t="shared" ca="1" si="25"/>
        <v>#NAME?</v>
      </c>
      <c r="V122" t="e">
        <f t="shared" ca="1" si="25"/>
        <v>#NAME?</v>
      </c>
      <c r="W122" t="e">
        <f t="shared" ca="1" si="25"/>
        <v>#NAME?</v>
      </c>
      <c r="X122" t="e">
        <f t="shared" ca="1" si="25"/>
        <v>#NAME?</v>
      </c>
      <c r="Z122" s="15">
        <v>0.5</v>
      </c>
    </row>
    <row r="123" spans="1:26">
      <c r="A123" s="22" t="s">
        <v>209</v>
      </c>
      <c r="B123" s="25"/>
      <c r="C123" s="25"/>
      <c r="D123" s="25"/>
      <c r="E123" s="25"/>
      <c r="F123" s="25" t="s">
        <v>152</v>
      </c>
      <c r="G123" s="25" t="s">
        <v>152</v>
      </c>
      <c r="H123" s="25"/>
      <c r="J123" t="e">
        <f t="shared" ca="1" si="26"/>
        <v>#NAME?</v>
      </c>
      <c r="K123" t="e">
        <f t="shared" ca="1" si="24"/>
        <v>#NAME?</v>
      </c>
      <c r="L123" t="e">
        <f t="shared" ca="1" si="24"/>
        <v>#NAME?</v>
      </c>
      <c r="M123" t="e">
        <f t="shared" ca="1" si="24"/>
        <v>#NAME?</v>
      </c>
      <c r="N123" t="e">
        <f t="shared" ca="1" si="24"/>
        <v>#NAME?</v>
      </c>
      <c r="O123" t="e">
        <f t="shared" ca="1" si="24"/>
        <v>#NAME?</v>
      </c>
      <c r="P123" t="e">
        <f t="shared" ca="1" si="24"/>
        <v>#NAME?</v>
      </c>
      <c r="R123" t="e">
        <f t="shared" ca="1" si="27"/>
        <v>#NAME?</v>
      </c>
      <c r="S123" t="e">
        <f t="shared" ca="1" si="25"/>
        <v>#NAME?</v>
      </c>
      <c r="T123" t="e">
        <f t="shared" ca="1" si="25"/>
        <v>#NAME?</v>
      </c>
      <c r="U123" t="e">
        <f t="shared" ca="1" si="25"/>
        <v>#NAME?</v>
      </c>
      <c r="V123" t="e">
        <f t="shared" ca="1" si="25"/>
        <v>#NAME?</v>
      </c>
      <c r="W123" t="e">
        <f t="shared" ca="1" si="25"/>
        <v>#NAME?</v>
      </c>
      <c r="X123" t="e">
        <f t="shared" ca="1" si="25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5" t="s">
        <v>152</v>
      </c>
      <c r="E124" s="25" t="s">
        <v>152</v>
      </c>
      <c r="F124" s="25"/>
      <c r="G124" s="25"/>
      <c r="H124" s="25"/>
      <c r="J124" t="e">
        <f t="shared" ca="1" si="26"/>
        <v>#NAME?</v>
      </c>
      <c r="K124" t="e">
        <f t="shared" ca="1" si="24"/>
        <v>#NAME?</v>
      </c>
      <c r="L124" t="e">
        <f t="shared" ca="1" si="24"/>
        <v>#NAME?</v>
      </c>
      <c r="M124" t="e">
        <f t="shared" ca="1" si="24"/>
        <v>#NAME?</v>
      </c>
      <c r="N124" t="e">
        <f t="shared" ca="1" si="24"/>
        <v>#NAME?</v>
      </c>
      <c r="O124" t="e">
        <f t="shared" ca="1" si="24"/>
        <v>#NAME?</v>
      </c>
      <c r="P124" t="e">
        <f t="shared" ca="1" si="24"/>
        <v>#NAME?</v>
      </c>
      <c r="R124" t="e">
        <f t="shared" ca="1" si="27"/>
        <v>#NAME?</v>
      </c>
      <c r="S124" t="e">
        <f t="shared" ca="1" si="25"/>
        <v>#NAME?</v>
      </c>
      <c r="T124" t="e">
        <f t="shared" ca="1" si="25"/>
        <v>#NAME?</v>
      </c>
      <c r="U124" t="e">
        <f t="shared" ca="1" si="25"/>
        <v>#NAME?</v>
      </c>
      <c r="V124" t="e">
        <f t="shared" ca="1" si="25"/>
        <v>#NAME?</v>
      </c>
      <c r="W124" t="e">
        <f t="shared" ca="1" si="25"/>
        <v>#NAME?</v>
      </c>
      <c r="X124" t="e">
        <f t="shared" ca="1" si="25"/>
        <v>#NAME?</v>
      </c>
      <c r="Z124" s="15">
        <v>0.5</v>
      </c>
    </row>
    <row r="125" spans="1:26">
      <c r="A125" s="22" t="s">
        <v>212</v>
      </c>
      <c r="B125" s="101" t="s">
        <v>118</v>
      </c>
      <c r="C125" s="120" t="s">
        <v>118</v>
      </c>
      <c r="D125" s="90" t="s">
        <v>118</v>
      </c>
      <c r="E125" s="25"/>
      <c r="F125" s="25"/>
      <c r="G125" s="25" t="s">
        <v>152</v>
      </c>
      <c r="H125" s="25" t="s">
        <v>152</v>
      </c>
      <c r="J125" t="e">
        <f t="shared" ca="1" si="26"/>
        <v>#NAME?</v>
      </c>
      <c r="K125" t="e">
        <f t="shared" ca="1" si="24"/>
        <v>#NAME?</v>
      </c>
      <c r="L125" t="e">
        <f t="shared" ca="1" si="24"/>
        <v>#NAME?</v>
      </c>
      <c r="M125" t="e">
        <f t="shared" ca="1" si="24"/>
        <v>#NAME?</v>
      </c>
      <c r="N125" t="e">
        <f t="shared" ca="1" si="24"/>
        <v>#NAME?</v>
      </c>
      <c r="O125" t="e">
        <f t="shared" ca="1" si="24"/>
        <v>#NAME?</v>
      </c>
      <c r="P125" t="e">
        <f t="shared" ca="1" si="24"/>
        <v>#NAME?</v>
      </c>
      <c r="R125" t="e">
        <f t="shared" ca="1" si="27"/>
        <v>#NAME?</v>
      </c>
      <c r="S125" t="e">
        <f t="shared" ca="1" si="25"/>
        <v>#NAME?</v>
      </c>
      <c r="T125" t="e">
        <f t="shared" ca="1" si="25"/>
        <v>#NAME?</v>
      </c>
      <c r="U125" t="e">
        <f t="shared" ca="1" si="25"/>
        <v>#NAME?</v>
      </c>
      <c r="V125" t="e">
        <f t="shared" ca="1" si="25"/>
        <v>#NAME?</v>
      </c>
      <c r="W125" t="e">
        <f t="shared" ca="1" si="25"/>
        <v>#NAME?</v>
      </c>
      <c r="X125" t="e">
        <f t="shared" ca="1" si="25"/>
        <v>#NAME?</v>
      </c>
      <c r="Z125" s="15">
        <v>1</v>
      </c>
    </row>
    <row r="126" spans="1:26">
      <c r="A126" s="22" t="s">
        <v>213</v>
      </c>
      <c r="B126" s="25" t="s">
        <v>152</v>
      </c>
      <c r="C126" s="25"/>
      <c r="D126" s="25"/>
      <c r="E126" s="25"/>
      <c r="F126" s="25"/>
      <c r="G126" s="44" t="s">
        <v>189</v>
      </c>
      <c r="H126" s="44" t="s">
        <v>189</v>
      </c>
      <c r="J126" t="e">
        <f t="shared" ca="1" si="26"/>
        <v>#NAME?</v>
      </c>
      <c r="K126" t="e">
        <f t="shared" ca="1" si="24"/>
        <v>#NAME?</v>
      </c>
      <c r="L126" t="e">
        <f t="shared" ca="1" si="24"/>
        <v>#NAME?</v>
      </c>
      <c r="M126" t="e">
        <f t="shared" ca="1" si="24"/>
        <v>#NAME?</v>
      </c>
      <c r="N126" t="e">
        <f t="shared" ca="1" si="24"/>
        <v>#NAME?</v>
      </c>
      <c r="O126" t="e">
        <f t="shared" ca="1" si="24"/>
        <v>#NAME?</v>
      </c>
      <c r="P126" t="e">
        <f t="shared" ca="1" si="24"/>
        <v>#NAME?</v>
      </c>
      <c r="R126" t="e">
        <f t="shared" ca="1" si="27"/>
        <v>#NAME?</v>
      </c>
      <c r="S126" t="e">
        <f t="shared" ca="1" si="25"/>
        <v>#NAME?</v>
      </c>
      <c r="T126" t="e">
        <f t="shared" ca="1" si="25"/>
        <v>#NAME?</v>
      </c>
      <c r="U126" t="e">
        <f t="shared" ca="1" si="25"/>
        <v>#NAME?</v>
      </c>
      <c r="V126" t="e">
        <f t="shared" ca="1" si="25"/>
        <v>#NAME?</v>
      </c>
      <c r="W126" t="e">
        <f t="shared" ca="1" si="25"/>
        <v>#NAME?</v>
      </c>
      <c r="X126" t="e">
        <f t="shared" ca="1" si="25"/>
        <v>#NAME?</v>
      </c>
      <c r="Z126" s="15">
        <v>1</v>
      </c>
    </row>
    <row r="127" spans="1:26">
      <c r="A127" s="106" t="s">
        <v>383</v>
      </c>
      <c r="B127" s="107" t="str">
        <f t="shared" ref="B127:H127" si="28">B58</f>
        <v>Mon 22 Jun</v>
      </c>
      <c r="C127" s="107" t="str">
        <f t="shared" si="28"/>
        <v>Tues 23 Jun</v>
      </c>
      <c r="D127" s="107" t="str">
        <f t="shared" si="28"/>
        <v>Wed 24 Jun</v>
      </c>
      <c r="E127" s="107" t="str">
        <f t="shared" si="28"/>
        <v>Thu 25 Jun</v>
      </c>
      <c r="F127" s="107" t="str">
        <f t="shared" si="28"/>
        <v>Fri 26 Jun</v>
      </c>
      <c r="G127" s="107" t="str">
        <f t="shared" si="28"/>
        <v>Sat 27 Jun</v>
      </c>
      <c r="H127" s="107" t="str">
        <f t="shared" si="28"/>
        <v>Sun 28 Jun</v>
      </c>
      <c r="J127" t="e">
        <f t="shared" ca="1" si="26"/>
        <v>#NAME?</v>
      </c>
      <c r="K127" t="e">
        <f t="shared" ca="1" si="24"/>
        <v>#NAME?</v>
      </c>
      <c r="L127" t="e">
        <f t="shared" ca="1" si="24"/>
        <v>#NAME?</v>
      </c>
      <c r="M127" t="e">
        <f t="shared" ca="1" si="24"/>
        <v>#NAME?</v>
      </c>
      <c r="N127" t="e">
        <f t="shared" ca="1" si="24"/>
        <v>#NAME?</v>
      </c>
      <c r="O127" t="e">
        <f t="shared" ca="1" si="24"/>
        <v>#NAME?</v>
      </c>
      <c r="P127" t="e">
        <f t="shared" ca="1" si="24"/>
        <v>#NAME?</v>
      </c>
      <c r="R127" t="e">
        <f t="shared" ca="1" si="27"/>
        <v>#NAME?</v>
      </c>
      <c r="S127" t="e">
        <f t="shared" ca="1" si="25"/>
        <v>#NAME?</v>
      </c>
      <c r="T127" t="e">
        <f t="shared" ca="1" si="25"/>
        <v>#NAME?</v>
      </c>
      <c r="U127" t="e">
        <f t="shared" ca="1" si="25"/>
        <v>#NAME?</v>
      </c>
      <c r="V127" t="e">
        <f t="shared" ca="1" si="25"/>
        <v>#NAME?</v>
      </c>
      <c r="W127" t="e">
        <f t="shared" ca="1" si="25"/>
        <v>#NAME?</v>
      </c>
      <c r="X127" t="e">
        <f t="shared" ca="1" si="25"/>
        <v>#NAME?</v>
      </c>
      <c r="Z127" s="53"/>
    </row>
    <row r="128" spans="1:26">
      <c r="A128" s="22" t="s">
        <v>358</v>
      </c>
      <c r="B128" s="127" t="s">
        <v>18</v>
      </c>
      <c r="C128" s="128"/>
      <c r="D128" s="128"/>
      <c r="E128" s="128"/>
      <c r="F128" s="128"/>
      <c r="G128" s="128"/>
      <c r="H128" s="129"/>
      <c r="J128" t="e">
        <f t="shared" ca="1" si="26"/>
        <v>#NAME?</v>
      </c>
      <c r="K128" t="e">
        <f t="shared" ca="1" si="24"/>
        <v>#NAME?</v>
      </c>
      <c r="L128" t="e">
        <f t="shared" ca="1" si="24"/>
        <v>#NAME?</v>
      </c>
      <c r="M128" t="e">
        <f t="shared" ca="1" si="24"/>
        <v>#NAME?</v>
      </c>
      <c r="N128" t="e">
        <f t="shared" ca="1" si="24"/>
        <v>#NAME?</v>
      </c>
      <c r="O128" t="e">
        <f t="shared" ca="1" si="24"/>
        <v>#NAME?</v>
      </c>
      <c r="P128" t="e">
        <f t="shared" ca="1" si="24"/>
        <v>#NAME?</v>
      </c>
      <c r="R128" t="e">
        <f t="shared" ca="1" si="27"/>
        <v>#NAME?</v>
      </c>
      <c r="S128" t="e">
        <f t="shared" ca="1" si="25"/>
        <v>#NAME?</v>
      </c>
      <c r="T128" t="e">
        <f t="shared" ca="1" si="25"/>
        <v>#NAME?</v>
      </c>
      <c r="U128" t="e">
        <f t="shared" ca="1" si="25"/>
        <v>#NAME?</v>
      </c>
      <c r="V128" t="e">
        <f t="shared" ca="1" si="25"/>
        <v>#NAME?</v>
      </c>
      <c r="W128" t="e">
        <f t="shared" ca="1" si="25"/>
        <v>#NAME?</v>
      </c>
      <c r="X128" t="e">
        <f t="shared" ca="1" si="25"/>
        <v>#NAME?</v>
      </c>
      <c r="Z128" s="15">
        <v>1</v>
      </c>
    </row>
    <row r="129" spans="1:34">
      <c r="A129" s="22" t="s">
        <v>359</v>
      </c>
      <c r="B129" s="90" t="s">
        <v>116</v>
      </c>
      <c r="C129" s="25"/>
      <c r="D129" s="91" t="s">
        <v>118</v>
      </c>
      <c r="E129" s="110" t="s">
        <v>142</v>
      </c>
      <c r="F129" s="44" t="s">
        <v>186</v>
      </c>
      <c r="G129" s="127" t="s">
        <v>20</v>
      </c>
      <c r="H129" s="129"/>
      <c r="J129" t="e">
        <f t="shared" ca="1" si="26"/>
        <v>#NAME?</v>
      </c>
      <c r="K129" t="e">
        <f t="shared" ca="1" si="24"/>
        <v>#NAME?</v>
      </c>
      <c r="L129" t="e">
        <f t="shared" ca="1" si="24"/>
        <v>#NAME?</v>
      </c>
      <c r="M129" t="e">
        <f t="shared" ca="1" si="24"/>
        <v>#NAME?</v>
      </c>
      <c r="N129" t="e">
        <f t="shared" ca="1" si="24"/>
        <v>#NAME?</v>
      </c>
      <c r="O129" t="e">
        <f t="shared" ca="1" si="24"/>
        <v>#NAME?</v>
      </c>
      <c r="P129" t="e">
        <f t="shared" ca="1" si="24"/>
        <v>#NAME?</v>
      </c>
      <c r="R129" t="e">
        <f t="shared" ca="1" si="27"/>
        <v>#NAME?</v>
      </c>
      <c r="S129" t="e">
        <f t="shared" ca="1" si="25"/>
        <v>#NAME?</v>
      </c>
      <c r="T129" t="e">
        <f t="shared" ca="1" si="25"/>
        <v>#NAME?</v>
      </c>
      <c r="U129" t="e">
        <f t="shared" ca="1" si="25"/>
        <v>#NAME?</v>
      </c>
      <c r="V129" t="e">
        <f t="shared" ca="1" si="25"/>
        <v>#NAME?</v>
      </c>
      <c r="W129" t="e">
        <f t="shared" ca="1" si="25"/>
        <v>#NAME?</v>
      </c>
      <c r="X129" t="e">
        <f t="shared" ca="1" si="25"/>
        <v>#NAME?</v>
      </c>
      <c r="Z129" s="15">
        <v>1</v>
      </c>
    </row>
    <row r="130" spans="1:34">
      <c r="A130" s="22" t="s">
        <v>360</v>
      </c>
      <c r="B130" s="110" t="s">
        <v>139</v>
      </c>
      <c r="C130" s="44" t="s">
        <v>189</v>
      </c>
      <c r="D130" s="25"/>
      <c r="E130" s="91" t="s">
        <v>116</v>
      </c>
      <c r="F130" s="91" t="s">
        <v>116</v>
      </c>
      <c r="G130" s="25"/>
      <c r="H130" s="25"/>
      <c r="J130" t="e">
        <f t="shared" ca="1" si="26"/>
        <v>#NAME?</v>
      </c>
      <c r="K130" t="e">
        <f t="shared" ca="1" si="24"/>
        <v>#NAME?</v>
      </c>
      <c r="L130" t="e">
        <f t="shared" ca="1" si="24"/>
        <v>#NAME?</v>
      </c>
      <c r="M130" t="e">
        <f t="shared" ca="1" si="24"/>
        <v>#NAME?</v>
      </c>
      <c r="N130" t="e">
        <f t="shared" ca="1" si="24"/>
        <v>#NAME?</v>
      </c>
      <c r="O130" t="e">
        <f t="shared" ca="1" si="24"/>
        <v>#NAME?</v>
      </c>
      <c r="P130" t="e">
        <f t="shared" ca="1" si="24"/>
        <v>#NAME?</v>
      </c>
      <c r="R130" t="e">
        <f t="shared" ca="1" si="27"/>
        <v>#NAME?</v>
      </c>
      <c r="S130" t="e">
        <f t="shared" ca="1" si="25"/>
        <v>#NAME?</v>
      </c>
      <c r="T130" t="e">
        <f t="shared" ca="1" si="25"/>
        <v>#NAME?</v>
      </c>
      <c r="U130" t="e">
        <f t="shared" ca="1" si="25"/>
        <v>#NAME?</v>
      </c>
      <c r="V130" t="e">
        <f t="shared" ca="1" si="25"/>
        <v>#NAME?</v>
      </c>
      <c r="W130" t="e">
        <f t="shared" ca="1" si="25"/>
        <v>#NAME?</v>
      </c>
      <c r="X130" t="e">
        <f t="shared" ca="1" si="25"/>
        <v>#NAME?</v>
      </c>
      <c r="Z130" s="15">
        <v>1</v>
      </c>
    </row>
    <row r="131" spans="1:34">
      <c r="A131" s="22" t="s">
        <v>361</v>
      </c>
      <c r="B131" s="91" t="s">
        <v>118</v>
      </c>
      <c r="C131" s="90" t="s">
        <v>118</v>
      </c>
      <c r="D131" s="25"/>
      <c r="E131" s="25"/>
      <c r="F131" s="25"/>
      <c r="G131" s="90" t="s">
        <v>116</v>
      </c>
      <c r="H131" s="91" t="s">
        <v>116</v>
      </c>
      <c r="J131" t="e">
        <f t="shared" ca="1" si="26"/>
        <v>#NAME?</v>
      </c>
      <c r="K131" t="e">
        <f t="shared" ca="1" si="24"/>
        <v>#NAME?</v>
      </c>
      <c r="L131" t="e">
        <f t="shared" ca="1" si="24"/>
        <v>#NAME?</v>
      </c>
      <c r="M131" t="e">
        <f t="shared" ca="1" si="24"/>
        <v>#NAME?</v>
      </c>
      <c r="N131" t="e">
        <f t="shared" ca="1" si="24"/>
        <v>#NAME?</v>
      </c>
      <c r="O131" t="e">
        <f t="shared" ca="1" si="24"/>
        <v>#NAME?</v>
      </c>
      <c r="P131" t="e">
        <f t="shared" ca="1" si="24"/>
        <v>#NAME?</v>
      </c>
      <c r="R131" t="e">
        <f t="shared" ca="1" si="27"/>
        <v>#NAME?</v>
      </c>
      <c r="S131" t="e">
        <f t="shared" ca="1" si="25"/>
        <v>#NAME?</v>
      </c>
      <c r="T131" t="e">
        <f t="shared" ca="1" si="25"/>
        <v>#NAME?</v>
      </c>
      <c r="U131" t="e">
        <f t="shared" ca="1" si="25"/>
        <v>#NAME?</v>
      </c>
      <c r="V131" t="e">
        <f t="shared" ca="1" si="25"/>
        <v>#NAME?</v>
      </c>
      <c r="W131" t="e">
        <f t="shared" ca="1" si="25"/>
        <v>#NAME?</v>
      </c>
      <c r="X131" t="e">
        <f t="shared" ca="1" si="25"/>
        <v>#NAME?</v>
      </c>
      <c r="Z131" s="15">
        <v>1</v>
      </c>
    </row>
    <row r="132" spans="1:34">
      <c r="A132" s="22" t="s">
        <v>362</v>
      </c>
      <c r="B132" s="28" t="s">
        <v>115</v>
      </c>
      <c r="C132" s="91" t="s">
        <v>116</v>
      </c>
      <c r="D132" s="25"/>
      <c r="E132" s="90" t="s">
        <v>118</v>
      </c>
      <c r="F132" s="44" t="s">
        <v>189</v>
      </c>
      <c r="G132" s="25"/>
      <c r="H132" s="25"/>
      <c r="J132" t="e">
        <f t="shared" ca="1" si="26"/>
        <v>#NAME?</v>
      </c>
      <c r="K132" t="e">
        <f t="shared" ca="1" si="24"/>
        <v>#NAME?</v>
      </c>
      <c r="L132" t="e">
        <f t="shared" ca="1" si="24"/>
        <v>#NAME?</v>
      </c>
      <c r="M132" t="e">
        <f t="shared" ca="1" si="24"/>
        <v>#NAME?</v>
      </c>
      <c r="N132" t="e">
        <f t="shared" ca="1" si="24"/>
        <v>#NAME?</v>
      </c>
      <c r="O132" t="e">
        <f t="shared" ca="1" si="24"/>
        <v>#NAME?</v>
      </c>
      <c r="P132" t="e">
        <f t="shared" ca="1" si="24"/>
        <v>#NAME?</v>
      </c>
      <c r="R132" t="e">
        <f t="shared" ca="1" si="27"/>
        <v>#NAME?</v>
      </c>
      <c r="S132" t="e">
        <f t="shared" ca="1" si="25"/>
        <v>#NAME?</v>
      </c>
      <c r="T132" t="e">
        <f t="shared" ca="1" si="25"/>
        <v>#NAME?</v>
      </c>
      <c r="U132" t="e">
        <f t="shared" ca="1" si="25"/>
        <v>#NAME?</v>
      </c>
      <c r="V132" t="e">
        <f t="shared" ca="1" si="25"/>
        <v>#NAME?</v>
      </c>
      <c r="W132" t="e">
        <f t="shared" ca="1" si="25"/>
        <v>#NAME?</v>
      </c>
      <c r="X132" t="e">
        <f t="shared" ca="1" si="25"/>
        <v>#NAME?</v>
      </c>
      <c r="Z132" s="15">
        <v>1</v>
      </c>
    </row>
    <row r="133" spans="1:34">
      <c r="A133" s="22" t="s">
        <v>363</v>
      </c>
      <c r="B133" s="25"/>
      <c r="C133" s="25"/>
      <c r="D133" s="44" t="s">
        <v>186</v>
      </c>
      <c r="E133" s="91" t="s">
        <v>118</v>
      </c>
      <c r="F133" s="90" t="s">
        <v>118</v>
      </c>
      <c r="G133" s="25"/>
      <c r="H133" s="25"/>
      <c r="J133" t="e">
        <f t="shared" ca="1" si="26"/>
        <v>#NAME?</v>
      </c>
      <c r="K133" t="e">
        <f t="shared" ca="1" si="24"/>
        <v>#NAME?</v>
      </c>
      <c r="L133" t="e">
        <f t="shared" ca="1" si="24"/>
        <v>#NAME?</v>
      </c>
      <c r="M133" t="e">
        <f t="shared" ca="1" si="24"/>
        <v>#NAME?</v>
      </c>
      <c r="N133" t="e">
        <f t="shared" ca="1" si="24"/>
        <v>#NAME?</v>
      </c>
      <c r="O133" t="e">
        <f t="shared" ca="1" si="24"/>
        <v>#NAME?</v>
      </c>
      <c r="P133" t="e">
        <f t="shared" ca="1" si="24"/>
        <v>#NAME?</v>
      </c>
      <c r="R133" t="e">
        <f t="shared" ca="1" si="27"/>
        <v>#NAME?</v>
      </c>
      <c r="S133" t="e">
        <f t="shared" ca="1" si="25"/>
        <v>#NAME?</v>
      </c>
      <c r="T133" t="e">
        <f t="shared" ca="1" si="25"/>
        <v>#NAME?</v>
      </c>
      <c r="U133" t="e">
        <f t="shared" ca="1" si="25"/>
        <v>#NAME?</v>
      </c>
      <c r="V133" t="e">
        <f t="shared" ca="1" si="25"/>
        <v>#NAME?</v>
      </c>
      <c r="W133" t="e">
        <f t="shared" ca="1" si="25"/>
        <v>#NAME?</v>
      </c>
      <c r="X133" t="e">
        <f t="shared" ca="1" si="25"/>
        <v>#NAME?</v>
      </c>
      <c r="Z133" s="15">
        <v>1</v>
      </c>
    </row>
    <row r="134" spans="1:34">
      <c r="A134" s="22" t="s">
        <v>364</v>
      </c>
      <c r="B134" s="25" t="s">
        <v>152</v>
      </c>
      <c r="C134" s="25" t="s">
        <v>152</v>
      </c>
      <c r="D134" s="25" t="s">
        <v>152</v>
      </c>
      <c r="E134" s="25"/>
      <c r="F134" s="25"/>
      <c r="G134" s="25"/>
      <c r="H134" s="25"/>
      <c r="J134" t="e">
        <f t="shared" ca="1" si="26"/>
        <v>#NAME?</v>
      </c>
      <c r="K134" t="e">
        <f t="shared" ca="1" si="24"/>
        <v>#NAME?</v>
      </c>
      <c r="L134" t="e">
        <f t="shared" ca="1" si="24"/>
        <v>#NAME?</v>
      </c>
      <c r="M134" t="e">
        <f t="shared" ca="1" si="24"/>
        <v>#NAME?</v>
      </c>
      <c r="N134" t="e">
        <f t="shared" ca="1" si="24"/>
        <v>#NAME?</v>
      </c>
      <c r="O134" t="e">
        <f t="shared" ca="1" si="24"/>
        <v>#NAME?</v>
      </c>
      <c r="P134" t="e">
        <f t="shared" ca="1" si="24"/>
        <v>#NAME?</v>
      </c>
      <c r="R134" t="e">
        <f t="shared" ca="1" si="27"/>
        <v>#NAME?</v>
      </c>
      <c r="S134" t="e">
        <f t="shared" ca="1" si="25"/>
        <v>#NAME?</v>
      </c>
      <c r="T134" t="e">
        <f t="shared" ca="1" si="25"/>
        <v>#NAME?</v>
      </c>
      <c r="U134" t="e">
        <f t="shared" ca="1" si="25"/>
        <v>#NAME?</v>
      </c>
      <c r="V134" t="e">
        <f t="shared" ca="1" si="25"/>
        <v>#NAME?</v>
      </c>
      <c r="W134" t="e">
        <f t="shared" ca="1" si="25"/>
        <v>#NAME?</v>
      </c>
      <c r="X134" t="e">
        <f t="shared" ca="1" si="25"/>
        <v>#NAME?</v>
      </c>
      <c r="Z134" s="15">
        <v>1</v>
      </c>
    </row>
    <row r="135" spans="1:34">
      <c r="A135" s="22" t="s">
        <v>365</v>
      </c>
      <c r="B135" s="25"/>
      <c r="C135" s="25"/>
      <c r="D135" s="25"/>
      <c r="E135" s="25" t="s">
        <v>152</v>
      </c>
      <c r="F135" s="25" t="s">
        <v>152</v>
      </c>
      <c r="G135" s="25" t="s">
        <v>152</v>
      </c>
      <c r="H135" s="25" t="s">
        <v>152</v>
      </c>
      <c r="J135" t="e">
        <f t="shared" ca="1" si="26"/>
        <v>#NAME?</v>
      </c>
      <c r="K135" t="e">
        <f t="shared" ca="1" si="24"/>
        <v>#NAME?</v>
      </c>
      <c r="L135" t="e">
        <f t="shared" ca="1" si="24"/>
        <v>#NAME?</v>
      </c>
      <c r="M135" t="e">
        <f t="shared" ca="1" si="24"/>
        <v>#NAME?</v>
      </c>
      <c r="N135" t="e">
        <f t="shared" ca="1" si="24"/>
        <v>#NAME?</v>
      </c>
      <c r="O135" t="e">
        <f t="shared" ca="1" si="24"/>
        <v>#NAME?</v>
      </c>
      <c r="P135" t="e">
        <f t="shared" ca="1" si="24"/>
        <v>#NAME?</v>
      </c>
      <c r="R135" t="e">
        <f t="shared" ca="1" si="27"/>
        <v>#NAME?</v>
      </c>
      <c r="S135" t="e">
        <f t="shared" ca="1" si="25"/>
        <v>#NAME?</v>
      </c>
      <c r="T135" t="e">
        <f t="shared" ca="1" si="25"/>
        <v>#NAME?</v>
      </c>
      <c r="U135" t="e">
        <f t="shared" ca="1" si="25"/>
        <v>#NAME?</v>
      </c>
      <c r="V135" t="e">
        <f t="shared" ca="1" si="25"/>
        <v>#NAME?</v>
      </c>
      <c r="W135" t="e">
        <f t="shared" ca="1" si="25"/>
        <v>#NAME?</v>
      </c>
      <c r="X135" t="e">
        <f t="shared" ca="1" si="25"/>
        <v>#NAME?</v>
      </c>
      <c r="Z135" s="15">
        <v>1</v>
      </c>
    </row>
    <row r="136" spans="1:34">
      <c r="A136" s="106" t="s">
        <v>223</v>
      </c>
      <c r="B136" s="107" t="str">
        <f t="shared" ref="B136:H136" si="29">B101</f>
        <v>Mon 22 Jun</v>
      </c>
      <c r="C136" s="107" t="str">
        <f t="shared" si="29"/>
        <v>Tues 23 Jun</v>
      </c>
      <c r="D136" s="107" t="str">
        <f t="shared" si="29"/>
        <v>Wed 24 Jun</v>
      </c>
      <c r="E136" s="107" t="str">
        <f t="shared" si="29"/>
        <v>Thu 25 Jun</v>
      </c>
      <c r="F136" s="107" t="str">
        <f t="shared" si="29"/>
        <v>Fri 26 Jun</v>
      </c>
      <c r="G136" s="107" t="str">
        <f t="shared" si="29"/>
        <v>Sat 27 Jun</v>
      </c>
      <c r="H136" s="107" t="str">
        <f t="shared" si="29"/>
        <v>Sun 28 Jun</v>
      </c>
      <c r="J136" t="e">
        <f t="shared" ca="1" si="26"/>
        <v>#NAME?</v>
      </c>
      <c r="K136" t="e">
        <f t="shared" ca="1" si="24"/>
        <v>#NAME?</v>
      </c>
      <c r="L136" t="e">
        <f t="shared" ca="1" si="24"/>
        <v>#NAME?</v>
      </c>
      <c r="M136" t="e">
        <f t="shared" ca="1" si="24"/>
        <v>#NAME?</v>
      </c>
      <c r="N136" t="e">
        <f t="shared" ca="1" si="24"/>
        <v>#NAME?</v>
      </c>
      <c r="O136" t="e">
        <f t="shared" ca="1" si="24"/>
        <v>#NAME?</v>
      </c>
      <c r="P136" t="e">
        <f t="shared" ca="1" si="24"/>
        <v>#NAME?</v>
      </c>
      <c r="R136" t="e">
        <f t="shared" ca="1" si="27"/>
        <v>#NAME?</v>
      </c>
      <c r="S136" t="e">
        <f t="shared" ca="1" si="25"/>
        <v>#NAME?</v>
      </c>
      <c r="T136" t="e">
        <f t="shared" ca="1" si="25"/>
        <v>#NAME?</v>
      </c>
      <c r="U136" t="e">
        <f t="shared" ca="1" si="25"/>
        <v>#NAME?</v>
      </c>
      <c r="V136" t="e">
        <f t="shared" ca="1" si="25"/>
        <v>#NAME?</v>
      </c>
      <c r="W136" t="e">
        <f t="shared" ca="1" si="25"/>
        <v>#NAME?</v>
      </c>
      <c r="X136" t="e">
        <f t="shared" ca="1" si="25"/>
        <v>#NAME?</v>
      </c>
      <c r="Z136" s="53">
        <f>SUM(Z128:Z135)</f>
        <v>8</v>
      </c>
      <c r="AA136" s="55"/>
      <c r="AB136" s="55"/>
      <c r="AC136" s="55"/>
    </row>
    <row r="137" spans="1:34">
      <c r="A137" s="21" t="s">
        <v>406</v>
      </c>
      <c r="B137" s="91" t="s">
        <v>116</v>
      </c>
      <c r="C137" s="25"/>
      <c r="D137" s="90" t="s">
        <v>118</v>
      </c>
      <c r="E137" s="90" t="s">
        <v>118</v>
      </c>
      <c r="F137" s="91" t="s">
        <v>116</v>
      </c>
      <c r="G137" s="25"/>
      <c r="H137" s="25"/>
      <c r="J137" t="e">
        <f t="shared" ca="1" si="26"/>
        <v>#NAME?</v>
      </c>
      <c r="K137" t="e">
        <f t="shared" ca="1" si="24"/>
        <v>#NAME?</v>
      </c>
      <c r="L137" t="e">
        <f t="shared" ca="1" si="24"/>
        <v>#NAME?</v>
      </c>
      <c r="M137" t="e">
        <f t="shared" ca="1" si="24"/>
        <v>#NAME?</v>
      </c>
      <c r="N137" t="e">
        <f t="shared" ref="N137:P140" ca="1" si="30">colorindex(F137)</f>
        <v>#NAME?</v>
      </c>
      <c r="O137" t="e">
        <f t="shared" ca="1" si="30"/>
        <v>#NAME?</v>
      </c>
      <c r="P137" t="e">
        <f t="shared" ca="1" si="30"/>
        <v>#NAME?</v>
      </c>
      <c r="R137" t="e">
        <f t="shared" ca="1" si="27"/>
        <v>#NAME?</v>
      </c>
      <c r="S137" t="e">
        <f t="shared" ca="1" si="25"/>
        <v>#NAME?</v>
      </c>
      <c r="T137" t="e">
        <f t="shared" ca="1" si="25"/>
        <v>#NAME?</v>
      </c>
      <c r="U137" t="e">
        <f t="shared" ca="1" si="25"/>
        <v>#NAME?</v>
      </c>
      <c r="V137" t="e">
        <f t="shared" ref="V137:X140" ca="1" si="31">ShiftIndex(F137)</f>
        <v>#NAME?</v>
      </c>
      <c r="W137" t="e">
        <f t="shared" ca="1" si="31"/>
        <v>#NAME?</v>
      </c>
      <c r="X137" t="e">
        <f t="shared" ca="1" si="31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6"/>
        <v>#NAME?</v>
      </c>
      <c r="K138" t="e">
        <f t="shared" ca="1" si="26"/>
        <v>#NAME?</v>
      </c>
      <c r="L138" t="e">
        <f t="shared" ca="1" si="26"/>
        <v>#NAME?</v>
      </c>
      <c r="M138" t="e">
        <f t="shared" ca="1" si="26"/>
        <v>#NAME?</v>
      </c>
      <c r="N138" t="e">
        <f t="shared" ca="1" si="30"/>
        <v>#NAME?</v>
      </c>
      <c r="O138" t="e">
        <f t="shared" ca="1" si="30"/>
        <v>#NAME?</v>
      </c>
      <c r="P138" t="e">
        <f t="shared" ca="1" si="30"/>
        <v>#NAME?</v>
      </c>
      <c r="R138" t="e">
        <f t="shared" ca="1" si="27"/>
        <v>#NAME?</v>
      </c>
      <c r="S138" t="e">
        <f t="shared" ca="1" si="27"/>
        <v>#NAME?</v>
      </c>
      <c r="T138" t="e">
        <f t="shared" ca="1" si="27"/>
        <v>#NAME?</v>
      </c>
      <c r="U138" t="e">
        <f t="shared" ca="1" si="27"/>
        <v>#NAME?</v>
      </c>
      <c r="V138" t="e">
        <f t="shared" ca="1" si="31"/>
        <v>#NAME?</v>
      </c>
      <c r="W138" t="e">
        <f t="shared" ca="1" si="31"/>
        <v>#NAME?</v>
      </c>
      <c r="X138" t="e">
        <f t="shared" ca="1" si="31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2">B136</f>
        <v>Mon 22 Jun</v>
      </c>
      <c r="C139" s="107" t="str">
        <f t="shared" si="32"/>
        <v>Tues 23 Jun</v>
      </c>
      <c r="D139" s="107" t="str">
        <f t="shared" si="32"/>
        <v>Wed 24 Jun</v>
      </c>
      <c r="E139" s="107" t="str">
        <f t="shared" si="32"/>
        <v>Thu 25 Jun</v>
      </c>
      <c r="F139" s="107" t="str">
        <f t="shared" si="32"/>
        <v>Fri 26 Jun</v>
      </c>
      <c r="G139" s="107" t="str">
        <f t="shared" si="32"/>
        <v>Sat 27 Jun</v>
      </c>
      <c r="H139" s="107" t="str">
        <f t="shared" si="32"/>
        <v>Sun 28 Jun</v>
      </c>
      <c r="J139" t="e">
        <f t="shared" ca="1" si="26"/>
        <v>#NAME?</v>
      </c>
      <c r="K139" t="e">
        <f t="shared" ca="1" si="26"/>
        <v>#NAME?</v>
      </c>
      <c r="L139" t="e">
        <f t="shared" ca="1" si="26"/>
        <v>#NAME?</v>
      </c>
      <c r="M139" t="e">
        <f t="shared" ca="1" si="26"/>
        <v>#NAME?</v>
      </c>
      <c r="N139" t="e">
        <f t="shared" ca="1" si="30"/>
        <v>#NAME?</v>
      </c>
      <c r="O139" t="e">
        <f t="shared" ca="1" si="30"/>
        <v>#NAME?</v>
      </c>
      <c r="P139" t="e">
        <f t="shared" ca="1" si="30"/>
        <v>#NAME?</v>
      </c>
      <c r="Q139"/>
      <c r="R139" t="e">
        <f t="shared" ca="1" si="27"/>
        <v>#NAME?</v>
      </c>
      <c r="S139" t="e">
        <f t="shared" ca="1" si="27"/>
        <v>#NAME?</v>
      </c>
      <c r="T139" t="e">
        <f t="shared" ca="1" si="27"/>
        <v>#NAME?</v>
      </c>
      <c r="U139" t="e">
        <f t="shared" ca="1" si="27"/>
        <v>#NAME?</v>
      </c>
      <c r="V139" t="e">
        <f t="shared" ca="1" si="31"/>
        <v>#NAME?</v>
      </c>
      <c r="W139" t="e">
        <f t="shared" ca="1" si="31"/>
        <v>#NAME?</v>
      </c>
      <c r="X139" t="e">
        <f t="shared" ca="1" si="31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6"/>
        <v>#NAME?</v>
      </c>
      <c r="K140" t="e">
        <f t="shared" ca="1" si="26"/>
        <v>#NAME?</v>
      </c>
      <c r="L140" t="e">
        <f t="shared" ca="1" si="26"/>
        <v>#NAME?</v>
      </c>
      <c r="M140" t="e">
        <f t="shared" ca="1" si="26"/>
        <v>#NAME?</v>
      </c>
      <c r="N140" t="e">
        <f t="shared" ca="1" si="30"/>
        <v>#NAME?</v>
      </c>
      <c r="O140" t="e">
        <f t="shared" ca="1" si="30"/>
        <v>#NAME?</v>
      </c>
      <c r="P140" t="e">
        <f t="shared" ca="1" si="30"/>
        <v>#NAME?</v>
      </c>
      <c r="Q140"/>
      <c r="R140" t="e">
        <f t="shared" ca="1" si="27"/>
        <v>#NAME?</v>
      </c>
      <c r="S140" t="e">
        <f t="shared" ca="1" si="27"/>
        <v>#NAME?</v>
      </c>
      <c r="T140" t="e">
        <f t="shared" ca="1" si="27"/>
        <v>#NAME?</v>
      </c>
      <c r="U140" t="e">
        <f t="shared" ca="1" si="27"/>
        <v>#NAME?</v>
      </c>
      <c r="V140" t="e">
        <f t="shared" ca="1" si="31"/>
        <v>#NAME?</v>
      </c>
      <c r="W140" t="e">
        <f t="shared" ca="1" si="31"/>
        <v>#NAME?</v>
      </c>
      <c r="X140" t="e">
        <f t="shared" ca="1" si="31"/>
        <v>#NAME?</v>
      </c>
      <c r="Z140" s="12"/>
      <c r="AA140"/>
    </row>
    <row r="141" spans="1:34">
      <c r="A141" s="106" t="s">
        <v>242</v>
      </c>
      <c r="B141" s="107" t="str">
        <f t="shared" ref="B141:H141" si="33">B58</f>
        <v>Mon 22 Jun</v>
      </c>
      <c r="C141" s="107" t="str">
        <f t="shared" si="33"/>
        <v>Tues 23 Jun</v>
      </c>
      <c r="D141" s="107" t="str">
        <f t="shared" si="33"/>
        <v>Wed 24 Jun</v>
      </c>
      <c r="E141" s="107" t="str">
        <f t="shared" si="33"/>
        <v>Thu 25 Jun</v>
      </c>
      <c r="F141" s="107" t="str">
        <f t="shared" si="33"/>
        <v>Fri 26 Jun</v>
      </c>
      <c r="G141" s="107" t="str">
        <f t="shared" si="33"/>
        <v>Sat 27 Jun</v>
      </c>
      <c r="H141" s="107" t="str">
        <f t="shared" si="33"/>
        <v>Sun 28 Jun</v>
      </c>
    </row>
    <row r="142" spans="1:34">
      <c r="A142" s="27" t="s">
        <v>243</v>
      </c>
      <c r="B142" s="17">
        <f t="shared" ref="B142:H142" ca="1" si="34">COUNTIFS(J:J,"Red",R:R,"AM")</f>
        <v>0</v>
      </c>
      <c r="C142" s="17">
        <f t="shared" ca="1" si="34"/>
        <v>0</v>
      </c>
      <c r="D142" s="17">
        <f t="shared" ca="1" si="34"/>
        <v>0</v>
      </c>
      <c r="E142" s="17">
        <f t="shared" ca="1" si="34"/>
        <v>0</v>
      </c>
      <c r="F142" s="17">
        <f t="shared" ca="1" si="34"/>
        <v>0</v>
      </c>
      <c r="G142" s="17">
        <f t="shared" ca="1" si="34"/>
        <v>0</v>
      </c>
      <c r="H142" s="17">
        <f t="shared" ca="1" si="34"/>
        <v>0</v>
      </c>
    </row>
    <row r="143" spans="1:34">
      <c r="A143" s="2" t="s">
        <v>244</v>
      </c>
      <c r="B143" s="17">
        <f t="shared" ref="B143:H143" ca="1" si="35">COUNTIFS(J:J,"Green",R:R,"AM")</f>
        <v>0</v>
      </c>
      <c r="C143" s="17">
        <f t="shared" ca="1" si="35"/>
        <v>0</v>
      </c>
      <c r="D143" s="17">
        <f t="shared" ca="1" si="35"/>
        <v>0</v>
      </c>
      <c r="E143" s="17">
        <f t="shared" ca="1" si="35"/>
        <v>0</v>
      </c>
      <c r="F143" s="17">
        <f t="shared" ca="1" si="35"/>
        <v>0</v>
      </c>
      <c r="G143" s="17">
        <f t="shared" ca="1" si="35"/>
        <v>0</v>
      </c>
      <c r="H143" s="17">
        <f t="shared" ca="1" si="35"/>
        <v>0</v>
      </c>
    </row>
    <row r="144" spans="1:34">
      <c r="A144" s="26" t="s">
        <v>245</v>
      </c>
      <c r="B144" s="17">
        <f t="shared" ref="B144:H144" ca="1" si="36">COUNTIFS(J:J,"Gold",R:R,"AM")</f>
        <v>0</v>
      </c>
      <c r="C144" s="17">
        <f t="shared" ca="1" si="36"/>
        <v>0</v>
      </c>
      <c r="D144" s="17">
        <f t="shared" ca="1" si="36"/>
        <v>0</v>
      </c>
      <c r="E144" s="17">
        <f t="shared" ca="1" si="36"/>
        <v>0</v>
      </c>
      <c r="F144" s="17">
        <f t="shared" ca="1" si="36"/>
        <v>0</v>
      </c>
      <c r="G144" s="17">
        <f t="shared" ca="1" si="36"/>
        <v>0</v>
      </c>
      <c r="H144" s="17">
        <f t="shared" ca="1" si="36"/>
        <v>0</v>
      </c>
    </row>
    <row r="145" spans="1:26">
      <c r="A145" s="29" t="s">
        <v>246</v>
      </c>
      <c r="B145" s="17">
        <f t="shared" ref="B145:H145" ca="1" si="37">COUNTIFS(J:J,"LGreen",R:R,"AM")</f>
        <v>0</v>
      </c>
      <c r="C145" s="17">
        <f t="shared" ca="1" si="37"/>
        <v>0</v>
      </c>
      <c r="D145" s="17">
        <f t="shared" ca="1" si="37"/>
        <v>0</v>
      </c>
      <c r="E145" s="17">
        <f t="shared" ca="1" si="37"/>
        <v>0</v>
      </c>
      <c r="F145" s="17">
        <f t="shared" ca="1" si="37"/>
        <v>0</v>
      </c>
      <c r="G145" s="17">
        <f t="shared" ca="1" si="37"/>
        <v>0</v>
      </c>
      <c r="H145" s="17">
        <f t="shared" ca="1" si="37"/>
        <v>0</v>
      </c>
    </row>
    <row r="146" spans="1:26">
      <c r="A146" s="43" t="s">
        <v>26</v>
      </c>
      <c r="B146" s="17">
        <f t="shared" ref="B146:H146" ca="1" si="38">COUNTIFS(J:J,"Blue",R:R,"AM")</f>
        <v>0</v>
      </c>
      <c r="C146" s="17">
        <f t="shared" ca="1" si="38"/>
        <v>0</v>
      </c>
      <c r="D146" s="17">
        <f t="shared" ca="1" si="38"/>
        <v>0</v>
      </c>
      <c r="E146" s="17">
        <f t="shared" ca="1" si="38"/>
        <v>0</v>
      </c>
      <c r="F146" s="17">
        <f t="shared" ca="1" si="38"/>
        <v>0</v>
      </c>
      <c r="G146" s="17">
        <f t="shared" ca="1" si="38"/>
        <v>0</v>
      </c>
      <c r="H146" s="17">
        <f t="shared" ca="1" si="38"/>
        <v>0</v>
      </c>
    </row>
    <row r="147" spans="1:26">
      <c r="A147" s="3" t="s">
        <v>16</v>
      </c>
      <c r="B147" s="17">
        <f t="shared" ref="B147:H147" ca="1" si="39">COUNTIFS(J:J,"Pink",R:R,"AM")</f>
        <v>0</v>
      </c>
      <c r="C147" s="17">
        <f t="shared" ca="1" si="39"/>
        <v>0</v>
      </c>
      <c r="D147" s="17">
        <f t="shared" ca="1" si="39"/>
        <v>0</v>
      </c>
      <c r="E147" s="17">
        <f t="shared" ca="1" si="39"/>
        <v>0</v>
      </c>
      <c r="F147" s="17">
        <f t="shared" ca="1" si="39"/>
        <v>0</v>
      </c>
      <c r="G147" s="17">
        <f t="shared" ca="1" si="39"/>
        <v>0</v>
      </c>
      <c r="H147" s="17">
        <f t="shared" ca="1" si="39"/>
        <v>0</v>
      </c>
    </row>
    <row r="148" spans="1:26">
      <c r="A148" s="5" t="s">
        <v>247</v>
      </c>
      <c r="B148" s="17">
        <f t="shared" ref="B148:H148" ca="1" si="40">COUNTIFS(R:R,"AM") - B142-B143-B144-B145-B146-B147</f>
        <v>0</v>
      </c>
      <c r="C148" s="17">
        <f t="shared" ca="1" si="40"/>
        <v>1</v>
      </c>
      <c r="D148" s="17">
        <f t="shared" ca="1" si="40"/>
        <v>0</v>
      </c>
      <c r="E148" s="17">
        <f t="shared" ca="1" si="40"/>
        <v>0</v>
      </c>
      <c r="F148" s="17">
        <f t="shared" ca="1" si="40"/>
        <v>0</v>
      </c>
      <c r="G148" s="17">
        <f t="shared" ca="1" si="40"/>
        <v>1</v>
      </c>
      <c r="H148" s="17">
        <f t="shared" ca="1" si="40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41">SUM(C142:C147)</f>
        <v>0</v>
      </c>
      <c r="D149" s="47">
        <f t="shared" ca="1" si="41"/>
        <v>0</v>
      </c>
      <c r="E149" s="47">
        <f t="shared" ca="1" si="41"/>
        <v>0</v>
      </c>
      <c r="F149" s="47">
        <f t="shared" ca="1" si="41"/>
        <v>0</v>
      </c>
      <c r="G149" s="47">
        <f t="shared" ca="1" si="41"/>
        <v>0</v>
      </c>
      <c r="H149" s="47">
        <f t="shared" ca="1" si="41"/>
        <v>0</v>
      </c>
      <c r="Z149" s="48"/>
    </row>
    <row r="150" spans="1:26">
      <c r="A150" s="27" t="s">
        <v>249</v>
      </c>
      <c r="B150" s="17">
        <f t="shared" ref="B150:H150" ca="1" si="42">COUNTIFS(J:J,"Red",R:R,"PM")</f>
        <v>0</v>
      </c>
      <c r="C150" s="17">
        <f t="shared" ca="1" si="42"/>
        <v>0</v>
      </c>
      <c r="D150" s="17">
        <f t="shared" ca="1" si="42"/>
        <v>0</v>
      </c>
      <c r="E150" s="17">
        <f t="shared" ca="1" si="42"/>
        <v>0</v>
      </c>
      <c r="F150" s="17">
        <f t="shared" ca="1" si="42"/>
        <v>0</v>
      </c>
      <c r="G150" s="17">
        <f t="shared" ca="1" si="42"/>
        <v>0</v>
      </c>
      <c r="H150" s="17">
        <f t="shared" ca="1" si="42"/>
        <v>0</v>
      </c>
    </row>
    <row r="151" spans="1:26">
      <c r="A151" s="2" t="s">
        <v>250</v>
      </c>
      <c r="B151" s="17">
        <f t="shared" ref="B151:H151" ca="1" si="43">COUNTIFS(J:J,"Green",R:R,"PM")</f>
        <v>0</v>
      </c>
      <c r="C151" s="17">
        <f t="shared" ca="1" si="43"/>
        <v>0</v>
      </c>
      <c r="D151" s="17">
        <f t="shared" ca="1" si="43"/>
        <v>0</v>
      </c>
      <c r="E151" s="17">
        <f t="shared" ca="1" si="43"/>
        <v>0</v>
      </c>
      <c r="F151" s="17">
        <f t="shared" ca="1" si="43"/>
        <v>0</v>
      </c>
      <c r="G151" s="17">
        <f t="shared" ca="1" si="43"/>
        <v>0</v>
      </c>
      <c r="H151" s="17">
        <f t="shared" ca="1" si="43"/>
        <v>0</v>
      </c>
    </row>
    <row r="152" spans="1:26">
      <c r="A152" s="26" t="s">
        <v>251</v>
      </c>
      <c r="B152" s="17">
        <f t="shared" ref="B152:H152" ca="1" si="44">COUNTIFS(J:J,"Gold",R:R,"PM")</f>
        <v>0</v>
      </c>
      <c r="C152" s="17">
        <f t="shared" ca="1" si="44"/>
        <v>0</v>
      </c>
      <c r="D152" s="17">
        <f t="shared" ca="1" si="44"/>
        <v>0</v>
      </c>
      <c r="E152" s="17">
        <f t="shared" ca="1" si="44"/>
        <v>0</v>
      </c>
      <c r="F152" s="17">
        <f t="shared" ca="1" si="44"/>
        <v>0</v>
      </c>
      <c r="G152" s="17">
        <f t="shared" ca="1" si="44"/>
        <v>0</v>
      </c>
      <c r="H152" s="17">
        <f t="shared" ca="1" si="44"/>
        <v>0</v>
      </c>
    </row>
    <row r="153" spans="1:26">
      <c r="A153" s="29" t="s">
        <v>252</v>
      </c>
      <c r="B153" s="17">
        <f t="shared" ref="B153:H153" ca="1" si="45">COUNTIFS(J:J,"LGreen",R:R,"PM")</f>
        <v>0</v>
      </c>
      <c r="C153" s="17">
        <f t="shared" ca="1" si="45"/>
        <v>0</v>
      </c>
      <c r="D153" s="17">
        <f t="shared" ca="1" si="45"/>
        <v>0</v>
      </c>
      <c r="E153" s="17">
        <f t="shared" ca="1" si="45"/>
        <v>0</v>
      </c>
      <c r="F153" s="17">
        <f t="shared" ca="1" si="45"/>
        <v>0</v>
      </c>
      <c r="G153" s="17">
        <f t="shared" ca="1" si="45"/>
        <v>0</v>
      </c>
      <c r="H153" s="17">
        <f t="shared" ca="1" si="45"/>
        <v>0</v>
      </c>
    </row>
    <row r="154" spans="1:26">
      <c r="A154" s="10" t="s">
        <v>253</v>
      </c>
      <c r="B154" s="17">
        <f t="shared" ref="B154:H154" ca="1" si="46">COUNTIFS(J:J,"Blue",R:R,"PM")</f>
        <v>0</v>
      </c>
      <c r="C154" s="17">
        <f t="shared" ca="1" si="46"/>
        <v>0</v>
      </c>
      <c r="D154" s="17">
        <f t="shared" ca="1" si="46"/>
        <v>0</v>
      </c>
      <c r="E154" s="17">
        <f t="shared" ca="1" si="46"/>
        <v>0</v>
      </c>
      <c r="F154" s="17">
        <f t="shared" ca="1" si="46"/>
        <v>0</v>
      </c>
      <c r="G154" s="17">
        <f t="shared" ca="1" si="46"/>
        <v>0</v>
      </c>
      <c r="H154" s="17">
        <f t="shared" ca="1" si="46"/>
        <v>0</v>
      </c>
    </row>
    <row r="155" spans="1:26">
      <c r="A155" s="3" t="s">
        <v>59</v>
      </c>
      <c r="B155" s="17">
        <f t="shared" ref="B155:H155" ca="1" si="47">COUNTIFS(J:J,"Pink",R:R,"PM")</f>
        <v>0</v>
      </c>
      <c r="C155" s="17">
        <f t="shared" ca="1" si="47"/>
        <v>0</v>
      </c>
      <c r="D155" s="17">
        <f t="shared" ca="1" si="47"/>
        <v>0</v>
      </c>
      <c r="E155" s="17">
        <f t="shared" ca="1" si="47"/>
        <v>0</v>
      </c>
      <c r="F155" s="17">
        <f t="shared" ca="1" si="47"/>
        <v>0</v>
      </c>
      <c r="G155" s="17">
        <f t="shared" ca="1" si="47"/>
        <v>0</v>
      </c>
      <c r="H155" s="17">
        <f t="shared" ca="1" si="47"/>
        <v>0</v>
      </c>
    </row>
    <row r="156" spans="1:26">
      <c r="A156" s="5" t="s">
        <v>254</v>
      </c>
      <c r="B156" s="17">
        <f t="shared" ref="B156:H156" ca="1" si="48">COUNTIFS(R:R,"PM") -B151-B152-B155-B154-B150-B153</f>
        <v>0</v>
      </c>
      <c r="C156" s="17">
        <f t="shared" ca="1" si="48"/>
        <v>0</v>
      </c>
      <c r="D156" s="17">
        <f t="shared" ca="1" si="48"/>
        <v>0</v>
      </c>
      <c r="E156" s="17">
        <f t="shared" ca="1" si="48"/>
        <v>0</v>
      </c>
      <c r="F156" s="17">
        <f t="shared" ca="1" si="48"/>
        <v>0</v>
      </c>
      <c r="G156" s="17">
        <f t="shared" ca="1" si="48"/>
        <v>0</v>
      </c>
      <c r="H156" s="17">
        <f t="shared" ca="1" si="48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9">SUM(C150:C155)</f>
        <v>0</v>
      </c>
      <c r="D157" s="47">
        <f t="shared" ca="1" si="49"/>
        <v>0</v>
      </c>
      <c r="E157" s="47">
        <f t="shared" ca="1" si="49"/>
        <v>0</v>
      </c>
      <c r="F157" s="47">
        <f t="shared" ca="1" si="49"/>
        <v>0</v>
      </c>
      <c r="G157" s="47">
        <f t="shared" ca="1" si="49"/>
        <v>0</v>
      </c>
      <c r="H157" s="47">
        <f t="shared" ca="1" si="49"/>
        <v>0</v>
      </c>
      <c r="Z157" s="48"/>
    </row>
    <row r="158" spans="1:26">
      <c r="A158" s="4" t="s">
        <v>256</v>
      </c>
      <c r="B158" s="17">
        <f t="shared" ref="B158:H158" ca="1" si="50">COUNTIFS(R:R,"ND")</f>
        <v>0</v>
      </c>
      <c r="C158" s="17">
        <f t="shared" ca="1" si="50"/>
        <v>0</v>
      </c>
      <c r="D158" s="17">
        <f t="shared" ca="1" si="50"/>
        <v>0</v>
      </c>
      <c r="E158" s="17">
        <f t="shared" ca="1" si="50"/>
        <v>0</v>
      </c>
      <c r="F158" s="17">
        <f t="shared" ca="1" si="50"/>
        <v>0</v>
      </c>
      <c r="G158" s="17">
        <f t="shared" ca="1" si="50"/>
        <v>0</v>
      </c>
      <c r="H158" s="17">
        <f t="shared" ca="1" si="50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49:AH53">
    <sortCondition ref="A49"/>
  </sortState>
  <mergeCells count="25">
    <mergeCell ref="B38:H38"/>
    <mergeCell ref="B40:H40"/>
    <mergeCell ref="B50:H50"/>
    <mergeCell ref="B18:H18"/>
    <mergeCell ref="B48:H48"/>
    <mergeCell ref="B23:H23"/>
    <mergeCell ref="B28:H28"/>
    <mergeCell ref="B32:H32"/>
    <mergeCell ref="B34:H34"/>
    <mergeCell ref="B36:H36"/>
    <mergeCell ref="B5:H5"/>
    <mergeCell ref="B12:H12"/>
    <mergeCell ref="B14:H14"/>
    <mergeCell ref="B17:H17"/>
    <mergeCell ref="B20:H20"/>
    <mergeCell ref="B77:H77"/>
    <mergeCell ref="B84:H84"/>
    <mergeCell ref="B91:H91"/>
    <mergeCell ref="G129:H129"/>
    <mergeCell ref="B99:H99"/>
    <mergeCell ref="B109:H109"/>
    <mergeCell ref="B106:C106"/>
    <mergeCell ref="G107:H107"/>
    <mergeCell ref="B128:H128"/>
    <mergeCell ref="B110:H110"/>
  </mergeCells>
  <phoneticPr fontId="12" type="noConversion"/>
  <conditionalFormatting sqref="B145:H145 B147:H147 B153:H153 B155:H155">
    <cfRule type="cellIs" dxfId="35" priority="4" operator="lessThan">
      <formula>2</formula>
    </cfRule>
  </conditionalFormatting>
  <conditionalFormatting sqref="B146:H146">
    <cfRule type="cellIs" dxfId="34" priority="2" operator="lessThan">
      <formula>2</formula>
    </cfRule>
  </conditionalFormatting>
  <conditionalFormatting sqref="B143:H144 B151:H152">
    <cfRule type="cellIs" dxfId="33" priority="5" operator="lessThan">
      <formula>4</formula>
    </cfRule>
  </conditionalFormatting>
  <conditionalFormatting sqref="B142:H142 B150:H150">
    <cfRule type="cellIs" dxfId="32" priority="6" operator="lessThan">
      <formula>2</formula>
    </cfRule>
  </conditionalFormatting>
  <conditionalFormatting sqref="B158:H158">
    <cfRule type="cellIs" dxfId="31" priority="3" operator="lessThan">
      <formula>7</formula>
    </cfRule>
  </conditionalFormatting>
  <conditionalFormatting sqref="B154:H154">
    <cfRule type="cellIs" dxfId="3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>
    <tabColor rgb="FFCCFFCC"/>
    <pageSetUpPr fitToPage="1"/>
  </sheetPr>
  <dimension ref="A1:AH162"/>
  <sheetViews>
    <sheetView topLeftCell="A125" zoomScaleNormal="100" workbookViewId="0">
      <selection activeCell="AG126" sqref="AG126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46202</v>
      </c>
      <c r="C2" s="105">
        <f>B2+1</f>
        <v>46203</v>
      </c>
      <c r="D2" s="105">
        <f t="shared" ref="D2:H2" si="0">C2+1</f>
        <v>46204</v>
      </c>
      <c r="E2" s="105">
        <f t="shared" si="0"/>
        <v>46205</v>
      </c>
      <c r="F2" s="105">
        <f t="shared" si="0"/>
        <v>46206</v>
      </c>
      <c r="G2" s="105">
        <f t="shared" si="0"/>
        <v>46207</v>
      </c>
      <c r="H2" s="105">
        <f t="shared" si="0"/>
        <v>46208</v>
      </c>
    </row>
    <row r="3" spans="1:26" ht="14.45" customHeight="1">
      <c r="A3" s="21" t="s">
        <v>15</v>
      </c>
      <c r="B3" s="25"/>
      <c r="C3" s="110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44" t="s">
        <v>26</v>
      </c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25"/>
      <c r="E5" s="25"/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27" t="s">
        <v>29</v>
      </c>
      <c r="C7" s="128"/>
      <c r="D7" s="128"/>
      <c r="E7" s="128"/>
      <c r="F7" s="128"/>
      <c r="G7" s="128"/>
      <c r="H7" s="129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117" t="s">
        <v>36</v>
      </c>
      <c r="F8" s="25" t="s">
        <v>24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6" t="s">
        <v>32</v>
      </c>
      <c r="C9" s="25"/>
      <c r="D9" s="25"/>
      <c r="E9" s="25"/>
      <c r="F9" s="25" t="s">
        <v>24</v>
      </c>
      <c r="G9" s="25"/>
      <c r="H9" s="28" t="s">
        <v>34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116" t="s">
        <v>45</v>
      </c>
      <c r="E10" s="25" t="s">
        <v>24</v>
      </c>
      <c r="F10" s="25"/>
      <c r="G10" s="118" t="s">
        <v>31</v>
      </c>
      <c r="H10" s="110" t="s">
        <v>59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36</v>
      </c>
      <c r="C11" s="117" t="s">
        <v>36</v>
      </c>
      <c r="D11" s="25"/>
      <c r="E11" s="25"/>
      <c r="F11" s="117" t="s">
        <v>31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25"/>
      <c r="C12" s="116" t="s">
        <v>45</v>
      </c>
      <c r="D12" s="115" t="s">
        <v>287</v>
      </c>
      <c r="E12" s="25"/>
      <c r="F12" s="25"/>
      <c r="G12" s="44" t="s">
        <v>26</v>
      </c>
      <c r="H12" s="118" t="s">
        <v>31</v>
      </c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27" t="s">
        <v>20</v>
      </c>
      <c r="C13" s="128"/>
      <c r="D13" s="128"/>
      <c r="E13" s="128"/>
      <c r="F13" s="128"/>
      <c r="G13" s="128"/>
      <c r="H13" s="129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40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 t="s">
        <v>24</v>
      </c>
      <c r="C15" s="118" t="s">
        <v>31</v>
      </c>
      <c r="D15" s="117" t="s">
        <v>36</v>
      </c>
      <c r="E15" s="25"/>
      <c r="F15" s="118" t="s">
        <v>31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127" t="s">
        <v>29</v>
      </c>
      <c r="C16" s="128"/>
      <c r="D16" s="128"/>
      <c r="E16" s="128"/>
      <c r="F16" s="128"/>
      <c r="G16" s="128"/>
      <c r="H16" s="129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16" t="s">
        <v>45</v>
      </c>
      <c r="C17" s="44" t="s">
        <v>26</v>
      </c>
      <c r="D17" s="110" t="s">
        <v>59</v>
      </c>
      <c r="E17" s="25"/>
      <c r="F17" s="25" t="s">
        <v>24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116" t="s">
        <v>32</v>
      </c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24</v>
      </c>
      <c r="G19" s="25"/>
      <c r="H19" s="44" t="s">
        <v>26</v>
      </c>
      <c r="J19" t="e">
        <f t="shared" ref="J19:P63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3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44" t="s">
        <v>26</v>
      </c>
      <c r="C20" s="25"/>
      <c r="D20" s="25"/>
      <c r="E20" s="110" t="s">
        <v>59</v>
      </c>
      <c r="F20" s="116" t="s">
        <v>32</v>
      </c>
      <c r="G20" s="25"/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25"/>
      <c r="C22" s="25"/>
      <c r="D22" s="25" t="s">
        <v>24</v>
      </c>
      <c r="E22" s="25"/>
      <c r="F22" s="115" t="s">
        <v>287</v>
      </c>
      <c r="G22" s="117" t="s">
        <v>31</v>
      </c>
      <c r="H22" s="118" t="s">
        <v>36</v>
      </c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27" t="s">
        <v>18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25" t="s">
        <v>24</v>
      </c>
      <c r="E24" s="25"/>
      <c r="F24" s="117" t="s">
        <v>36</v>
      </c>
      <c r="G24" s="25"/>
      <c r="H24" s="116" t="s">
        <v>45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6" t="s">
        <v>32</v>
      </c>
      <c r="E25" s="25" t="s">
        <v>24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110" t="s">
        <v>16</v>
      </c>
      <c r="E26" s="25"/>
      <c r="F26" s="118" t="s">
        <v>36</v>
      </c>
      <c r="G26" s="117" t="s">
        <v>36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117" t="s">
        <v>31</v>
      </c>
      <c r="C27" s="110" t="s">
        <v>59</v>
      </c>
      <c r="D27" s="25" t="s">
        <v>24</v>
      </c>
      <c r="E27" s="25" t="s">
        <v>20</v>
      </c>
      <c r="F27" s="25"/>
      <c r="G27" s="25"/>
      <c r="H27" s="25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40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 t="s">
        <v>24</v>
      </c>
      <c r="C29" s="25"/>
      <c r="D29" s="25"/>
      <c r="E29" s="116" t="s">
        <v>45</v>
      </c>
      <c r="F29" s="110" t="s">
        <v>59</v>
      </c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127" t="s">
        <v>18</v>
      </c>
      <c r="C30" s="128"/>
      <c r="D30" s="128"/>
      <c r="E30" s="128"/>
      <c r="F30" s="128"/>
      <c r="G30" s="128"/>
      <c r="H30" s="129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127" t="s">
        <v>18</v>
      </c>
      <c r="C32" s="128"/>
      <c r="D32" s="128"/>
      <c r="E32" s="128"/>
      <c r="F32" s="128"/>
      <c r="G32" s="128"/>
      <c r="H32" s="129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25"/>
      <c r="C33" s="25"/>
      <c r="D33" s="118" t="s">
        <v>31</v>
      </c>
      <c r="E33" s="25" t="s">
        <v>24</v>
      </c>
      <c r="F33" s="44" t="s">
        <v>26</v>
      </c>
      <c r="G33" s="116" t="s">
        <v>32</v>
      </c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16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117" t="s">
        <v>31</v>
      </c>
      <c r="D35" s="25"/>
      <c r="E35" s="118" t="s">
        <v>31</v>
      </c>
      <c r="F35" s="25"/>
      <c r="G35" s="25"/>
      <c r="H35" s="117" t="s">
        <v>31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27" t="s">
        <v>18</v>
      </c>
      <c r="C36" s="128"/>
      <c r="D36" s="128"/>
      <c r="E36" s="128"/>
      <c r="F36" s="128"/>
      <c r="G36" s="128"/>
      <c r="H36" s="129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127" t="s">
        <v>18</v>
      </c>
      <c r="C37" s="128"/>
      <c r="D37" s="128"/>
      <c r="E37" s="128"/>
      <c r="F37" s="128"/>
      <c r="G37" s="128"/>
      <c r="H37" s="129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127" t="s">
        <v>18</v>
      </c>
      <c r="C38" s="128"/>
      <c r="D38" s="128"/>
      <c r="E38" s="128"/>
      <c r="F38" s="128"/>
      <c r="G38" s="128"/>
      <c r="H38" s="129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127" t="s">
        <v>18</v>
      </c>
      <c r="C39" s="128"/>
      <c r="D39" s="128"/>
      <c r="E39" s="128"/>
      <c r="F39" s="128"/>
      <c r="G39" s="128"/>
      <c r="H39" s="129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18" t="s">
        <v>36</v>
      </c>
      <c r="C40" s="115" t="s">
        <v>287</v>
      </c>
      <c r="D40" s="25"/>
      <c r="E40" s="117" t="s">
        <v>31</v>
      </c>
      <c r="F40" s="25"/>
      <c r="G40" s="110" t="s">
        <v>59</v>
      </c>
      <c r="H40" s="25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7" t="s">
        <v>31</v>
      </c>
      <c r="E41" s="25"/>
      <c r="F41" s="25"/>
      <c r="G41" s="118" t="s">
        <v>36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311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25"/>
      <c r="C43" s="25"/>
      <c r="D43" s="25"/>
      <c r="E43" s="110" t="s">
        <v>16</v>
      </c>
      <c r="F43" s="116" t="s">
        <v>45</v>
      </c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110" t="s">
        <v>59</v>
      </c>
      <c r="C44" s="118" t="s">
        <v>36</v>
      </c>
      <c r="D44" s="25" t="s">
        <v>24</v>
      </c>
      <c r="E44" s="115" t="s">
        <v>287</v>
      </c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44" t="s">
        <v>26</v>
      </c>
      <c r="E45" s="118" t="s">
        <v>36</v>
      </c>
      <c r="F45" s="25"/>
      <c r="G45" s="116" t="s">
        <v>45</v>
      </c>
      <c r="H45" s="117" t="s">
        <v>36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25"/>
      <c r="D46" s="25" t="s">
        <v>24</v>
      </c>
      <c r="E46" s="25"/>
      <c r="F46" s="25"/>
      <c r="G46" s="110" t="s">
        <v>16</v>
      </c>
      <c r="H46" s="116" t="s">
        <v>32</v>
      </c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5"/>
      <c r="C47" s="25"/>
      <c r="D47" s="28" t="s">
        <v>34</v>
      </c>
      <c r="E47" s="25"/>
      <c r="F47" s="28" t="s">
        <v>25</v>
      </c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18" t="s">
        <v>31</v>
      </c>
      <c r="C48" s="116" t="s">
        <v>32</v>
      </c>
      <c r="D48" s="25" t="s">
        <v>24</v>
      </c>
      <c r="E48" s="25"/>
      <c r="F48" s="25"/>
      <c r="G48" s="25"/>
      <c r="H48" s="25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115" t="s">
        <v>287</v>
      </c>
      <c r="C49" s="25"/>
      <c r="D49" s="118" t="s">
        <v>36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27" t="s">
        <v>18</v>
      </c>
      <c r="C50" s="128"/>
      <c r="D50" s="128"/>
      <c r="E50" s="128"/>
      <c r="F50" s="128"/>
      <c r="G50" s="128"/>
      <c r="H50" s="129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86</v>
      </c>
      <c r="B51" s="28" t="s">
        <v>25</v>
      </c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87</v>
      </c>
      <c r="B52" s="25"/>
      <c r="C52" s="25"/>
      <c r="D52" s="25"/>
      <c r="E52" s="25"/>
      <c r="F52" s="28" t="s">
        <v>34</v>
      </c>
      <c r="G52" s="25"/>
      <c r="H52" s="25"/>
      <c r="J52" t="e">
        <f t="shared" ref="J52" ca="1" si="11">colorindex(B52)</f>
        <v>#NAME?</v>
      </c>
      <c r="K52" t="e">
        <f t="shared" ref="K52" ca="1" si="12">colorindex(C52)</f>
        <v>#NAME?</v>
      </c>
      <c r="L52" t="e">
        <f t="shared" ref="L52" ca="1" si="13">colorindex(D52)</f>
        <v>#NAME?</v>
      </c>
      <c r="M52" t="e">
        <f t="shared" ref="M52" ca="1" si="14">colorindex(E52)</f>
        <v>#NAME?</v>
      </c>
      <c r="N52" t="e">
        <f t="shared" ref="N52" ca="1" si="15">colorindex(F52)</f>
        <v>#NAME?</v>
      </c>
      <c r="O52" t="e">
        <f t="shared" ref="O52" ca="1" si="16">colorindex(G52)</f>
        <v>#NAME?</v>
      </c>
      <c r="P52" t="e">
        <f t="shared" ref="P52" ca="1" si="17">colorindex(H52)</f>
        <v>#NAME?</v>
      </c>
      <c r="R52" t="e">
        <f t="shared" ref="R52" ca="1" si="18">ShiftIndex(B52)</f>
        <v>#NAME?</v>
      </c>
      <c r="S52" t="e">
        <f t="shared" ref="S52" ca="1" si="19">ShiftIndex(C52)</f>
        <v>#NAME?</v>
      </c>
      <c r="T52" t="e">
        <f t="shared" ref="T52" ca="1" si="20">ShiftIndex(D52)</f>
        <v>#NAME?</v>
      </c>
      <c r="U52" t="e">
        <f t="shared" ref="U52" ca="1" si="21">ShiftIndex(E52)</f>
        <v>#NAME?</v>
      </c>
      <c r="V52" t="e">
        <f t="shared" ref="V52" ca="1" si="22">ShiftIndex(F52)</f>
        <v>#NAME?</v>
      </c>
      <c r="W52" t="e">
        <f t="shared" ref="W52" ca="1" si="23">ShiftIndex(G52)</f>
        <v>#NAME?</v>
      </c>
      <c r="X52" t="e">
        <f t="shared" ref="X52" ca="1" si="24">ShiftIndex(H52)</f>
        <v>#NAME?</v>
      </c>
    </row>
    <row r="53" spans="1:26" ht="15" customHeight="1">
      <c r="A53" s="21" t="s">
        <v>266</v>
      </c>
      <c r="B53" s="28" t="s">
        <v>34</v>
      </c>
      <c r="C53" s="25"/>
      <c r="D53" s="25"/>
      <c r="E53" s="25"/>
      <c r="F53" s="25"/>
      <c r="G53" s="25"/>
      <c r="H53" s="25"/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</row>
    <row r="54" spans="1:26" s="52" customFormat="1">
      <c r="A54" s="50" t="s">
        <v>89</v>
      </c>
      <c r="B54" s="51" t="s">
        <v>291</v>
      </c>
      <c r="C54" s="51" t="s">
        <v>294</v>
      </c>
      <c r="D54" s="51" t="s">
        <v>416</v>
      </c>
      <c r="E54" s="51" t="s">
        <v>417</v>
      </c>
      <c r="F54" s="51" t="s">
        <v>418</v>
      </c>
      <c r="G54" s="51" t="s">
        <v>92</v>
      </c>
      <c r="H54" s="51" t="s">
        <v>93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Q54"/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  <c r="Z54" s="57">
        <f>SUM(Z3:Z51)</f>
        <v>28.75</v>
      </c>
    </row>
    <row r="55" spans="1:26" ht="15" customHeight="1">
      <c r="A55" s="106" t="s">
        <v>99</v>
      </c>
      <c r="B55" s="107" t="str">
        <f>B59</f>
        <v>Mon 29 Jun</v>
      </c>
      <c r="C55" s="107" t="str">
        <f>C59</f>
        <v>Tues 30 Jun</v>
      </c>
      <c r="D55" s="107" t="str">
        <f t="shared" ref="D55:H55" si="25">D59</f>
        <v>Wed 1 Jul</v>
      </c>
      <c r="E55" s="107" t="str">
        <f t="shared" si="25"/>
        <v>Thu 2 Jul</v>
      </c>
      <c r="F55" s="107" t="str">
        <f t="shared" si="25"/>
        <v>Fri 3 Jul</v>
      </c>
      <c r="G55" s="107" t="str">
        <f t="shared" si="25"/>
        <v>Sat 4 Jul</v>
      </c>
      <c r="H55" s="107" t="str">
        <f t="shared" si="25"/>
        <v>Sun 5 Jul</v>
      </c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107</v>
      </c>
      <c r="B56" s="25" t="s">
        <v>24</v>
      </c>
      <c r="C56" s="25"/>
      <c r="D56" s="25"/>
      <c r="E56" s="25"/>
      <c r="F56" s="25"/>
      <c r="G56" s="25"/>
      <c r="H56" s="25"/>
      <c r="J56" t="e">
        <f t="shared" ref="J56:P57" ca="1" si="26">colorindex(B56)</f>
        <v>#NAME?</v>
      </c>
      <c r="K56" t="e">
        <f t="shared" ca="1" si="26"/>
        <v>#NAME?</v>
      </c>
      <c r="L56" t="e">
        <f t="shared" ca="1" si="26"/>
        <v>#NAME?</v>
      </c>
      <c r="M56" t="e">
        <f t="shared" ca="1" si="26"/>
        <v>#NAME?</v>
      </c>
      <c r="N56" t="e">
        <f t="shared" ca="1" si="26"/>
        <v>#NAME?</v>
      </c>
      <c r="O56" t="e">
        <f t="shared" ca="1" si="26"/>
        <v>#NAME?</v>
      </c>
      <c r="P56" t="e">
        <f t="shared" ca="1" si="26"/>
        <v>#NAME?</v>
      </c>
      <c r="R56" t="e">
        <f t="shared" ref="R56:X57" ca="1" si="27">ShiftIndex(B56)</f>
        <v>#NAME?</v>
      </c>
      <c r="S56" t="e">
        <f t="shared" ca="1" si="27"/>
        <v>#NAME?</v>
      </c>
      <c r="T56" t="e">
        <f t="shared" ca="1" si="27"/>
        <v>#NAME?</v>
      </c>
      <c r="U56" t="e">
        <f t="shared" ca="1" si="27"/>
        <v>#NAME?</v>
      </c>
      <c r="V56" t="e">
        <f t="shared" ca="1" si="27"/>
        <v>#NAME?</v>
      </c>
      <c r="W56" t="e">
        <f t="shared" ca="1" si="27"/>
        <v>#NAME?</v>
      </c>
      <c r="X56" t="e">
        <f t="shared" ca="1" si="27"/>
        <v>#NAME?</v>
      </c>
    </row>
    <row r="57" spans="1:26" ht="15" customHeight="1">
      <c r="A57" s="22" t="s">
        <v>109</v>
      </c>
      <c r="B57" s="25" t="s">
        <v>108</v>
      </c>
      <c r="C57" s="25"/>
      <c r="D57" s="25"/>
      <c r="E57" s="25"/>
      <c r="F57" s="25"/>
      <c r="G57" s="25"/>
      <c r="H57" s="25"/>
      <c r="J57" t="e">
        <f t="shared" ca="1" si="26"/>
        <v>#NAME?</v>
      </c>
      <c r="K57" t="e">
        <f t="shared" ca="1" si="26"/>
        <v>#NAME?</v>
      </c>
      <c r="L57" t="e">
        <f t="shared" ca="1" si="26"/>
        <v>#NAME?</v>
      </c>
      <c r="M57" t="e">
        <f t="shared" ca="1" si="26"/>
        <v>#NAME?</v>
      </c>
      <c r="N57" t="e">
        <f t="shared" ca="1" si="26"/>
        <v>#NAME?</v>
      </c>
      <c r="O57" t="e">
        <f t="shared" ca="1" si="26"/>
        <v>#NAME?</v>
      </c>
      <c r="P57" t="e">
        <f t="shared" ca="1" si="26"/>
        <v>#NAME?</v>
      </c>
      <c r="R57" t="e">
        <f t="shared" ca="1" si="27"/>
        <v>#NAME?</v>
      </c>
      <c r="S57" t="e">
        <f t="shared" ca="1" si="27"/>
        <v>#NAME?</v>
      </c>
      <c r="T57" t="e">
        <f t="shared" ca="1" si="27"/>
        <v>#NAME?</v>
      </c>
      <c r="U57" t="e">
        <f t="shared" ca="1" si="27"/>
        <v>#NAME?</v>
      </c>
      <c r="V57" t="e">
        <f t="shared" ca="1" si="27"/>
        <v>#NAME?</v>
      </c>
      <c r="W57" t="e">
        <f t="shared" ca="1" si="27"/>
        <v>#NAME?</v>
      </c>
      <c r="X57" t="e">
        <f t="shared" ca="1" si="27"/>
        <v>#NAME?</v>
      </c>
    </row>
    <row r="58" spans="1:26" ht="15" customHeight="1">
      <c r="A58" s="22" t="s">
        <v>110</v>
      </c>
      <c r="B58" s="25"/>
      <c r="C58" s="25" t="s">
        <v>108</v>
      </c>
      <c r="D58" s="25"/>
      <c r="E58" s="25"/>
      <c r="F58" s="25"/>
      <c r="G58" s="25"/>
      <c r="H58" s="25"/>
      <c r="J58" t="s">
        <v>296</v>
      </c>
      <c r="K58" t="s">
        <v>296</v>
      </c>
      <c r="L58" t="s">
        <v>296</v>
      </c>
      <c r="M58" t="s">
        <v>296</v>
      </c>
      <c r="N58" t="s">
        <v>296</v>
      </c>
      <c r="O58" t="s">
        <v>296</v>
      </c>
      <c r="P58" t="s">
        <v>296</v>
      </c>
      <c r="R58" t="s">
        <v>296</v>
      </c>
      <c r="S58" t="s">
        <v>288</v>
      </c>
      <c r="T58" t="s">
        <v>296</v>
      </c>
      <c r="U58" t="s">
        <v>296</v>
      </c>
      <c r="V58" t="s">
        <v>296</v>
      </c>
      <c r="W58" t="s">
        <v>288</v>
      </c>
      <c r="X58" t="s">
        <v>296</v>
      </c>
    </row>
    <row r="59" spans="1:26" ht="15" customHeight="1">
      <c r="A59" s="106" t="s">
        <v>113</v>
      </c>
      <c r="B59" s="107" t="s">
        <v>419</v>
      </c>
      <c r="C59" s="107" t="s">
        <v>420</v>
      </c>
      <c r="D59" s="107" t="s">
        <v>421</v>
      </c>
      <c r="E59" s="107" t="s">
        <v>422</v>
      </c>
      <c r="F59" s="107" t="s">
        <v>423</v>
      </c>
      <c r="G59" s="107" t="s">
        <v>424</v>
      </c>
      <c r="H59" s="107" t="s">
        <v>425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</row>
    <row r="60" spans="1:26" ht="15" customHeight="1">
      <c r="A60" s="22" t="s">
        <v>114</v>
      </c>
      <c r="B60" s="25" t="s">
        <v>123</v>
      </c>
      <c r="C60" s="25"/>
      <c r="D60" s="25"/>
      <c r="E60" s="25"/>
      <c r="F60" s="25"/>
      <c r="G60" s="28" t="s">
        <v>119</v>
      </c>
      <c r="H60" s="120" t="s">
        <v>118</v>
      </c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117</v>
      </c>
      <c r="B61" s="25"/>
      <c r="C61" s="28" t="s">
        <v>119</v>
      </c>
      <c r="D61" s="121" t="s">
        <v>118</v>
      </c>
      <c r="E61" s="120" t="s">
        <v>116</v>
      </c>
      <c r="F61" s="121" t="s">
        <v>116</v>
      </c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1</v>
      </c>
    </row>
    <row r="62" spans="1:26" ht="15" customHeight="1">
      <c r="A62" s="22" t="s">
        <v>120</v>
      </c>
      <c r="B62" s="25"/>
      <c r="C62" s="25"/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ca="1" si="3"/>
        <v>#NAME?</v>
      </c>
      <c r="N62" t="e">
        <f t="shared" ca="1" si="3"/>
        <v>#NAME?</v>
      </c>
      <c r="O62" t="e">
        <f t="shared" ca="1" si="3"/>
        <v>#NAME?</v>
      </c>
      <c r="P62" t="e">
        <f t="shared" ca="1" si="3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ca="1" si="4"/>
        <v>#NAME?</v>
      </c>
      <c r="V62" t="e">
        <f t="shared" ca="1" si="4"/>
        <v>#NAME?</v>
      </c>
      <c r="W62" t="e">
        <f t="shared" ca="1" si="4"/>
        <v>#NAME?</v>
      </c>
      <c r="X62" t="e">
        <f t="shared" ca="1" si="4"/>
        <v>#NAME?</v>
      </c>
      <c r="Z62" s="15">
        <v>0.25</v>
      </c>
    </row>
    <row r="63" spans="1:26" ht="15" customHeight="1">
      <c r="A63" s="22" t="s">
        <v>121</v>
      </c>
      <c r="B63" s="121" t="s">
        <v>122</v>
      </c>
      <c r="C63" s="28" t="s">
        <v>351</v>
      </c>
      <c r="D63" s="25"/>
      <c r="E63" s="25"/>
      <c r="F63" s="25"/>
      <c r="G63" s="25" t="s">
        <v>152</v>
      </c>
      <c r="H63" s="25" t="s">
        <v>123</v>
      </c>
      <c r="J63" t="e">
        <f t="shared" ca="1" si="3"/>
        <v>#NAME?</v>
      </c>
      <c r="K63" t="e">
        <f t="shared" ca="1" si="3"/>
        <v>#NAME?</v>
      </c>
      <c r="L63" t="e">
        <f t="shared" ca="1" si="3"/>
        <v>#NAME?</v>
      </c>
      <c r="M63" t="e">
        <f t="shared" ref="M63:P73" ca="1" si="28">colorindex(E63)</f>
        <v>#NAME?</v>
      </c>
      <c r="N63" t="e">
        <f t="shared" ca="1" si="28"/>
        <v>#NAME?</v>
      </c>
      <c r="O63" t="e">
        <f t="shared" ca="1" si="28"/>
        <v>#NAME?</v>
      </c>
      <c r="P63" t="e">
        <f t="shared" ca="1" si="28"/>
        <v>#NAME?</v>
      </c>
      <c r="R63" t="e">
        <f t="shared" ca="1" si="4"/>
        <v>#NAME?</v>
      </c>
      <c r="S63" t="e">
        <f t="shared" ca="1" si="4"/>
        <v>#NAME?</v>
      </c>
      <c r="T63" t="e">
        <f t="shared" ca="1" si="4"/>
        <v>#NAME?</v>
      </c>
      <c r="U63" t="e">
        <f t="shared" ref="U63:X73" ca="1" si="29">ShiftIndex(E63)</f>
        <v>#NAME?</v>
      </c>
      <c r="V63" t="e">
        <f t="shared" ca="1" si="29"/>
        <v>#NAME?</v>
      </c>
      <c r="W63" t="e">
        <f t="shared" ca="1" si="29"/>
        <v>#NAME?</v>
      </c>
      <c r="X63" t="e">
        <f t="shared" ca="1" si="29"/>
        <v>#NAME?</v>
      </c>
      <c r="Z63" s="15">
        <v>0.5</v>
      </c>
    </row>
    <row r="64" spans="1:26" ht="15" customHeight="1">
      <c r="A64" s="106" t="s">
        <v>124</v>
      </c>
      <c r="B64" s="107" t="str">
        <f>B59</f>
        <v>Mon 29 Jun</v>
      </c>
      <c r="C64" s="107" t="str">
        <f t="shared" ref="C64:H64" si="30">C59</f>
        <v>Tues 30 Jun</v>
      </c>
      <c r="D64" s="107" t="str">
        <f t="shared" si="30"/>
        <v>Wed 1 Jul</v>
      </c>
      <c r="E64" s="107" t="str">
        <f t="shared" si="30"/>
        <v>Thu 2 Jul</v>
      </c>
      <c r="F64" s="107" t="str">
        <f t="shared" si="30"/>
        <v>Fri 3 Jul</v>
      </c>
      <c r="G64" s="107" t="str">
        <f t="shared" si="30"/>
        <v>Sat 4 Jul</v>
      </c>
      <c r="H64" s="107" t="str">
        <f t="shared" si="30"/>
        <v>Sun 5 Jul</v>
      </c>
      <c r="J64" t="e">
        <f t="shared" ref="J64:P102" ca="1" si="31">colorindex(B64)</f>
        <v>#NAME?</v>
      </c>
      <c r="K64" t="e">
        <f t="shared" ca="1" si="31"/>
        <v>#NAME?</v>
      </c>
      <c r="L64" t="e">
        <f t="shared" ca="1" si="31"/>
        <v>#NAME?</v>
      </c>
      <c r="M64" t="e">
        <f t="shared" ca="1" si="28"/>
        <v>#NAME?</v>
      </c>
      <c r="N64" t="e">
        <f t="shared" ca="1" si="28"/>
        <v>#NAME?</v>
      </c>
      <c r="O64" t="e">
        <f t="shared" ca="1" si="28"/>
        <v>#NAME?</v>
      </c>
      <c r="P64" t="e">
        <f t="shared" ca="1" si="28"/>
        <v>#NAME?</v>
      </c>
      <c r="R64" t="e">
        <f t="shared" ref="R64:X102" ca="1" si="32">ShiftIndex(B64)</f>
        <v>#NAME?</v>
      </c>
      <c r="S64" t="e">
        <f t="shared" ca="1" si="32"/>
        <v>#NAME?</v>
      </c>
      <c r="T64" t="e">
        <f t="shared" ca="1" si="32"/>
        <v>#NAME?</v>
      </c>
      <c r="U64" t="e">
        <f t="shared" ca="1" si="29"/>
        <v>#NAME?</v>
      </c>
      <c r="V64" t="e">
        <f t="shared" ca="1" si="29"/>
        <v>#NAME?</v>
      </c>
      <c r="W64" t="e">
        <f t="shared" ca="1" si="29"/>
        <v>#NAME?</v>
      </c>
      <c r="X64" t="e">
        <f t="shared" ca="1" si="29"/>
        <v>#NAME?</v>
      </c>
      <c r="Z64" s="53">
        <f>SUM(Z60:Z63)</f>
        <v>2.75</v>
      </c>
    </row>
    <row r="65" spans="1:26" ht="15" customHeight="1">
      <c r="A65" s="22" t="s">
        <v>125</v>
      </c>
      <c r="B65" s="25"/>
      <c r="C65" s="25"/>
      <c r="D65" s="28" t="s">
        <v>119</v>
      </c>
      <c r="E65" s="28" t="s">
        <v>119</v>
      </c>
      <c r="F65" s="25"/>
      <c r="G65" s="120" t="s">
        <v>118</v>
      </c>
      <c r="H65" s="28" t="s">
        <v>119</v>
      </c>
      <c r="J65" t="e">
        <f t="shared" ca="1" si="31"/>
        <v>#NAME?</v>
      </c>
      <c r="K65" t="e">
        <f t="shared" ca="1" si="31"/>
        <v>#NAME?</v>
      </c>
      <c r="L65" t="e">
        <f t="shared" ca="1" si="31"/>
        <v>#NAME?</v>
      </c>
      <c r="M65" t="e">
        <f t="shared" ca="1" si="28"/>
        <v>#NAME?</v>
      </c>
      <c r="N65" t="e">
        <f t="shared" ca="1" si="28"/>
        <v>#NAME?</v>
      </c>
      <c r="O65" t="e">
        <f t="shared" ca="1" si="28"/>
        <v>#NAME?</v>
      </c>
      <c r="P65" t="e">
        <f t="shared" ca="1" si="28"/>
        <v>#NAME?</v>
      </c>
      <c r="R65" t="e">
        <f t="shared" ca="1" si="32"/>
        <v>#NAME?</v>
      </c>
      <c r="S65" t="e">
        <f t="shared" ca="1" si="32"/>
        <v>#NAME?</v>
      </c>
      <c r="T65" t="e">
        <f t="shared" ca="1" si="32"/>
        <v>#NAME?</v>
      </c>
      <c r="U65" t="e">
        <f t="shared" ca="1" si="29"/>
        <v>#NAME?</v>
      </c>
      <c r="V65" t="e">
        <f t="shared" ca="1" si="29"/>
        <v>#NAME?</v>
      </c>
      <c r="W65" t="e">
        <f t="shared" ca="1" si="29"/>
        <v>#NAME?</v>
      </c>
      <c r="X65" t="e">
        <f t="shared" ca="1" si="29"/>
        <v>#NAME?</v>
      </c>
      <c r="Z65" s="15">
        <v>1</v>
      </c>
    </row>
    <row r="66" spans="1:26" ht="15" customHeight="1">
      <c r="A66" s="22" t="s">
        <v>128</v>
      </c>
      <c r="B66" s="25"/>
      <c r="C66" s="25"/>
      <c r="D66" s="25"/>
      <c r="E66" s="25"/>
      <c r="F66" s="25"/>
      <c r="G66" s="25"/>
      <c r="H66" s="25"/>
      <c r="J66" t="e">
        <f t="shared" ca="1" si="31"/>
        <v>#NAME?</v>
      </c>
      <c r="K66" t="e">
        <f t="shared" ca="1" si="31"/>
        <v>#NAME?</v>
      </c>
      <c r="L66" t="e">
        <f t="shared" ca="1" si="31"/>
        <v>#NAME?</v>
      </c>
      <c r="M66" t="e">
        <f t="shared" ca="1" si="28"/>
        <v>#NAME?</v>
      </c>
      <c r="N66" t="e">
        <f t="shared" ca="1" si="28"/>
        <v>#NAME?</v>
      </c>
      <c r="O66" t="e">
        <f t="shared" ca="1" si="28"/>
        <v>#NAME?</v>
      </c>
      <c r="P66" t="e">
        <f t="shared" ca="1" si="28"/>
        <v>#NAME?</v>
      </c>
      <c r="R66" t="e">
        <f t="shared" ca="1" si="32"/>
        <v>#NAME?</v>
      </c>
      <c r="S66" t="e">
        <f t="shared" ca="1" si="32"/>
        <v>#NAME?</v>
      </c>
      <c r="T66" t="e">
        <f t="shared" ca="1" si="32"/>
        <v>#NAME?</v>
      </c>
      <c r="U66" t="e">
        <f t="shared" ca="1" si="29"/>
        <v>#NAME?</v>
      </c>
      <c r="V66" t="e">
        <f t="shared" ca="1" si="29"/>
        <v>#NAME?</v>
      </c>
      <c r="W66" t="e">
        <f t="shared" ca="1" si="29"/>
        <v>#NAME?</v>
      </c>
      <c r="X66" t="e">
        <f t="shared" ca="1" si="29"/>
        <v>#NAME?</v>
      </c>
      <c r="Z66" s="15">
        <v>0.25</v>
      </c>
    </row>
    <row r="67" spans="1:26" ht="15" customHeight="1">
      <c r="A67" s="22" t="s">
        <v>129</v>
      </c>
      <c r="B67" s="28" t="s">
        <v>119</v>
      </c>
      <c r="C67" s="25"/>
      <c r="D67" s="120" t="s">
        <v>118</v>
      </c>
      <c r="E67" s="25"/>
      <c r="F67" s="25"/>
      <c r="G67" s="25"/>
      <c r="H67" s="25"/>
      <c r="J67" t="e">
        <f t="shared" ca="1" si="31"/>
        <v>#NAME?</v>
      </c>
      <c r="K67" t="e">
        <f t="shared" ca="1" si="31"/>
        <v>#NAME?</v>
      </c>
      <c r="L67" t="e">
        <f t="shared" ca="1" si="31"/>
        <v>#NAME?</v>
      </c>
      <c r="M67" t="e">
        <f t="shared" ca="1" si="28"/>
        <v>#NAME?</v>
      </c>
      <c r="N67" t="e">
        <f t="shared" ca="1" si="28"/>
        <v>#NAME?</v>
      </c>
      <c r="O67" t="e">
        <f t="shared" ca="1" si="28"/>
        <v>#NAME?</v>
      </c>
      <c r="P67" t="e">
        <f t="shared" ca="1" si="28"/>
        <v>#NAME?</v>
      </c>
      <c r="R67" t="e">
        <f t="shared" ca="1" si="32"/>
        <v>#NAME?</v>
      </c>
      <c r="S67" t="e">
        <f t="shared" ca="1" si="32"/>
        <v>#NAME?</v>
      </c>
      <c r="T67" t="e">
        <f t="shared" ca="1" si="32"/>
        <v>#NAME?</v>
      </c>
      <c r="U67" t="e">
        <f t="shared" ca="1" si="29"/>
        <v>#NAME?</v>
      </c>
      <c r="V67" t="e">
        <f t="shared" ca="1" si="29"/>
        <v>#NAME?</v>
      </c>
      <c r="W67" t="e">
        <f t="shared" ca="1" si="29"/>
        <v>#NAME?</v>
      </c>
      <c r="X67" t="e">
        <f t="shared" ca="1" si="29"/>
        <v>#NAME?</v>
      </c>
      <c r="Z67" s="15">
        <v>0.5</v>
      </c>
    </row>
    <row r="68" spans="1:26" ht="26.25">
      <c r="A68" s="106" t="s">
        <v>130</v>
      </c>
      <c r="B68" s="108" t="str">
        <f>B59</f>
        <v>Mon 29 Jun</v>
      </c>
      <c r="C68" s="107" t="str">
        <f t="shared" ref="C68:H68" si="33">C59</f>
        <v>Tues 30 Jun</v>
      </c>
      <c r="D68" s="108" t="s">
        <v>426</v>
      </c>
      <c r="E68" s="107" t="str">
        <f t="shared" si="33"/>
        <v>Thu 2 Jul</v>
      </c>
      <c r="F68" s="107" t="str">
        <f t="shared" si="33"/>
        <v>Fri 3 Jul</v>
      </c>
      <c r="G68" s="107" t="str">
        <f t="shared" si="33"/>
        <v>Sat 4 Jul</v>
      </c>
      <c r="H68" s="107" t="str">
        <f t="shared" si="33"/>
        <v>Sun 5 Jul</v>
      </c>
      <c r="J68" t="e">
        <f t="shared" ca="1" si="31"/>
        <v>#NAME?</v>
      </c>
      <c r="K68" t="e">
        <f t="shared" ca="1" si="31"/>
        <v>#NAME?</v>
      </c>
      <c r="L68" t="e">
        <f t="shared" ca="1" si="31"/>
        <v>#NAME?</v>
      </c>
      <c r="M68" t="e">
        <f t="shared" ca="1" si="28"/>
        <v>#NAME?</v>
      </c>
      <c r="N68" t="e">
        <f t="shared" ca="1" si="28"/>
        <v>#NAME?</v>
      </c>
      <c r="O68" t="e">
        <f t="shared" ca="1" si="28"/>
        <v>#NAME?</v>
      </c>
      <c r="P68" t="e">
        <f t="shared" ca="1" si="28"/>
        <v>#NAME?</v>
      </c>
      <c r="R68" t="e">
        <f t="shared" ca="1" si="32"/>
        <v>#NAME?</v>
      </c>
      <c r="S68" t="e">
        <f t="shared" ca="1" si="32"/>
        <v>#NAME?</v>
      </c>
      <c r="T68" t="e">
        <f t="shared" ca="1" si="32"/>
        <v>#NAME?</v>
      </c>
      <c r="U68" t="e">
        <f t="shared" ca="1" si="29"/>
        <v>#NAME?</v>
      </c>
      <c r="V68" t="e">
        <f t="shared" ca="1" si="29"/>
        <v>#NAME?</v>
      </c>
      <c r="W68" t="e">
        <f t="shared" ca="1" si="29"/>
        <v>#NAME?</v>
      </c>
      <c r="X68" t="e">
        <f t="shared" ca="1" si="29"/>
        <v>#NAME?</v>
      </c>
      <c r="Z68" s="53">
        <f>SUM(Z65:Z67)</f>
        <v>1.75</v>
      </c>
    </row>
    <row r="69" spans="1:26" ht="15" customHeight="1">
      <c r="A69" s="22" t="s">
        <v>133</v>
      </c>
      <c r="B69" s="120" t="s">
        <v>118</v>
      </c>
      <c r="C69" s="25"/>
      <c r="D69" s="25" t="s">
        <v>141</v>
      </c>
      <c r="E69" s="28" t="s">
        <v>115</v>
      </c>
      <c r="F69" s="25"/>
      <c r="G69" s="28" t="s">
        <v>115</v>
      </c>
      <c r="H69" s="25"/>
      <c r="J69" t="e">
        <f t="shared" ca="1" si="31"/>
        <v>#NAME?</v>
      </c>
      <c r="K69" t="e">
        <f t="shared" ca="1" si="31"/>
        <v>#NAME?</v>
      </c>
      <c r="L69" t="e">
        <f t="shared" ca="1" si="31"/>
        <v>#NAME?</v>
      </c>
      <c r="M69" t="e">
        <f t="shared" ca="1" si="28"/>
        <v>#NAME?</v>
      </c>
      <c r="N69" t="e">
        <f t="shared" ca="1" si="28"/>
        <v>#NAME?</v>
      </c>
      <c r="O69" t="e">
        <f t="shared" ca="1" si="28"/>
        <v>#NAME?</v>
      </c>
      <c r="P69" t="e">
        <f t="shared" ca="1" si="28"/>
        <v>#NAME?</v>
      </c>
      <c r="R69" t="e">
        <f t="shared" ca="1" si="32"/>
        <v>#NAME?</v>
      </c>
      <c r="S69" t="e">
        <f t="shared" ca="1" si="32"/>
        <v>#NAME?</v>
      </c>
      <c r="T69" t="e">
        <f t="shared" ca="1" si="32"/>
        <v>#NAME?</v>
      </c>
      <c r="U69" t="e">
        <f t="shared" ca="1" si="29"/>
        <v>#NAME?</v>
      </c>
      <c r="V69" t="e">
        <f t="shared" ca="1" si="29"/>
        <v>#NAME?</v>
      </c>
      <c r="W69" t="e">
        <f t="shared" ca="1" si="29"/>
        <v>#NAME?</v>
      </c>
      <c r="X69" t="e">
        <f t="shared" ca="1" si="29"/>
        <v>#NAME?</v>
      </c>
      <c r="Z69" s="15">
        <v>0.5</v>
      </c>
    </row>
    <row r="70" spans="1:26" ht="14.45" customHeight="1">
      <c r="A70" s="22" t="s">
        <v>135</v>
      </c>
      <c r="B70" s="25"/>
      <c r="C70" s="25"/>
      <c r="D70" s="25" t="s">
        <v>141</v>
      </c>
      <c r="E70" s="121" t="s">
        <v>116</v>
      </c>
      <c r="F70" s="120" t="s">
        <v>116</v>
      </c>
      <c r="G70" s="25"/>
      <c r="H70" s="120" t="s">
        <v>116</v>
      </c>
      <c r="J70" t="e">
        <f t="shared" ca="1" si="31"/>
        <v>#NAME?</v>
      </c>
      <c r="K70" t="e">
        <f t="shared" ca="1" si="31"/>
        <v>#NAME?</v>
      </c>
      <c r="L70" t="e">
        <f t="shared" ca="1" si="31"/>
        <v>#NAME?</v>
      </c>
      <c r="M70" t="e">
        <f t="shared" ca="1" si="28"/>
        <v>#NAME?</v>
      </c>
      <c r="N70" t="e">
        <f t="shared" ca="1" si="28"/>
        <v>#NAME?</v>
      </c>
      <c r="O70" t="e">
        <f t="shared" ca="1" si="28"/>
        <v>#NAME?</v>
      </c>
      <c r="P70" t="e">
        <f t="shared" ca="1" si="28"/>
        <v>#NAME?</v>
      </c>
      <c r="R70" t="e">
        <f t="shared" ca="1" si="32"/>
        <v>#NAME?</v>
      </c>
      <c r="S70" t="e">
        <f t="shared" ca="1" si="32"/>
        <v>#NAME?</v>
      </c>
      <c r="T70" t="e">
        <f t="shared" ca="1" si="32"/>
        <v>#NAME?</v>
      </c>
      <c r="U70" t="e">
        <f t="shared" ca="1" si="29"/>
        <v>#NAME?</v>
      </c>
      <c r="V70" t="e">
        <f t="shared" ca="1" si="29"/>
        <v>#NAME?</v>
      </c>
      <c r="W70" t="e">
        <f t="shared" ca="1" si="29"/>
        <v>#NAME?</v>
      </c>
      <c r="X70" t="e">
        <f t="shared" ca="1" si="29"/>
        <v>#NAME?</v>
      </c>
      <c r="Z70" s="15">
        <v>0.5</v>
      </c>
    </row>
    <row r="71" spans="1:26" ht="15" customHeight="1">
      <c r="A71" s="22" t="s">
        <v>136</v>
      </c>
      <c r="B71" s="127" t="s">
        <v>18</v>
      </c>
      <c r="C71" s="128"/>
      <c r="D71" s="128"/>
      <c r="E71" s="128"/>
      <c r="F71" s="128"/>
      <c r="G71" s="128"/>
      <c r="H71" s="129"/>
      <c r="J71" t="e">
        <f t="shared" ca="1" si="31"/>
        <v>#NAME?</v>
      </c>
      <c r="K71" t="e">
        <f t="shared" ca="1" si="31"/>
        <v>#NAME?</v>
      </c>
      <c r="L71" t="e">
        <f t="shared" ca="1" si="31"/>
        <v>#NAME?</v>
      </c>
      <c r="M71" t="e">
        <f t="shared" ca="1" si="28"/>
        <v>#NAME?</v>
      </c>
      <c r="N71" t="e">
        <f t="shared" ca="1" si="28"/>
        <v>#NAME?</v>
      </c>
      <c r="O71" t="e">
        <f t="shared" ca="1" si="28"/>
        <v>#NAME?</v>
      </c>
      <c r="P71" t="e">
        <f t="shared" ca="1" si="28"/>
        <v>#NAME?</v>
      </c>
      <c r="R71" t="e">
        <f t="shared" ca="1" si="32"/>
        <v>#NAME?</v>
      </c>
      <c r="S71" t="e">
        <f t="shared" ca="1" si="32"/>
        <v>#NAME?</v>
      </c>
      <c r="T71" t="e">
        <f t="shared" ca="1" si="32"/>
        <v>#NAME?</v>
      </c>
      <c r="U71" t="e">
        <f t="shared" ca="1" si="29"/>
        <v>#NAME?</v>
      </c>
      <c r="V71" t="e">
        <f t="shared" ca="1" si="29"/>
        <v>#NAME?</v>
      </c>
      <c r="W71" t="e">
        <f t="shared" ca="1" si="29"/>
        <v>#NAME?</v>
      </c>
      <c r="X71" t="e">
        <f t="shared" ca="1" si="29"/>
        <v>#NAME?</v>
      </c>
      <c r="Z71" s="24">
        <v>1</v>
      </c>
    </row>
    <row r="72" spans="1:26" ht="15" customHeight="1">
      <c r="A72" s="22" t="s">
        <v>137</v>
      </c>
      <c r="B72" s="25"/>
      <c r="C72" s="121" t="s">
        <v>118</v>
      </c>
      <c r="D72" s="25" t="s">
        <v>141</v>
      </c>
      <c r="E72" s="121" t="s">
        <v>118</v>
      </c>
      <c r="F72" s="120" t="s">
        <v>118</v>
      </c>
      <c r="G72" s="25"/>
      <c r="H72" s="25"/>
      <c r="J72" t="e">
        <f t="shared" ca="1" si="31"/>
        <v>#NAME?</v>
      </c>
      <c r="K72" t="e">
        <f t="shared" ca="1" si="31"/>
        <v>#NAME?</v>
      </c>
      <c r="L72" t="e">
        <f t="shared" ca="1" si="31"/>
        <v>#NAME?</v>
      </c>
      <c r="M72" t="e">
        <f t="shared" ca="1" si="28"/>
        <v>#NAME?</v>
      </c>
      <c r="N72" t="e">
        <f t="shared" ca="1" si="28"/>
        <v>#NAME?</v>
      </c>
      <c r="O72" t="e">
        <f t="shared" ca="1" si="28"/>
        <v>#NAME?</v>
      </c>
      <c r="P72" t="e">
        <f t="shared" ca="1" si="28"/>
        <v>#NAME?</v>
      </c>
      <c r="R72" t="e">
        <f t="shared" ca="1" si="32"/>
        <v>#NAME?</v>
      </c>
      <c r="S72" t="e">
        <f t="shared" ca="1" si="32"/>
        <v>#NAME?</v>
      </c>
      <c r="T72" t="e">
        <f t="shared" ca="1" si="32"/>
        <v>#NAME?</v>
      </c>
      <c r="U72" t="e">
        <f t="shared" ca="1" si="29"/>
        <v>#NAME?</v>
      </c>
      <c r="V72" t="e">
        <f t="shared" ca="1" si="29"/>
        <v>#NAME?</v>
      </c>
      <c r="W72" t="e">
        <f t="shared" ca="1" si="29"/>
        <v>#NAME?</v>
      </c>
      <c r="X72" t="e">
        <f t="shared" ca="1" si="29"/>
        <v>#NAME?</v>
      </c>
      <c r="Z72" s="24">
        <v>1</v>
      </c>
    </row>
    <row r="73" spans="1:26" ht="15" customHeight="1">
      <c r="A73" s="22" t="s">
        <v>140</v>
      </c>
      <c r="B73" s="25"/>
      <c r="C73" s="110" t="s">
        <v>139</v>
      </c>
      <c r="D73" s="28" t="s">
        <v>115</v>
      </c>
      <c r="E73" s="25"/>
      <c r="F73" s="110" t="s">
        <v>139</v>
      </c>
      <c r="G73" s="121" t="s">
        <v>116</v>
      </c>
      <c r="H73" s="121" t="s">
        <v>116</v>
      </c>
      <c r="J73" t="e">
        <f t="shared" ca="1" si="31"/>
        <v>#NAME?</v>
      </c>
      <c r="K73" t="e">
        <f t="shared" ca="1" si="31"/>
        <v>#NAME?</v>
      </c>
      <c r="L73" t="e">
        <f t="shared" ca="1" si="31"/>
        <v>#NAME?</v>
      </c>
      <c r="M73" t="e">
        <f t="shared" ca="1" si="28"/>
        <v>#NAME?</v>
      </c>
      <c r="N73" t="e">
        <f t="shared" ca="1" si="28"/>
        <v>#NAME?</v>
      </c>
      <c r="O73" t="e">
        <f t="shared" ca="1" si="28"/>
        <v>#NAME?</v>
      </c>
      <c r="P73" t="e">
        <f t="shared" ca="1" si="28"/>
        <v>#NAME?</v>
      </c>
      <c r="R73" t="e">
        <f t="shared" ca="1" si="32"/>
        <v>#NAME?</v>
      </c>
      <c r="S73" t="e">
        <f t="shared" ca="1" si="32"/>
        <v>#NAME?</v>
      </c>
      <c r="T73" t="e">
        <f t="shared" ca="1" si="32"/>
        <v>#NAME?</v>
      </c>
      <c r="U73" t="e">
        <f t="shared" ca="1" si="29"/>
        <v>#NAME?</v>
      </c>
      <c r="V73" t="e">
        <f t="shared" ca="1" si="29"/>
        <v>#NAME?</v>
      </c>
      <c r="W73" t="e">
        <f t="shared" ca="1" si="29"/>
        <v>#NAME?</v>
      </c>
      <c r="X73" t="e">
        <f t="shared" ca="1" si="29"/>
        <v>#NAME?</v>
      </c>
      <c r="Z73" s="24">
        <v>1</v>
      </c>
    </row>
    <row r="74" spans="1:26" ht="15" customHeight="1">
      <c r="A74" s="22" t="s">
        <v>143</v>
      </c>
      <c r="B74" s="120" t="s">
        <v>116</v>
      </c>
      <c r="C74" s="25" t="s">
        <v>123</v>
      </c>
      <c r="D74" s="25" t="s">
        <v>123</v>
      </c>
      <c r="E74" s="25" t="s">
        <v>123</v>
      </c>
      <c r="F74" s="25"/>
      <c r="G74" s="25"/>
      <c r="H74" s="25"/>
      <c r="J74" t="e">
        <f t="shared" ca="1" si="31"/>
        <v>#NAME?</v>
      </c>
      <c r="K74" t="e">
        <f t="shared" ca="1" si="31"/>
        <v>#NAME?</v>
      </c>
      <c r="L74" t="e">
        <f t="shared" ca="1" si="31"/>
        <v>#NAME?</v>
      </c>
      <c r="M74" t="e">
        <f t="shared" ca="1" si="31"/>
        <v>#NAME?</v>
      </c>
      <c r="N74" t="e">
        <f t="shared" ca="1" si="31"/>
        <v>#NAME?</v>
      </c>
      <c r="O74" t="e">
        <f t="shared" ca="1" si="31"/>
        <v>#NAME?</v>
      </c>
      <c r="P74" t="e">
        <f t="shared" ca="1" si="31"/>
        <v>#NAME?</v>
      </c>
      <c r="R74" t="e">
        <f t="shared" ca="1" si="32"/>
        <v>#NAME?</v>
      </c>
      <c r="S74" t="e">
        <f t="shared" ca="1" si="32"/>
        <v>#NAME?</v>
      </c>
      <c r="T74" t="e">
        <f t="shared" ca="1" si="32"/>
        <v>#NAME?</v>
      </c>
      <c r="U74" t="e">
        <f t="shared" ca="1" si="32"/>
        <v>#NAME?</v>
      </c>
      <c r="V74" t="e">
        <f t="shared" ca="1" si="32"/>
        <v>#NAME?</v>
      </c>
      <c r="W74" t="e">
        <f t="shared" ca="1" si="32"/>
        <v>#NAME?</v>
      </c>
      <c r="X74" t="e">
        <f t="shared" ca="1" si="32"/>
        <v>#NAME?</v>
      </c>
      <c r="Z74" s="24">
        <v>1</v>
      </c>
    </row>
    <row r="75" spans="1:26" ht="15" customHeight="1">
      <c r="A75" s="22" t="s">
        <v>145</v>
      </c>
      <c r="B75" s="25"/>
      <c r="C75" s="25"/>
      <c r="D75" s="25" t="s">
        <v>141</v>
      </c>
      <c r="E75" s="109" t="s">
        <v>18</v>
      </c>
      <c r="F75" s="25" t="s">
        <v>123</v>
      </c>
      <c r="G75" s="25" t="s">
        <v>123</v>
      </c>
      <c r="H75" s="25" t="s">
        <v>152</v>
      </c>
      <c r="J75" t="e">
        <f t="shared" ca="1" si="31"/>
        <v>#NAME?</v>
      </c>
      <c r="K75" t="e">
        <f t="shared" ca="1" si="31"/>
        <v>#NAME?</v>
      </c>
      <c r="L75" t="e">
        <f t="shared" ca="1" si="31"/>
        <v>#NAME?</v>
      </c>
      <c r="M75" t="e">
        <f t="shared" ca="1" si="31"/>
        <v>#NAME?</v>
      </c>
      <c r="N75" t="e">
        <f t="shared" ca="1" si="31"/>
        <v>#NAME?</v>
      </c>
      <c r="O75" t="e">
        <f t="shared" ca="1" si="31"/>
        <v>#NAME?</v>
      </c>
      <c r="P75" t="e">
        <f t="shared" ca="1" si="31"/>
        <v>#NAME?</v>
      </c>
      <c r="R75" t="e">
        <f t="shared" ca="1" si="32"/>
        <v>#NAME?</v>
      </c>
      <c r="S75" t="e">
        <f t="shared" ca="1" si="32"/>
        <v>#NAME?</v>
      </c>
      <c r="T75" t="e">
        <f t="shared" ca="1" si="32"/>
        <v>#NAME?</v>
      </c>
      <c r="U75" t="e">
        <f t="shared" ca="1" si="32"/>
        <v>#NAME?</v>
      </c>
      <c r="V75" t="e">
        <f t="shared" ca="1" si="32"/>
        <v>#NAME?</v>
      </c>
      <c r="W75" t="e">
        <f t="shared" ca="1" si="32"/>
        <v>#NAME?</v>
      </c>
      <c r="X75" t="e">
        <f t="shared" ca="1" si="32"/>
        <v>#NAME?</v>
      </c>
      <c r="Z75" s="24">
        <v>1</v>
      </c>
    </row>
    <row r="76" spans="1:26" ht="26.25">
      <c r="A76" s="106" t="s">
        <v>146</v>
      </c>
      <c r="B76" s="108" t="str">
        <f>B59</f>
        <v>Mon 29 Jun</v>
      </c>
      <c r="C76" s="107" t="str">
        <f>C68</f>
        <v>Tues 30 Jun</v>
      </c>
      <c r="D76" s="108" t="s">
        <v>426</v>
      </c>
      <c r="E76" s="107" t="str">
        <f>E68</f>
        <v>Thu 2 Jul</v>
      </c>
      <c r="F76" s="107" t="str">
        <f>F68</f>
        <v>Fri 3 Jul</v>
      </c>
      <c r="G76" s="107" t="str">
        <f>G68</f>
        <v>Sat 4 Jul</v>
      </c>
      <c r="H76" s="107" t="str">
        <f>H68</f>
        <v>Sun 5 Jul</v>
      </c>
      <c r="J76" t="e">
        <f t="shared" ca="1" si="31"/>
        <v>#NAME?</v>
      </c>
      <c r="K76" t="e">
        <f t="shared" ca="1" si="31"/>
        <v>#NAME?</v>
      </c>
      <c r="L76" t="e">
        <f t="shared" ca="1" si="31"/>
        <v>#NAME?</v>
      </c>
      <c r="M76" t="e">
        <f t="shared" ca="1" si="31"/>
        <v>#NAME?</v>
      </c>
      <c r="N76" t="e">
        <f t="shared" ca="1" si="31"/>
        <v>#NAME?</v>
      </c>
      <c r="O76" t="e">
        <f t="shared" ca="1" si="31"/>
        <v>#NAME?</v>
      </c>
      <c r="P76" t="e">
        <f t="shared" ca="1" si="31"/>
        <v>#NAME?</v>
      </c>
      <c r="R76" t="e">
        <f t="shared" ca="1" si="32"/>
        <v>#NAME?</v>
      </c>
      <c r="S76" t="e">
        <f t="shared" ca="1" si="32"/>
        <v>#NAME?</v>
      </c>
      <c r="T76" t="e">
        <f t="shared" ca="1" si="32"/>
        <v>#NAME?</v>
      </c>
      <c r="U76" t="e">
        <f t="shared" ca="1" si="32"/>
        <v>#NAME?</v>
      </c>
      <c r="V76" t="e">
        <f t="shared" ca="1" si="32"/>
        <v>#NAME?</v>
      </c>
      <c r="W76" t="e">
        <f t="shared" ca="1" si="32"/>
        <v>#NAME?</v>
      </c>
      <c r="X76" t="e">
        <f t="shared" ca="1" si="32"/>
        <v>#NAME?</v>
      </c>
      <c r="Z76" s="53">
        <f>SUM(Z69:Z75)</f>
        <v>6</v>
      </c>
    </row>
    <row r="77" spans="1:26" ht="15" customHeight="1">
      <c r="A77" s="22" t="s">
        <v>147</v>
      </c>
      <c r="B77" s="25"/>
      <c r="C77" s="120" t="s">
        <v>116</v>
      </c>
      <c r="D77" s="28" t="s">
        <v>115</v>
      </c>
      <c r="E77" s="25"/>
      <c r="F77" s="121" t="s">
        <v>116</v>
      </c>
      <c r="G77" s="120" t="s">
        <v>116</v>
      </c>
      <c r="H77" s="25"/>
      <c r="J77" t="e">
        <f t="shared" ca="1" si="31"/>
        <v>#NAME?</v>
      </c>
      <c r="K77" t="e">
        <f t="shared" ca="1" si="31"/>
        <v>#NAME?</v>
      </c>
      <c r="L77" t="e">
        <f t="shared" ca="1" si="31"/>
        <v>#NAME?</v>
      </c>
      <c r="M77" t="e">
        <f t="shared" ca="1" si="31"/>
        <v>#NAME?</v>
      </c>
      <c r="N77" t="e">
        <f t="shared" ca="1" si="31"/>
        <v>#NAME?</v>
      </c>
      <c r="O77" t="e">
        <f t="shared" ca="1" si="31"/>
        <v>#NAME?</v>
      </c>
      <c r="P77" t="e">
        <f t="shared" ca="1" si="31"/>
        <v>#NAME?</v>
      </c>
      <c r="R77" t="e">
        <f t="shared" ca="1" si="32"/>
        <v>#NAME?</v>
      </c>
      <c r="S77" t="e">
        <f t="shared" ca="1" si="32"/>
        <v>#NAME?</v>
      </c>
      <c r="T77" t="e">
        <f t="shared" ca="1" si="32"/>
        <v>#NAME?</v>
      </c>
      <c r="U77" t="e">
        <f t="shared" ca="1" si="32"/>
        <v>#NAME?</v>
      </c>
      <c r="V77" t="e">
        <f t="shared" ca="1" si="32"/>
        <v>#NAME?</v>
      </c>
      <c r="W77" t="e">
        <f t="shared" ca="1" si="32"/>
        <v>#NAME?</v>
      </c>
      <c r="X77" t="e">
        <f t="shared" ca="1" si="32"/>
        <v>#NAME?</v>
      </c>
      <c r="Z77" s="24">
        <v>1</v>
      </c>
    </row>
    <row r="78" spans="1:26" ht="15" customHeight="1">
      <c r="A78" s="22" t="s">
        <v>151</v>
      </c>
      <c r="B78" s="127" t="s">
        <v>18</v>
      </c>
      <c r="C78" s="128"/>
      <c r="D78" s="128"/>
      <c r="E78" s="128"/>
      <c r="F78" s="128"/>
      <c r="G78" s="128"/>
      <c r="H78" s="129"/>
      <c r="J78" t="e">
        <f t="shared" ca="1" si="31"/>
        <v>#NAME?</v>
      </c>
      <c r="K78" t="e">
        <f t="shared" ca="1" si="31"/>
        <v>#NAME?</v>
      </c>
      <c r="L78" t="e">
        <f t="shared" ca="1" si="31"/>
        <v>#NAME?</v>
      </c>
      <c r="M78" t="e">
        <f t="shared" ca="1" si="31"/>
        <v>#NAME?</v>
      </c>
      <c r="N78" t="e">
        <f t="shared" ca="1" si="31"/>
        <v>#NAME?</v>
      </c>
      <c r="O78" t="e">
        <f t="shared" ca="1" si="31"/>
        <v>#NAME?</v>
      </c>
      <c r="P78" t="e">
        <f t="shared" ca="1" si="31"/>
        <v>#NAME?</v>
      </c>
      <c r="R78" t="e">
        <f t="shared" ca="1" si="32"/>
        <v>#NAME?</v>
      </c>
      <c r="S78" t="e">
        <f t="shared" ca="1" si="32"/>
        <v>#NAME?</v>
      </c>
      <c r="T78" t="e">
        <f t="shared" ca="1" si="32"/>
        <v>#NAME?</v>
      </c>
      <c r="U78" t="e">
        <f t="shared" ca="1" si="32"/>
        <v>#NAME?</v>
      </c>
      <c r="V78" t="e">
        <f t="shared" ca="1" si="32"/>
        <v>#NAME?</v>
      </c>
      <c r="W78" t="e">
        <f t="shared" ca="1" si="32"/>
        <v>#NAME?</v>
      </c>
      <c r="X78" t="e">
        <f t="shared" ca="1" si="32"/>
        <v>#NAME?</v>
      </c>
      <c r="Z78" s="15">
        <v>1</v>
      </c>
    </row>
    <row r="79" spans="1:26" ht="15" customHeight="1">
      <c r="A79" s="22" t="s">
        <v>153</v>
      </c>
      <c r="B79" s="25" t="s">
        <v>152</v>
      </c>
      <c r="C79" s="25"/>
      <c r="D79" s="25" t="s">
        <v>141</v>
      </c>
      <c r="E79" s="25"/>
      <c r="F79" s="110" t="s">
        <v>142</v>
      </c>
      <c r="G79" s="25"/>
      <c r="H79" s="25"/>
      <c r="J79" t="e">
        <f t="shared" ca="1" si="31"/>
        <v>#NAME?</v>
      </c>
      <c r="K79" t="e">
        <f t="shared" ca="1" si="31"/>
        <v>#NAME?</v>
      </c>
      <c r="L79" t="e">
        <f t="shared" ca="1" si="31"/>
        <v>#NAME?</v>
      </c>
      <c r="M79" t="e">
        <f t="shared" ca="1" si="31"/>
        <v>#NAME?</v>
      </c>
      <c r="N79" t="e">
        <f t="shared" ca="1" si="31"/>
        <v>#NAME?</v>
      </c>
      <c r="O79" t="e">
        <f t="shared" ca="1" si="31"/>
        <v>#NAME?</v>
      </c>
      <c r="P79" t="e">
        <f t="shared" ca="1" si="31"/>
        <v>#NAME?</v>
      </c>
      <c r="R79" t="e">
        <f t="shared" ca="1" si="32"/>
        <v>#NAME?</v>
      </c>
      <c r="S79" t="e">
        <f t="shared" ca="1" si="32"/>
        <v>#NAME?</v>
      </c>
      <c r="T79" t="e">
        <f t="shared" ca="1" si="32"/>
        <v>#NAME?</v>
      </c>
      <c r="U79" t="e">
        <f t="shared" ca="1" si="32"/>
        <v>#NAME?</v>
      </c>
      <c r="V79" t="e">
        <f t="shared" ca="1" si="32"/>
        <v>#NAME?</v>
      </c>
      <c r="W79" t="e">
        <f t="shared" ca="1" si="32"/>
        <v>#NAME?</v>
      </c>
      <c r="X79" t="e">
        <f t="shared" ca="1" si="32"/>
        <v>#NAME?</v>
      </c>
      <c r="Z79" s="15">
        <v>0.5</v>
      </c>
    </row>
    <row r="80" spans="1:26">
      <c r="A80" s="22" t="s">
        <v>154</v>
      </c>
      <c r="B80" s="25"/>
      <c r="C80" s="120" t="s">
        <v>116</v>
      </c>
      <c r="D80" s="25" t="s">
        <v>141</v>
      </c>
      <c r="E80" s="110" t="s">
        <v>142</v>
      </c>
      <c r="F80" s="28" t="s">
        <v>119</v>
      </c>
      <c r="G80" s="110" t="s">
        <v>142</v>
      </c>
      <c r="H80" s="25"/>
      <c r="J80" t="e">
        <f t="shared" ref="J80:P98" ca="1" si="34">colorindex(B80)</f>
        <v>#NAME?</v>
      </c>
      <c r="K80" t="e">
        <f t="shared" ca="1" si="34"/>
        <v>#NAME?</v>
      </c>
      <c r="L80" t="e">
        <f t="shared" ca="1" si="34"/>
        <v>#NAME?</v>
      </c>
      <c r="M80" t="e">
        <f t="shared" ca="1" si="34"/>
        <v>#NAME?</v>
      </c>
      <c r="N80" t="e">
        <f t="shared" ca="1" si="34"/>
        <v>#NAME?</v>
      </c>
      <c r="O80" t="e">
        <f t="shared" ca="1" si="34"/>
        <v>#NAME?</v>
      </c>
      <c r="P80" t="e">
        <f t="shared" ca="1" si="34"/>
        <v>#NAME?</v>
      </c>
      <c r="R80" t="e">
        <f t="shared" ref="R80:X98" ca="1" si="35">ShiftIndex(B80)</f>
        <v>#NAME?</v>
      </c>
      <c r="S80" t="e">
        <f t="shared" ca="1" si="35"/>
        <v>#NAME?</v>
      </c>
      <c r="T80" t="e">
        <f t="shared" ca="1" si="35"/>
        <v>#NAME?</v>
      </c>
      <c r="U80" t="e">
        <f t="shared" ca="1" si="35"/>
        <v>#NAME?</v>
      </c>
      <c r="V80" t="e">
        <f t="shared" ca="1" si="35"/>
        <v>#NAME?</v>
      </c>
      <c r="W80" t="e">
        <f t="shared" ca="1" si="35"/>
        <v>#NAME?</v>
      </c>
      <c r="X80" t="e">
        <f t="shared" ca="1" si="35"/>
        <v>#NAME?</v>
      </c>
      <c r="Z80" s="15">
        <v>1</v>
      </c>
    </row>
    <row r="81" spans="1:26">
      <c r="A81" s="22" t="s">
        <v>155</v>
      </c>
      <c r="B81" s="25"/>
      <c r="C81" s="28" t="s">
        <v>115</v>
      </c>
      <c r="D81" s="25"/>
      <c r="E81" s="25"/>
      <c r="F81" s="25"/>
      <c r="G81" s="25"/>
      <c r="H81" s="110" t="s">
        <v>139</v>
      </c>
      <c r="J81" t="e">
        <f t="shared" ca="1" si="34"/>
        <v>#NAME?</v>
      </c>
      <c r="K81" t="e">
        <f t="shared" ca="1" si="34"/>
        <v>#NAME?</v>
      </c>
      <c r="L81" t="e">
        <f t="shared" ca="1" si="34"/>
        <v>#NAME?</v>
      </c>
      <c r="M81" t="e">
        <f t="shared" ca="1" si="34"/>
        <v>#NAME?</v>
      </c>
      <c r="N81" t="e">
        <f t="shared" ca="1" si="34"/>
        <v>#NAME?</v>
      </c>
      <c r="O81" t="e">
        <f t="shared" ca="1" si="34"/>
        <v>#NAME?</v>
      </c>
      <c r="P81" t="e">
        <f t="shared" ca="1" si="34"/>
        <v>#NAME?</v>
      </c>
      <c r="R81" t="e">
        <f t="shared" ca="1" si="35"/>
        <v>#NAME?</v>
      </c>
      <c r="S81" t="e">
        <f t="shared" ca="1" si="35"/>
        <v>#NAME?</v>
      </c>
      <c r="T81" t="e">
        <f t="shared" ca="1" si="35"/>
        <v>#NAME?</v>
      </c>
      <c r="U81" t="e">
        <f t="shared" ca="1" si="35"/>
        <v>#NAME?</v>
      </c>
      <c r="V81" t="e">
        <f t="shared" ca="1" si="35"/>
        <v>#NAME?</v>
      </c>
      <c r="W81" t="e">
        <f t="shared" ca="1" si="35"/>
        <v>#NAME?</v>
      </c>
      <c r="X81" t="e">
        <f t="shared" ca="1" si="35"/>
        <v>#NAME?</v>
      </c>
      <c r="Z81" s="15">
        <v>0.5</v>
      </c>
    </row>
    <row r="82" spans="1:26" ht="15" customHeight="1">
      <c r="A82" s="22" t="s">
        <v>156</v>
      </c>
      <c r="B82" s="25"/>
      <c r="C82" s="25"/>
      <c r="D82" s="110" t="s">
        <v>139</v>
      </c>
      <c r="E82" s="120" t="s">
        <v>116</v>
      </c>
      <c r="F82" s="25" t="s">
        <v>152</v>
      </c>
      <c r="G82" s="25" t="s">
        <v>152</v>
      </c>
      <c r="H82" s="25" t="s">
        <v>152</v>
      </c>
      <c r="J82" t="e">
        <f t="shared" ca="1" si="34"/>
        <v>#NAME?</v>
      </c>
      <c r="K82" t="e">
        <f t="shared" ca="1" si="34"/>
        <v>#NAME?</v>
      </c>
      <c r="L82" t="e">
        <f t="shared" ca="1" si="34"/>
        <v>#NAME?</v>
      </c>
      <c r="M82" t="e">
        <f t="shared" ca="1" si="34"/>
        <v>#NAME?</v>
      </c>
      <c r="N82" t="e">
        <f t="shared" ca="1" si="34"/>
        <v>#NAME?</v>
      </c>
      <c r="O82" t="e">
        <f t="shared" ca="1" si="34"/>
        <v>#NAME?</v>
      </c>
      <c r="P82" t="e">
        <f t="shared" ca="1" si="34"/>
        <v>#NAME?</v>
      </c>
      <c r="R82" t="e">
        <f t="shared" ca="1" si="35"/>
        <v>#NAME?</v>
      </c>
      <c r="S82" t="e">
        <f t="shared" ca="1" si="35"/>
        <v>#NAME?</v>
      </c>
      <c r="T82" t="e">
        <f t="shared" ca="1" si="35"/>
        <v>#NAME?</v>
      </c>
      <c r="U82" t="e">
        <f t="shared" ca="1" si="35"/>
        <v>#NAME?</v>
      </c>
      <c r="V82" t="e">
        <f t="shared" ca="1" si="35"/>
        <v>#NAME?</v>
      </c>
      <c r="W82" t="e">
        <f t="shared" ca="1" si="35"/>
        <v>#NAME?</v>
      </c>
      <c r="X82" t="e">
        <f t="shared" ca="1" si="35"/>
        <v>#NAME?</v>
      </c>
      <c r="Z82" s="15">
        <v>1</v>
      </c>
    </row>
    <row r="83" spans="1:26" ht="15" customHeight="1">
      <c r="A83" s="22" t="s">
        <v>158</v>
      </c>
      <c r="B83" s="120" t="s">
        <v>116</v>
      </c>
      <c r="C83" s="25"/>
      <c r="D83" s="25" t="s">
        <v>141</v>
      </c>
      <c r="E83" s="28" t="s">
        <v>119</v>
      </c>
      <c r="F83" s="120" t="s">
        <v>118</v>
      </c>
      <c r="G83" s="25"/>
      <c r="H83" s="25" t="s">
        <v>152</v>
      </c>
      <c r="J83" t="e">
        <f t="shared" ca="1" si="34"/>
        <v>#NAME?</v>
      </c>
      <c r="K83" t="e">
        <f t="shared" ca="1" si="34"/>
        <v>#NAME?</v>
      </c>
      <c r="L83" t="e">
        <f t="shared" ca="1" si="34"/>
        <v>#NAME?</v>
      </c>
      <c r="M83" t="e">
        <f t="shared" ca="1" si="34"/>
        <v>#NAME?</v>
      </c>
      <c r="N83" t="e">
        <f t="shared" ca="1" si="34"/>
        <v>#NAME?</v>
      </c>
      <c r="O83" t="e">
        <f t="shared" ca="1" si="34"/>
        <v>#NAME?</v>
      </c>
      <c r="P83" t="e">
        <f t="shared" ca="1" si="34"/>
        <v>#NAME?</v>
      </c>
      <c r="R83" t="e">
        <f t="shared" ca="1" si="35"/>
        <v>#NAME?</v>
      </c>
      <c r="S83" t="e">
        <f t="shared" ca="1" si="35"/>
        <v>#NAME?</v>
      </c>
      <c r="T83" t="e">
        <f t="shared" ca="1" si="35"/>
        <v>#NAME?</v>
      </c>
      <c r="U83" t="e">
        <f t="shared" ca="1" si="35"/>
        <v>#NAME?</v>
      </c>
      <c r="V83" t="e">
        <f t="shared" ca="1" si="35"/>
        <v>#NAME?</v>
      </c>
      <c r="W83" t="e">
        <f t="shared" ca="1" si="35"/>
        <v>#NAME?</v>
      </c>
      <c r="X83" t="e">
        <f t="shared" ca="1" si="35"/>
        <v>#NAME?</v>
      </c>
      <c r="Z83" s="15">
        <v>1</v>
      </c>
    </row>
    <row r="84" spans="1:26" ht="15" customHeight="1">
      <c r="A84" s="22" t="s">
        <v>159</v>
      </c>
      <c r="B84" s="121" t="s">
        <v>116</v>
      </c>
      <c r="C84" s="25"/>
      <c r="D84" s="25" t="s">
        <v>141</v>
      </c>
      <c r="E84" s="120" t="s">
        <v>118</v>
      </c>
      <c r="F84" s="121" t="s">
        <v>118</v>
      </c>
      <c r="G84" s="25"/>
      <c r="H84" s="25" t="s">
        <v>152</v>
      </c>
      <c r="J84" t="e">
        <f t="shared" ca="1" si="34"/>
        <v>#NAME?</v>
      </c>
      <c r="K84" t="e">
        <f t="shared" ca="1" si="34"/>
        <v>#NAME?</v>
      </c>
      <c r="L84" t="e">
        <f t="shared" ca="1" si="34"/>
        <v>#NAME?</v>
      </c>
      <c r="M84" t="e">
        <f t="shared" ca="1" si="34"/>
        <v>#NAME?</v>
      </c>
      <c r="N84" t="e">
        <f t="shared" ca="1" si="34"/>
        <v>#NAME?</v>
      </c>
      <c r="O84" t="e">
        <f t="shared" ca="1" si="34"/>
        <v>#NAME?</v>
      </c>
      <c r="P84" t="e">
        <f t="shared" ca="1" si="34"/>
        <v>#NAME?</v>
      </c>
      <c r="R84" t="e">
        <f t="shared" ca="1" si="35"/>
        <v>#NAME?</v>
      </c>
      <c r="S84" t="e">
        <f t="shared" ca="1" si="35"/>
        <v>#NAME?</v>
      </c>
      <c r="T84" t="e">
        <f t="shared" ca="1" si="35"/>
        <v>#NAME?</v>
      </c>
      <c r="U84" t="e">
        <f t="shared" ca="1" si="35"/>
        <v>#NAME?</v>
      </c>
      <c r="V84" t="e">
        <f t="shared" ca="1" si="35"/>
        <v>#NAME?</v>
      </c>
      <c r="W84" t="e">
        <f t="shared" ca="1" si="35"/>
        <v>#NAME?</v>
      </c>
      <c r="X84" t="e">
        <f t="shared" ca="1" si="35"/>
        <v>#NAME?</v>
      </c>
      <c r="Z84" s="15">
        <v>1</v>
      </c>
    </row>
    <row r="85" spans="1:26" ht="15" customHeight="1">
      <c r="A85" s="22" t="s">
        <v>160</v>
      </c>
      <c r="B85" s="127" t="s">
        <v>18</v>
      </c>
      <c r="C85" s="128"/>
      <c r="D85" s="128"/>
      <c r="E85" s="128"/>
      <c r="F85" s="128"/>
      <c r="G85" s="128"/>
      <c r="H85" s="129"/>
      <c r="J85" t="e">
        <f t="shared" ca="1" si="34"/>
        <v>#NAME?</v>
      </c>
      <c r="K85" t="e">
        <f t="shared" ca="1" si="34"/>
        <v>#NAME?</v>
      </c>
      <c r="L85" t="e">
        <f t="shared" ca="1" si="34"/>
        <v>#NAME?</v>
      </c>
      <c r="M85" t="e">
        <f t="shared" ca="1" si="34"/>
        <v>#NAME?</v>
      </c>
      <c r="N85" t="e">
        <f t="shared" ca="1" si="34"/>
        <v>#NAME?</v>
      </c>
      <c r="O85" t="e">
        <f t="shared" ca="1" si="34"/>
        <v>#NAME?</v>
      </c>
      <c r="P85" t="e">
        <f t="shared" ca="1" si="34"/>
        <v>#NAME?</v>
      </c>
      <c r="R85" t="e">
        <f t="shared" ca="1" si="35"/>
        <v>#NAME?</v>
      </c>
      <c r="S85" t="e">
        <f t="shared" ca="1" si="35"/>
        <v>#NAME?</v>
      </c>
      <c r="T85" t="e">
        <f t="shared" ca="1" si="35"/>
        <v>#NAME?</v>
      </c>
      <c r="U85" t="e">
        <f t="shared" ca="1" si="35"/>
        <v>#NAME?</v>
      </c>
      <c r="V85" t="e">
        <f t="shared" ca="1" si="35"/>
        <v>#NAME?</v>
      </c>
      <c r="W85" t="e">
        <f t="shared" ca="1" si="35"/>
        <v>#NAME?</v>
      </c>
      <c r="X85" t="e">
        <f t="shared" ca="1" si="35"/>
        <v>#NAME?</v>
      </c>
      <c r="Z85" s="15">
        <v>1</v>
      </c>
    </row>
    <row r="86" spans="1:26">
      <c r="A86" s="22" t="s">
        <v>161</v>
      </c>
      <c r="B86" s="28" t="s">
        <v>115</v>
      </c>
      <c r="C86" s="25"/>
      <c r="D86" s="25" t="s">
        <v>141</v>
      </c>
      <c r="E86" s="25"/>
      <c r="F86" s="25"/>
      <c r="G86" s="25"/>
      <c r="H86" s="25"/>
      <c r="J86" t="e">
        <f t="shared" ca="1" si="34"/>
        <v>#NAME?</v>
      </c>
      <c r="K86" t="e">
        <f t="shared" ca="1" si="34"/>
        <v>#NAME?</v>
      </c>
      <c r="L86" t="e">
        <f t="shared" ca="1" si="34"/>
        <v>#NAME?</v>
      </c>
      <c r="M86" t="e">
        <f t="shared" ca="1" si="34"/>
        <v>#NAME?</v>
      </c>
      <c r="N86" t="e">
        <f t="shared" ca="1" si="34"/>
        <v>#NAME?</v>
      </c>
      <c r="O86" t="e">
        <f t="shared" ca="1" si="34"/>
        <v>#NAME?</v>
      </c>
      <c r="P86" t="e">
        <f t="shared" ca="1" si="34"/>
        <v>#NAME?</v>
      </c>
      <c r="R86" t="e">
        <f t="shared" ca="1" si="35"/>
        <v>#NAME?</v>
      </c>
      <c r="S86" t="e">
        <f t="shared" ca="1" si="35"/>
        <v>#NAME?</v>
      </c>
      <c r="T86" t="e">
        <f t="shared" ca="1" si="35"/>
        <v>#NAME?</v>
      </c>
      <c r="U86" t="e">
        <f t="shared" ca="1" si="35"/>
        <v>#NAME?</v>
      </c>
      <c r="V86" t="e">
        <f t="shared" ca="1" si="35"/>
        <v>#NAME?</v>
      </c>
      <c r="W86" t="e">
        <f t="shared" ca="1" si="35"/>
        <v>#NAME?</v>
      </c>
      <c r="X86" t="e">
        <f t="shared" ca="1" si="35"/>
        <v>#NAME?</v>
      </c>
      <c r="Z86" s="15">
        <v>0.25</v>
      </c>
    </row>
    <row r="87" spans="1:26">
      <c r="A87" s="22" t="s">
        <v>162</v>
      </c>
      <c r="B87" s="120" t="s">
        <v>116</v>
      </c>
      <c r="C87" s="25"/>
      <c r="D87" s="121" t="s">
        <v>116</v>
      </c>
      <c r="E87" s="25" t="s">
        <v>152</v>
      </c>
      <c r="F87" s="25" t="s">
        <v>152</v>
      </c>
      <c r="G87" s="25"/>
      <c r="H87" s="25"/>
      <c r="J87" t="e">
        <f t="shared" ca="1" si="34"/>
        <v>#NAME?</v>
      </c>
      <c r="K87" t="e">
        <f t="shared" ca="1" si="34"/>
        <v>#NAME?</v>
      </c>
      <c r="L87" t="e">
        <f t="shared" ca="1" si="34"/>
        <v>#NAME?</v>
      </c>
      <c r="M87" t="e">
        <f t="shared" ca="1" si="34"/>
        <v>#NAME?</v>
      </c>
      <c r="N87" t="e">
        <f t="shared" ca="1" si="34"/>
        <v>#NAME?</v>
      </c>
      <c r="O87" t="e">
        <f t="shared" ca="1" si="34"/>
        <v>#NAME?</v>
      </c>
      <c r="P87" t="e">
        <f t="shared" ca="1" si="34"/>
        <v>#NAME?</v>
      </c>
      <c r="R87" t="e">
        <f t="shared" ca="1" si="35"/>
        <v>#NAME?</v>
      </c>
      <c r="S87" t="e">
        <f t="shared" ca="1" si="35"/>
        <v>#NAME?</v>
      </c>
      <c r="T87" t="e">
        <f t="shared" ca="1" si="35"/>
        <v>#NAME?</v>
      </c>
      <c r="U87" t="e">
        <f t="shared" ca="1" si="35"/>
        <v>#NAME?</v>
      </c>
      <c r="V87" t="e">
        <f t="shared" ca="1" si="35"/>
        <v>#NAME?</v>
      </c>
      <c r="W87" t="e">
        <f t="shared" ca="1" si="35"/>
        <v>#NAME?</v>
      </c>
      <c r="X87" t="e">
        <f t="shared" ca="1" si="35"/>
        <v>#NAME?</v>
      </c>
      <c r="Z87" s="15">
        <v>1</v>
      </c>
    </row>
    <row r="88" spans="1:26" ht="15" customHeight="1">
      <c r="A88" s="22" t="s">
        <v>163</v>
      </c>
      <c r="B88" s="25"/>
      <c r="C88" s="25"/>
      <c r="D88" s="25" t="s">
        <v>141</v>
      </c>
      <c r="E88" s="110" t="s">
        <v>139</v>
      </c>
      <c r="F88" s="25"/>
      <c r="G88" s="121" t="s">
        <v>118</v>
      </c>
      <c r="H88" s="28" t="s">
        <v>119</v>
      </c>
      <c r="J88" t="e">
        <f t="shared" ca="1" si="34"/>
        <v>#NAME?</v>
      </c>
      <c r="K88" t="e">
        <f t="shared" ca="1" si="34"/>
        <v>#NAME?</v>
      </c>
      <c r="L88" t="e">
        <f t="shared" ca="1" si="34"/>
        <v>#NAME?</v>
      </c>
      <c r="M88" t="e">
        <f t="shared" ca="1" si="34"/>
        <v>#NAME?</v>
      </c>
      <c r="N88" t="e">
        <f t="shared" ca="1" si="34"/>
        <v>#NAME?</v>
      </c>
      <c r="O88" t="e">
        <f t="shared" ca="1" si="34"/>
        <v>#NAME?</v>
      </c>
      <c r="P88" t="e">
        <f t="shared" ca="1" si="34"/>
        <v>#NAME?</v>
      </c>
      <c r="R88" t="e">
        <f t="shared" ca="1" si="35"/>
        <v>#NAME?</v>
      </c>
      <c r="S88" t="e">
        <f t="shared" ca="1" si="35"/>
        <v>#NAME?</v>
      </c>
      <c r="T88" t="e">
        <f t="shared" ca="1" si="35"/>
        <v>#NAME?</v>
      </c>
      <c r="U88" t="e">
        <f t="shared" ca="1" si="35"/>
        <v>#NAME?</v>
      </c>
      <c r="V88" t="e">
        <f t="shared" ca="1" si="35"/>
        <v>#NAME?</v>
      </c>
      <c r="W88" t="e">
        <f t="shared" ca="1" si="35"/>
        <v>#NAME?</v>
      </c>
      <c r="X88" t="e">
        <f t="shared" ca="1" si="35"/>
        <v>#NAME?</v>
      </c>
      <c r="Z88" s="15">
        <v>1</v>
      </c>
    </row>
    <row r="89" spans="1:26" ht="15" customHeight="1">
      <c r="A89" s="22" t="s">
        <v>164</v>
      </c>
      <c r="B89" s="25"/>
      <c r="C89" s="25" t="s">
        <v>152</v>
      </c>
      <c r="D89" s="25" t="s">
        <v>152</v>
      </c>
      <c r="E89" s="25"/>
      <c r="F89" s="25"/>
      <c r="G89" s="25"/>
      <c r="H89" s="25"/>
      <c r="J89" t="e">
        <f t="shared" ca="1" si="34"/>
        <v>#NAME?</v>
      </c>
      <c r="K89" t="e">
        <f t="shared" ca="1" si="34"/>
        <v>#NAME?</v>
      </c>
      <c r="L89" t="e">
        <f t="shared" ca="1" si="34"/>
        <v>#NAME?</v>
      </c>
      <c r="M89" t="e">
        <f t="shared" ca="1" si="34"/>
        <v>#NAME?</v>
      </c>
      <c r="N89" t="e">
        <f t="shared" ca="1" si="34"/>
        <v>#NAME?</v>
      </c>
      <c r="O89" t="e">
        <f t="shared" ca="1" si="34"/>
        <v>#NAME?</v>
      </c>
      <c r="P89" t="e">
        <f t="shared" ca="1" si="34"/>
        <v>#NAME?</v>
      </c>
      <c r="R89" t="e">
        <f t="shared" ca="1" si="35"/>
        <v>#NAME?</v>
      </c>
      <c r="S89" t="e">
        <f t="shared" ca="1" si="35"/>
        <v>#NAME?</v>
      </c>
      <c r="T89" t="e">
        <f t="shared" ca="1" si="35"/>
        <v>#NAME?</v>
      </c>
      <c r="U89" t="e">
        <f t="shared" ca="1" si="35"/>
        <v>#NAME?</v>
      </c>
      <c r="V89" t="e">
        <f t="shared" ca="1" si="35"/>
        <v>#NAME?</v>
      </c>
      <c r="W89" t="e">
        <f t="shared" ca="1" si="35"/>
        <v>#NAME?</v>
      </c>
      <c r="X89" t="e">
        <f t="shared" ca="1" si="35"/>
        <v>#NAME?</v>
      </c>
      <c r="Z89" s="15">
        <v>0.75</v>
      </c>
    </row>
    <row r="90" spans="1:26" ht="15" customHeight="1">
      <c r="A90" s="22" t="s">
        <v>167</v>
      </c>
      <c r="B90" s="110" t="s">
        <v>139</v>
      </c>
      <c r="C90" s="25"/>
      <c r="D90" s="25" t="s">
        <v>141</v>
      </c>
      <c r="E90" s="25" t="s">
        <v>152</v>
      </c>
      <c r="F90" s="25" t="s">
        <v>152</v>
      </c>
      <c r="G90" s="25" t="s">
        <v>152</v>
      </c>
      <c r="H90" s="25"/>
      <c r="J90" t="e">
        <f t="shared" ca="1" si="34"/>
        <v>#NAME?</v>
      </c>
      <c r="K90" t="e">
        <f t="shared" ca="1" si="34"/>
        <v>#NAME?</v>
      </c>
      <c r="L90" t="e">
        <f t="shared" ca="1" si="34"/>
        <v>#NAME?</v>
      </c>
      <c r="M90" t="e">
        <f t="shared" ca="1" si="34"/>
        <v>#NAME?</v>
      </c>
      <c r="N90" t="e">
        <f t="shared" ca="1" si="34"/>
        <v>#NAME?</v>
      </c>
      <c r="O90" t="e">
        <f t="shared" ca="1" si="34"/>
        <v>#NAME?</v>
      </c>
      <c r="P90" t="e">
        <f t="shared" ca="1" si="34"/>
        <v>#NAME?</v>
      </c>
      <c r="R90" t="e">
        <f t="shared" ca="1" si="35"/>
        <v>#NAME?</v>
      </c>
      <c r="S90" t="e">
        <f t="shared" ca="1" si="35"/>
        <v>#NAME?</v>
      </c>
      <c r="T90" t="e">
        <f t="shared" ca="1" si="35"/>
        <v>#NAME?</v>
      </c>
      <c r="U90" t="e">
        <f t="shared" ca="1" si="35"/>
        <v>#NAME?</v>
      </c>
      <c r="V90" t="e">
        <f t="shared" ca="1" si="35"/>
        <v>#NAME?</v>
      </c>
      <c r="W90" t="e">
        <f t="shared" ca="1" si="35"/>
        <v>#NAME?</v>
      </c>
      <c r="X90" t="e">
        <f t="shared" ca="1" si="35"/>
        <v>#NAME?</v>
      </c>
      <c r="Z90" s="15">
        <v>0.75</v>
      </c>
    </row>
    <row r="91" spans="1:26" ht="15" customHeight="1">
      <c r="A91" s="22" t="s">
        <v>168</v>
      </c>
      <c r="B91" s="121" t="s">
        <v>118</v>
      </c>
      <c r="C91" s="110" t="s">
        <v>142</v>
      </c>
      <c r="D91" s="25" t="s">
        <v>141</v>
      </c>
      <c r="E91" s="25"/>
      <c r="F91" s="120" t="s">
        <v>116</v>
      </c>
      <c r="G91" s="121" t="s">
        <v>116</v>
      </c>
      <c r="H91" s="28" t="s">
        <v>115</v>
      </c>
      <c r="J91" t="e">
        <f t="shared" ca="1" si="34"/>
        <v>#NAME?</v>
      </c>
      <c r="K91" t="e">
        <f t="shared" ca="1" si="34"/>
        <v>#NAME?</v>
      </c>
      <c r="L91" t="e">
        <f t="shared" ca="1" si="34"/>
        <v>#NAME?</v>
      </c>
      <c r="M91" t="e">
        <f t="shared" ca="1" si="34"/>
        <v>#NAME?</v>
      </c>
      <c r="N91" t="e">
        <f t="shared" ca="1" si="34"/>
        <v>#NAME?</v>
      </c>
      <c r="O91" t="e">
        <f t="shared" ca="1" si="34"/>
        <v>#NAME?</v>
      </c>
      <c r="P91" t="e">
        <f t="shared" ca="1" si="34"/>
        <v>#NAME?</v>
      </c>
      <c r="R91" t="e">
        <f t="shared" ca="1" si="35"/>
        <v>#NAME?</v>
      </c>
      <c r="S91" t="e">
        <f t="shared" ca="1" si="35"/>
        <v>#NAME?</v>
      </c>
      <c r="T91" t="e">
        <f t="shared" ca="1" si="35"/>
        <v>#NAME?</v>
      </c>
      <c r="U91" t="e">
        <f t="shared" ca="1" si="35"/>
        <v>#NAME?</v>
      </c>
      <c r="V91" t="e">
        <f t="shared" ca="1" si="35"/>
        <v>#NAME?</v>
      </c>
      <c r="W91" t="e">
        <f t="shared" ca="1" si="35"/>
        <v>#NAME?</v>
      </c>
      <c r="X91" t="e">
        <f t="shared" ca="1" si="35"/>
        <v>#NAME?</v>
      </c>
      <c r="Z91" s="15">
        <v>1</v>
      </c>
    </row>
    <row r="92" spans="1:26" ht="15" customHeight="1">
      <c r="A92" s="22" t="s">
        <v>169</v>
      </c>
      <c r="B92" s="25"/>
      <c r="C92" s="121" t="s">
        <v>116</v>
      </c>
      <c r="D92" s="120" t="s">
        <v>116</v>
      </c>
      <c r="E92" s="28" t="s">
        <v>115</v>
      </c>
      <c r="F92" s="25"/>
      <c r="G92" s="127" t="s">
        <v>29</v>
      </c>
      <c r="H92" s="129"/>
      <c r="J92" t="e">
        <f t="shared" ca="1" si="34"/>
        <v>#NAME?</v>
      </c>
      <c r="K92" t="e">
        <f t="shared" ca="1" si="34"/>
        <v>#NAME?</v>
      </c>
      <c r="L92" t="e">
        <f t="shared" ca="1" si="34"/>
        <v>#NAME?</v>
      </c>
      <c r="M92" t="e">
        <f t="shared" ca="1" si="34"/>
        <v>#NAME?</v>
      </c>
      <c r="N92" t="e">
        <f t="shared" ca="1" si="34"/>
        <v>#NAME?</v>
      </c>
      <c r="O92" t="e">
        <f t="shared" ca="1" si="34"/>
        <v>#NAME?</v>
      </c>
      <c r="P92" t="e">
        <f t="shared" ca="1" si="34"/>
        <v>#NAME?</v>
      </c>
      <c r="R92" t="e">
        <f t="shared" ca="1" si="35"/>
        <v>#NAME?</v>
      </c>
      <c r="S92" t="e">
        <f t="shared" ca="1" si="35"/>
        <v>#NAME?</v>
      </c>
      <c r="T92" t="e">
        <f t="shared" ca="1" si="35"/>
        <v>#NAME?</v>
      </c>
      <c r="U92" t="e">
        <f t="shared" ca="1" si="35"/>
        <v>#NAME?</v>
      </c>
      <c r="V92" t="e">
        <f t="shared" ca="1" si="35"/>
        <v>#NAME?</v>
      </c>
      <c r="W92" t="e">
        <f t="shared" ca="1" si="35"/>
        <v>#NAME?</v>
      </c>
      <c r="X92" t="e">
        <f t="shared" ca="1" si="35"/>
        <v>#NAME?</v>
      </c>
      <c r="Z92" s="15">
        <v>1</v>
      </c>
    </row>
    <row r="93" spans="1:26" ht="15" customHeight="1">
      <c r="A93" s="22" t="s">
        <v>171</v>
      </c>
      <c r="B93" s="120" t="s">
        <v>118</v>
      </c>
      <c r="C93" s="121" t="s">
        <v>118</v>
      </c>
      <c r="D93" s="25" t="s">
        <v>141</v>
      </c>
      <c r="E93" s="25"/>
      <c r="F93" s="28" t="s">
        <v>115</v>
      </c>
      <c r="G93" s="25"/>
      <c r="H93" s="110" t="s">
        <v>142</v>
      </c>
      <c r="J93" t="e">
        <f t="shared" ca="1" si="34"/>
        <v>#NAME?</v>
      </c>
      <c r="K93" t="e">
        <f t="shared" ca="1" si="34"/>
        <v>#NAME?</v>
      </c>
      <c r="L93" t="e">
        <f t="shared" ca="1" si="34"/>
        <v>#NAME?</v>
      </c>
      <c r="M93" t="e">
        <f t="shared" ca="1" si="34"/>
        <v>#NAME?</v>
      </c>
      <c r="N93" t="e">
        <f t="shared" ca="1" si="34"/>
        <v>#NAME?</v>
      </c>
      <c r="O93" t="e">
        <f t="shared" ca="1" si="34"/>
        <v>#NAME?</v>
      </c>
      <c r="P93" t="e">
        <f t="shared" ca="1" si="34"/>
        <v>#NAME?</v>
      </c>
      <c r="R93" t="e">
        <f t="shared" ca="1" si="35"/>
        <v>#NAME?</v>
      </c>
      <c r="S93" t="e">
        <f t="shared" ca="1" si="35"/>
        <v>#NAME?</v>
      </c>
      <c r="T93" t="e">
        <f t="shared" ca="1" si="35"/>
        <v>#NAME?</v>
      </c>
      <c r="U93" t="e">
        <f t="shared" ca="1" si="35"/>
        <v>#NAME?</v>
      </c>
      <c r="V93" t="e">
        <f t="shared" ca="1" si="35"/>
        <v>#NAME?</v>
      </c>
      <c r="W93" t="e">
        <f t="shared" ca="1" si="35"/>
        <v>#NAME?</v>
      </c>
      <c r="X93" t="e">
        <f t="shared" ca="1" si="35"/>
        <v>#NAME?</v>
      </c>
      <c r="Z93" s="15">
        <v>0.75</v>
      </c>
    </row>
    <row r="94" spans="1:26">
      <c r="A94" s="22" t="s">
        <v>174</v>
      </c>
      <c r="B94" s="110" t="s">
        <v>142</v>
      </c>
      <c r="C94" s="120" t="s">
        <v>118</v>
      </c>
      <c r="D94" s="121" t="s">
        <v>116</v>
      </c>
      <c r="E94" s="25"/>
      <c r="F94" s="25"/>
      <c r="G94" s="120" t="s">
        <v>116</v>
      </c>
      <c r="H94" s="25"/>
      <c r="J94" t="e">
        <f t="shared" ca="1" si="34"/>
        <v>#NAME?</v>
      </c>
      <c r="K94" t="e">
        <f t="shared" ca="1" si="34"/>
        <v>#NAME?</v>
      </c>
      <c r="L94" t="e">
        <f t="shared" ca="1" si="34"/>
        <v>#NAME?</v>
      </c>
      <c r="M94" t="e">
        <f t="shared" ca="1" si="34"/>
        <v>#NAME?</v>
      </c>
      <c r="N94" t="e">
        <f t="shared" ca="1" si="34"/>
        <v>#NAME?</v>
      </c>
      <c r="O94" t="e">
        <f t="shared" ca="1" si="34"/>
        <v>#NAME?</v>
      </c>
      <c r="P94" t="e">
        <f t="shared" ca="1" si="34"/>
        <v>#NAME?</v>
      </c>
      <c r="R94" t="e">
        <f t="shared" ca="1" si="35"/>
        <v>#NAME?</v>
      </c>
      <c r="S94" t="e">
        <f t="shared" ca="1" si="35"/>
        <v>#NAME?</v>
      </c>
      <c r="T94" t="e">
        <f t="shared" ca="1" si="35"/>
        <v>#NAME?</v>
      </c>
      <c r="U94" t="e">
        <f t="shared" ca="1" si="35"/>
        <v>#NAME?</v>
      </c>
      <c r="V94" t="e">
        <f t="shared" ca="1" si="35"/>
        <v>#NAME?</v>
      </c>
      <c r="W94" t="e">
        <f t="shared" ca="1" si="35"/>
        <v>#NAME?</v>
      </c>
      <c r="X94" t="e">
        <f t="shared" ca="1" si="35"/>
        <v>#NAME?</v>
      </c>
      <c r="Z94" s="15">
        <v>0.75</v>
      </c>
    </row>
    <row r="95" spans="1:26">
      <c r="A95" s="22" t="s">
        <v>175</v>
      </c>
      <c r="B95" s="25" t="s">
        <v>152</v>
      </c>
      <c r="C95" s="25" t="s">
        <v>152</v>
      </c>
      <c r="D95" s="25" t="s">
        <v>152</v>
      </c>
      <c r="E95" s="25"/>
      <c r="F95" s="25"/>
      <c r="G95" s="28" t="s">
        <v>115</v>
      </c>
      <c r="H95" s="121" t="s">
        <v>116</v>
      </c>
      <c r="J95" t="e">
        <f t="shared" ca="1" si="34"/>
        <v>#NAME?</v>
      </c>
      <c r="K95" t="e">
        <f t="shared" ca="1" si="34"/>
        <v>#NAME?</v>
      </c>
      <c r="L95" t="e">
        <f t="shared" ca="1" si="34"/>
        <v>#NAME?</v>
      </c>
      <c r="M95" t="e">
        <f t="shared" ca="1" si="34"/>
        <v>#NAME?</v>
      </c>
      <c r="N95" t="e">
        <f t="shared" ca="1" si="34"/>
        <v>#NAME?</v>
      </c>
      <c r="O95" t="e">
        <f t="shared" ca="1" si="34"/>
        <v>#NAME?</v>
      </c>
      <c r="P95" t="e">
        <f t="shared" ca="1" si="34"/>
        <v>#NAME?</v>
      </c>
      <c r="R95" t="e">
        <f t="shared" ca="1" si="35"/>
        <v>#NAME?</v>
      </c>
      <c r="S95" t="e">
        <f t="shared" ca="1" si="35"/>
        <v>#NAME?</v>
      </c>
      <c r="T95" t="e">
        <f t="shared" ca="1" si="35"/>
        <v>#NAME?</v>
      </c>
      <c r="U95" t="e">
        <f t="shared" ca="1" si="35"/>
        <v>#NAME?</v>
      </c>
      <c r="V95" t="e">
        <f t="shared" ca="1" si="35"/>
        <v>#NAME?</v>
      </c>
      <c r="W95" t="e">
        <f t="shared" ca="1" si="35"/>
        <v>#NAME?</v>
      </c>
      <c r="X95" t="e">
        <f t="shared" ca="1" si="35"/>
        <v>#NAME?</v>
      </c>
      <c r="Z95" s="15">
        <v>1</v>
      </c>
    </row>
    <row r="96" spans="1:26" ht="15" customHeight="1">
      <c r="A96" s="22" t="s">
        <v>176</v>
      </c>
      <c r="B96" s="25"/>
      <c r="C96" s="25"/>
      <c r="D96" s="25"/>
      <c r="E96" s="25"/>
      <c r="F96" s="25"/>
      <c r="G96" s="25"/>
      <c r="H96" s="120" t="s">
        <v>116</v>
      </c>
      <c r="J96" t="e">
        <f t="shared" ca="1" si="34"/>
        <v>#NAME?</v>
      </c>
      <c r="K96" t="e">
        <f t="shared" ca="1" si="34"/>
        <v>#NAME?</v>
      </c>
      <c r="L96" t="e">
        <f t="shared" ca="1" si="34"/>
        <v>#NAME?</v>
      </c>
      <c r="M96" t="e">
        <f t="shared" ca="1" si="34"/>
        <v>#NAME?</v>
      </c>
      <c r="N96" t="e">
        <f t="shared" ca="1" si="34"/>
        <v>#NAME?</v>
      </c>
      <c r="O96" t="e">
        <f t="shared" ca="1" si="34"/>
        <v>#NAME?</v>
      </c>
      <c r="P96" t="e">
        <f t="shared" ca="1" si="34"/>
        <v>#NAME?</v>
      </c>
      <c r="R96" t="e">
        <f t="shared" ca="1" si="35"/>
        <v>#NAME?</v>
      </c>
      <c r="S96" t="e">
        <f t="shared" ca="1" si="35"/>
        <v>#NAME?</v>
      </c>
      <c r="T96" t="e">
        <f t="shared" ca="1" si="35"/>
        <v>#NAME?</v>
      </c>
      <c r="U96" t="e">
        <f t="shared" ca="1" si="35"/>
        <v>#NAME?</v>
      </c>
      <c r="V96" t="e">
        <f t="shared" ca="1" si="35"/>
        <v>#NAME?</v>
      </c>
      <c r="W96" t="e">
        <f t="shared" ca="1" si="35"/>
        <v>#NAME?</v>
      </c>
      <c r="X96" t="e">
        <f t="shared" ca="1" si="35"/>
        <v>#NAME?</v>
      </c>
      <c r="Z96" s="15">
        <v>0.25</v>
      </c>
    </row>
    <row r="97" spans="1:26" ht="15" customHeight="1">
      <c r="A97" s="22" t="s">
        <v>177</v>
      </c>
      <c r="B97" s="25"/>
      <c r="C97" s="25"/>
      <c r="D97" s="25" t="s">
        <v>141</v>
      </c>
      <c r="E97" s="121" t="s">
        <v>116</v>
      </c>
      <c r="F97" s="25"/>
      <c r="G97" s="28" t="s">
        <v>119</v>
      </c>
      <c r="H97" s="121" t="s">
        <v>118</v>
      </c>
      <c r="J97" t="e">
        <f t="shared" ca="1" si="34"/>
        <v>#NAME?</v>
      </c>
      <c r="K97" t="e">
        <f t="shared" ca="1" si="34"/>
        <v>#NAME?</v>
      </c>
      <c r="L97" t="e">
        <f t="shared" ca="1" si="34"/>
        <v>#NAME?</v>
      </c>
      <c r="M97" t="e">
        <f t="shared" ca="1" si="34"/>
        <v>#NAME?</v>
      </c>
      <c r="N97" t="e">
        <f t="shared" ca="1" si="34"/>
        <v>#NAME?</v>
      </c>
      <c r="O97" t="e">
        <f t="shared" ca="1" si="34"/>
        <v>#NAME?</v>
      </c>
      <c r="P97" t="e">
        <f t="shared" ca="1" si="34"/>
        <v>#NAME?</v>
      </c>
      <c r="R97" t="e">
        <f t="shared" ca="1" si="35"/>
        <v>#NAME?</v>
      </c>
      <c r="S97" t="e">
        <f t="shared" ca="1" si="35"/>
        <v>#NAME?</v>
      </c>
      <c r="T97" t="e">
        <f t="shared" ca="1" si="35"/>
        <v>#NAME?</v>
      </c>
      <c r="U97" t="e">
        <f t="shared" ca="1" si="35"/>
        <v>#NAME?</v>
      </c>
      <c r="V97" t="e">
        <f t="shared" ca="1" si="35"/>
        <v>#NAME?</v>
      </c>
      <c r="W97" t="e">
        <f t="shared" ca="1" si="35"/>
        <v>#NAME?</v>
      </c>
      <c r="X97" t="e">
        <f t="shared" ca="1" si="35"/>
        <v>#NAME?</v>
      </c>
      <c r="Z97" s="15">
        <v>0.75</v>
      </c>
    </row>
    <row r="98" spans="1:26" ht="15" customHeight="1">
      <c r="A98" s="22" t="s">
        <v>178</v>
      </c>
      <c r="B98" s="25" t="s">
        <v>152</v>
      </c>
      <c r="C98" s="25" t="s">
        <v>152</v>
      </c>
      <c r="D98" s="25" t="s">
        <v>152</v>
      </c>
      <c r="E98" s="25" t="s">
        <v>152</v>
      </c>
      <c r="F98" s="25"/>
      <c r="G98" s="25"/>
      <c r="H98" s="25"/>
      <c r="J98" t="e">
        <f t="shared" ca="1" si="34"/>
        <v>#NAME?</v>
      </c>
      <c r="K98" t="e">
        <f t="shared" ca="1" si="34"/>
        <v>#NAME?</v>
      </c>
      <c r="L98" t="e">
        <f t="shared" ca="1" si="34"/>
        <v>#NAME?</v>
      </c>
      <c r="M98" t="e">
        <f t="shared" ca="1" si="34"/>
        <v>#NAME?</v>
      </c>
      <c r="N98" t="e">
        <f t="shared" ca="1" si="34"/>
        <v>#NAME?</v>
      </c>
      <c r="O98" t="e">
        <f t="shared" ca="1" si="34"/>
        <v>#NAME?</v>
      </c>
      <c r="P98" t="e">
        <f t="shared" ca="1" si="34"/>
        <v>#NAME?</v>
      </c>
      <c r="R98" t="e">
        <f t="shared" ca="1" si="35"/>
        <v>#NAME?</v>
      </c>
      <c r="S98" t="e">
        <f t="shared" ca="1" si="35"/>
        <v>#NAME?</v>
      </c>
      <c r="T98" t="e">
        <f t="shared" ca="1" si="35"/>
        <v>#NAME?</v>
      </c>
      <c r="U98" t="e">
        <f t="shared" ca="1" si="35"/>
        <v>#NAME?</v>
      </c>
      <c r="V98" t="e">
        <f t="shared" ca="1" si="35"/>
        <v>#NAME?</v>
      </c>
      <c r="W98" t="e">
        <f t="shared" ca="1" si="35"/>
        <v>#NAME?</v>
      </c>
      <c r="X98" t="e">
        <f t="shared" ca="1" si="35"/>
        <v>#NAME?</v>
      </c>
      <c r="Z98" s="15">
        <v>1</v>
      </c>
    </row>
    <row r="99" spans="1:26">
      <c r="A99" s="106" t="s">
        <v>179</v>
      </c>
      <c r="B99" s="107" t="str">
        <f t="shared" ref="B99:H99" si="36">B59</f>
        <v>Mon 29 Jun</v>
      </c>
      <c r="C99" s="107" t="str">
        <f t="shared" si="36"/>
        <v>Tues 30 Jun</v>
      </c>
      <c r="D99" s="107" t="str">
        <f t="shared" si="36"/>
        <v>Wed 1 Jul</v>
      </c>
      <c r="E99" s="107" t="str">
        <f t="shared" si="36"/>
        <v>Thu 2 Jul</v>
      </c>
      <c r="F99" s="107" t="str">
        <f t="shared" si="36"/>
        <v>Fri 3 Jul</v>
      </c>
      <c r="G99" s="107" t="str">
        <f t="shared" si="36"/>
        <v>Sat 4 Jul</v>
      </c>
      <c r="H99" s="107" t="str">
        <f t="shared" si="36"/>
        <v>Sun 5 Jul</v>
      </c>
      <c r="J99" t="e">
        <f t="shared" ca="1" si="31"/>
        <v>#NAME?</v>
      </c>
      <c r="K99" t="e">
        <f t="shared" ca="1" si="31"/>
        <v>#NAME?</v>
      </c>
      <c r="L99" t="e">
        <f t="shared" ca="1" si="31"/>
        <v>#NAME?</v>
      </c>
      <c r="M99" t="e">
        <f t="shared" ca="1" si="31"/>
        <v>#NAME?</v>
      </c>
      <c r="N99" t="e">
        <f t="shared" ca="1" si="31"/>
        <v>#NAME?</v>
      </c>
      <c r="O99" t="e">
        <f t="shared" ca="1" si="31"/>
        <v>#NAME?</v>
      </c>
      <c r="P99" t="e">
        <f t="shared" ca="1" si="31"/>
        <v>#NAME?</v>
      </c>
      <c r="R99" t="e">
        <f t="shared" ca="1" si="32"/>
        <v>#NAME?</v>
      </c>
      <c r="S99" t="e">
        <f t="shared" ca="1" si="32"/>
        <v>#NAME?</v>
      </c>
      <c r="T99" t="e">
        <f t="shared" ca="1" si="32"/>
        <v>#NAME?</v>
      </c>
      <c r="U99" t="e">
        <f t="shared" ca="1" si="32"/>
        <v>#NAME?</v>
      </c>
      <c r="V99" t="e">
        <f t="shared" ca="1" si="32"/>
        <v>#NAME?</v>
      </c>
      <c r="W99" t="e">
        <f t="shared" ca="1" si="32"/>
        <v>#NAME?</v>
      </c>
      <c r="X99" t="e">
        <f t="shared" ca="1" si="32"/>
        <v>#NAME?</v>
      </c>
      <c r="Z99" s="54">
        <f>SUM(Z77:Z98)</f>
        <v>18.25</v>
      </c>
    </row>
    <row r="100" spans="1:26">
      <c r="A100" s="22" t="s">
        <v>180</v>
      </c>
      <c r="B100" s="127" t="s">
        <v>18</v>
      </c>
      <c r="C100" s="128"/>
      <c r="D100" s="128"/>
      <c r="E100" s="128"/>
      <c r="F100" s="128"/>
      <c r="G100" s="128"/>
      <c r="H100" s="129"/>
      <c r="J100" t="e">
        <f t="shared" ca="1" si="31"/>
        <v>#NAME?</v>
      </c>
      <c r="K100" t="e">
        <f t="shared" ca="1" si="31"/>
        <v>#NAME?</v>
      </c>
      <c r="L100" t="e">
        <f t="shared" ca="1" si="31"/>
        <v>#NAME?</v>
      </c>
      <c r="M100" t="e">
        <f t="shared" ca="1" si="31"/>
        <v>#NAME?</v>
      </c>
      <c r="N100" t="e">
        <f t="shared" ca="1" si="31"/>
        <v>#NAME?</v>
      </c>
      <c r="O100" t="e">
        <f t="shared" ca="1" si="31"/>
        <v>#NAME?</v>
      </c>
      <c r="P100" t="e">
        <f t="shared" ca="1" si="31"/>
        <v>#NAME?</v>
      </c>
      <c r="R100" t="e">
        <f t="shared" ca="1" si="32"/>
        <v>#NAME?</v>
      </c>
      <c r="S100" t="e">
        <f t="shared" ca="1" si="32"/>
        <v>#NAME?</v>
      </c>
      <c r="T100" t="e">
        <f t="shared" ca="1" si="32"/>
        <v>#NAME?</v>
      </c>
      <c r="U100" t="e">
        <f t="shared" ca="1" si="32"/>
        <v>#NAME?</v>
      </c>
      <c r="V100" t="e">
        <f t="shared" ca="1" si="32"/>
        <v>#NAME?</v>
      </c>
      <c r="W100" t="e">
        <f t="shared" ca="1" si="32"/>
        <v>#NAME?</v>
      </c>
      <c r="X100" t="e">
        <f t="shared" ca="1" si="32"/>
        <v>#NAME?</v>
      </c>
      <c r="Z100" s="15">
        <v>1</v>
      </c>
    </row>
    <row r="101" spans="1:26">
      <c r="A101" s="22" t="s">
        <v>183</v>
      </c>
      <c r="B101" s="110" t="s">
        <v>116</v>
      </c>
      <c r="C101" s="25"/>
      <c r="D101" s="110" t="s">
        <v>182</v>
      </c>
      <c r="E101" s="110" t="s">
        <v>116</v>
      </c>
      <c r="F101" s="110" t="s">
        <v>116</v>
      </c>
      <c r="G101" s="25"/>
      <c r="H101" s="25"/>
      <c r="J101" t="e">
        <f t="shared" ca="1" si="31"/>
        <v>#NAME?</v>
      </c>
      <c r="K101" t="e">
        <f t="shared" ca="1" si="31"/>
        <v>#NAME?</v>
      </c>
      <c r="L101" t="e">
        <f t="shared" ca="1" si="31"/>
        <v>#NAME?</v>
      </c>
      <c r="M101" t="e">
        <f t="shared" ca="1" si="31"/>
        <v>#NAME?</v>
      </c>
      <c r="N101" t="e">
        <f t="shared" ca="1" si="31"/>
        <v>#NAME?</v>
      </c>
      <c r="O101" t="e">
        <f t="shared" ca="1" si="31"/>
        <v>#NAME?</v>
      </c>
      <c r="P101" t="e">
        <f t="shared" ca="1" si="31"/>
        <v>#NAME?</v>
      </c>
      <c r="R101" t="e">
        <f t="shared" ca="1" si="32"/>
        <v>#NAME?</v>
      </c>
      <c r="S101" t="e">
        <f t="shared" ca="1" si="32"/>
        <v>#NAME?</v>
      </c>
      <c r="T101" t="e">
        <f t="shared" ca="1" si="32"/>
        <v>#NAME?</v>
      </c>
      <c r="U101" t="e">
        <f t="shared" ca="1" si="32"/>
        <v>#NAME?</v>
      </c>
      <c r="V101" t="e">
        <f t="shared" ca="1" si="32"/>
        <v>#NAME?</v>
      </c>
      <c r="W101" t="e">
        <f t="shared" ca="1" si="32"/>
        <v>#NAME?</v>
      </c>
      <c r="X101" t="e">
        <f t="shared" ca="1" si="32"/>
        <v>#NAME?</v>
      </c>
      <c r="Z101" s="15">
        <v>1</v>
      </c>
    </row>
    <row r="102" spans="1:26">
      <c r="A102" s="106" t="s">
        <v>184</v>
      </c>
      <c r="B102" s="107" t="str">
        <f t="shared" ref="B102:H102" si="37">B59</f>
        <v>Mon 29 Jun</v>
      </c>
      <c r="C102" s="107" t="str">
        <f t="shared" si="37"/>
        <v>Tues 30 Jun</v>
      </c>
      <c r="D102" s="107" t="str">
        <f t="shared" si="37"/>
        <v>Wed 1 Jul</v>
      </c>
      <c r="E102" s="107" t="str">
        <f t="shared" si="37"/>
        <v>Thu 2 Jul</v>
      </c>
      <c r="F102" s="107" t="str">
        <f t="shared" si="37"/>
        <v>Fri 3 Jul</v>
      </c>
      <c r="G102" s="107" t="str">
        <f t="shared" si="37"/>
        <v>Sat 4 Jul</v>
      </c>
      <c r="H102" s="107" t="str">
        <f t="shared" si="37"/>
        <v>Sun 5 Jul</v>
      </c>
      <c r="J102" t="e">
        <f t="shared" ca="1" si="31"/>
        <v>#NAME?</v>
      </c>
      <c r="K102" t="e">
        <f t="shared" ref="K102:P138" ca="1" si="38">colorindex(C102)</f>
        <v>#NAME?</v>
      </c>
      <c r="L102" t="e">
        <f t="shared" ca="1" si="38"/>
        <v>#NAME?</v>
      </c>
      <c r="M102" t="e">
        <f t="shared" ca="1" si="38"/>
        <v>#NAME?</v>
      </c>
      <c r="N102" t="e">
        <f t="shared" ca="1" si="38"/>
        <v>#NAME?</v>
      </c>
      <c r="O102" t="e">
        <f t="shared" ca="1" si="38"/>
        <v>#NAME?</v>
      </c>
      <c r="P102" t="e">
        <f t="shared" ca="1" si="38"/>
        <v>#NAME?</v>
      </c>
      <c r="R102" t="e">
        <f t="shared" ca="1" si="32"/>
        <v>#NAME?</v>
      </c>
      <c r="S102" t="e">
        <f t="shared" ref="S102:X138" ca="1" si="39">ShiftIndex(C102)</f>
        <v>#NAME?</v>
      </c>
      <c r="T102" t="e">
        <f t="shared" ca="1" si="39"/>
        <v>#NAME?</v>
      </c>
      <c r="U102" t="e">
        <f t="shared" ca="1" si="39"/>
        <v>#NAME?</v>
      </c>
      <c r="V102" t="e">
        <f t="shared" ca="1" si="39"/>
        <v>#NAME?</v>
      </c>
      <c r="W102" t="e">
        <f t="shared" ca="1" si="39"/>
        <v>#NAME?</v>
      </c>
      <c r="X102" t="e">
        <f t="shared" ca="1" si="39"/>
        <v>#NAME?</v>
      </c>
      <c r="Z102" s="53">
        <f>SUM(Z100:Z101)</f>
        <v>2</v>
      </c>
    </row>
    <row r="103" spans="1:26">
      <c r="A103" s="22" t="s">
        <v>185</v>
      </c>
      <c r="B103" s="25" t="s">
        <v>152</v>
      </c>
      <c r="C103" s="25" t="s">
        <v>152</v>
      </c>
      <c r="D103" s="25" t="s">
        <v>152</v>
      </c>
      <c r="E103" s="25" t="s">
        <v>152</v>
      </c>
      <c r="F103" s="25"/>
      <c r="G103" s="25"/>
      <c r="H103" s="25"/>
      <c r="J103" t="e">
        <f t="shared" ref="J103:M141" ca="1" si="40">colorindex(B103)</f>
        <v>#NAME?</v>
      </c>
      <c r="K103" t="e">
        <f t="shared" ca="1" si="38"/>
        <v>#NAME?</v>
      </c>
      <c r="L103" t="e">
        <f t="shared" ca="1" si="38"/>
        <v>#NAME?</v>
      </c>
      <c r="M103" t="e">
        <f t="shared" ca="1" si="38"/>
        <v>#NAME?</v>
      </c>
      <c r="N103" t="e">
        <f t="shared" ca="1" si="38"/>
        <v>#NAME?</v>
      </c>
      <c r="O103" t="e">
        <f t="shared" ca="1" si="38"/>
        <v>#NAME?</v>
      </c>
      <c r="P103" t="e">
        <f t="shared" ca="1" si="38"/>
        <v>#NAME?</v>
      </c>
      <c r="R103" t="e">
        <f t="shared" ref="R103:U141" ca="1" si="41">ShiftIndex(B103)</f>
        <v>#NAME?</v>
      </c>
      <c r="S103" t="e">
        <f t="shared" ca="1" si="39"/>
        <v>#NAME?</v>
      </c>
      <c r="T103" t="e">
        <f t="shared" ca="1" si="39"/>
        <v>#NAME?</v>
      </c>
      <c r="U103" t="e">
        <f t="shared" ca="1" si="39"/>
        <v>#NAME?</v>
      </c>
      <c r="V103" t="e">
        <f t="shared" ca="1" si="39"/>
        <v>#NAME?</v>
      </c>
      <c r="W103" t="e">
        <f t="shared" ca="1" si="39"/>
        <v>#NAME?</v>
      </c>
      <c r="X103" t="e">
        <f t="shared" ca="1" si="39"/>
        <v>#NAME?</v>
      </c>
      <c r="Z103" s="15">
        <v>1</v>
      </c>
    </row>
    <row r="104" spans="1:26">
      <c r="A104" s="22" t="s">
        <v>187</v>
      </c>
      <c r="B104" s="25" t="s">
        <v>152</v>
      </c>
      <c r="C104" s="25" t="s">
        <v>152</v>
      </c>
      <c r="D104" s="25" t="s">
        <v>152</v>
      </c>
      <c r="E104" s="25" t="s">
        <v>152</v>
      </c>
      <c r="F104" s="25"/>
      <c r="G104" s="25"/>
      <c r="H104" s="25"/>
      <c r="J104" t="e">
        <f t="shared" ca="1" si="40"/>
        <v>#NAME?</v>
      </c>
      <c r="K104" t="e">
        <f t="shared" ca="1" si="38"/>
        <v>#NAME?</v>
      </c>
      <c r="L104" t="e">
        <f t="shared" ca="1" si="38"/>
        <v>#NAME?</v>
      </c>
      <c r="M104" t="e">
        <f t="shared" ca="1" si="38"/>
        <v>#NAME?</v>
      </c>
      <c r="N104" t="e">
        <f t="shared" ca="1" si="38"/>
        <v>#NAME?</v>
      </c>
      <c r="O104" t="e">
        <f t="shared" ca="1" si="38"/>
        <v>#NAME?</v>
      </c>
      <c r="P104" t="e">
        <f t="shared" ca="1" si="38"/>
        <v>#NAME?</v>
      </c>
      <c r="R104" t="e">
        <f t="shared" ca="1" si="41"/>
        <v>#NAME?</v>
      </c>
      <c r="S104" t="e">
        <f t="shared" ca="1" si="39"/>
        <v>#NAME?</v>
      </c>
      <c r="T104" t="e">
        <f t="shared" ca="1" si="39"/>
        <v>#NAME?</v>
      </c>
      <c r="U104" t="e">
        <f t="shared" ca="1" si="39"/>
        <v>#NAME?</v>
      </c>
      <c r="V104" t="e">
        <f t="shared" ca="1" si="39"/>
        <v>#NAME?</v>
      </c>
      <c r="W104" t="e">
        <f t="shared" ca="1" si="39"/>
        <v>#NAME?</v>
      </c>
      <c r="X104" t="e">
        <f t="shared" ca="1" si="39"/>
        <v>#NAME?</v>
      </c>
      <c r="Z104" s="15">
        <v>1</v>
      </c>
    </row>
    <row r="105" spans="1:26">
      <c r="A105" s="22" t="s">
        <v>188</v>
      </c>
      <c r="B105" s="44" t="s">
        <v>189</v>
      </c>
      <c r="C105" s="121" t="s">
        <v>116</v>
      </c>
      <c r="D105" s="25"/>
      <c r="E105" s="25"/>
      <c r="F105" s="25" t="s">
        <v>152</v>
      </c>
      <c r="G105" s="25" t="s">
        <v>152</v>
      </c>
      <c r="H105" s="25" t="s">
        <v>152</v>
      </c>
      <c r="J105" t="e">
        <f t="shared" ca="1" si="40"/>
        <v>#NAME?</v>
      </c>
      <c r="K105" t="e">
        <f t="shared" ca="1" si="38"/>
        <v>#NAME?</v>
      </c>
      <c r="L105" t="e">
        <f t="shared" ca="1" si="38"/>
        <v>#NAME?</v>
      </c>
      <c r="M105" t="e">
        <f t="shared" ca="1" si="38"/>
        <v>#NAME?</v>
      </c>
      <c r="N105" t="e">
        <f t="shared" ca="1" si="38"/>
        <v>#NAME?</v>
      </c>
      <c r="O105" t="e">
        <f t="shared" ca="1" si="38"/>
        <v>#NAME?</v>
      </c>
      <c r="P105" t="e">
        <f t="shared" ca="1" si="38"/>
        <v>#NAME?</v>
      </c>
      <c r="R105" t="e">
        <f t="shared" ca="1" si="41"/>
        <v>#NAME?</v>
      </c>
      <c r="S105" t="e">
        <f t="shared" ca="1" si="39"/>
        <v>#NAME?</v>
      </c>
      <c r="T105" t="e">
        <f t="shared" ca="1" si="39"/>
        <v>#NAME?</v>
      </c>
      <c r="U105" t="e">
        <f t="shared" ca="1" si="39"/>
        <v>#NAME?</v>
      </c>
      <c r="V105" t="e">
        <f t="shared" ca="1" si="39"/>
        <v>#NAME?</v>
      </c>
      <c r="W105" t="e">
        <f t="shared" ca="1" si="39"/>
        <v>#NAME?</v>
      </c>
      <c r="X105" t="e">
        <f t="shared" ca="1" si="39"/>
        <v>#NAME?</v>
      </c>
      <c r="Z105" s="15">
        <v>1</v>
      </c>
    </row>
    <row r="106" spans="1:26">
      <c r="A106" s="22" t="s">
        <v>190</v>
      </c>
      <c r="B106" s="121" t="s">
        <v>118</v>
      </c>
      <c r="C106" s="121" t="s">
        <v>118</v>
      </c>
      <c r="D106" s="101" t="s">
        <v>116</v>
      </c>
      <c r="E106" s="44" t="s">
        <v>189</v>
      </c>
      <c r="F106" s="25"/>
      <c r="G106" s="25"/>
      <c r="H106" s="25"/>
      <c r="J106" t="e">
        <f t="shared" ca="1" si="40"/>
        <v>#NAME?</v>
      </c>
      <c r="K106" t="e">
        <f t="shared" ca="1" si="38"/>
        <v>#NAME?</v>
      </c>
      <c r="L106" t="e">
        <f t="shared" ca="1" si="38"/>
        <v>#NAME?</v>
      </c>
      <c r="M106" t="e">
        <f t="shared" ca="1" si="38"/>
        <v>#NAME?</v>
      </c>
      <c r="N106" t="e">
        <f t="shared" ca="1" si="38"/>
        <v>#NAME?</v>
      </c>
      <c r="O106" t="e">
        <f t="shared" ca="1" si="38"/>
        <v>#NAME?</v>
      </c>
      <c r="P106" t="e">
        <f t="shared" ca="1" si="38"/>
        <v>#NAME?</v>
      </c>
      <c r="R106" t="e">
        <f t="shared" ca="1" si="41"/>
        <v>#NAME?</v>
      </c>
      <c r="S106" t="e">
        <f t="shared" ca="1" si="39"/>
        <v>#NAME?</v>
      </c>
      <c r="T106" t="e">
        <f t="shared" ca="1" si="39"/>
        <v>#NAME?</v>
      </c>
      <c r="U106" t="e">
        <f t="shared" ca="1" si="39"/>
        <v>#NAME?</v>
      </c>
      <c r="V106" t="e">
        <f t="shared" ca="1" si="39"/>
        <v>#NAME?</v>
      </c>
      <c r="W106" t="e">
        <f t="shared" ca="1" si="39"/>
        <v>#NAME?</v>
      </c>
      <c r="X106" t="e">
        <f t="shared" ca="1" si="39"/>
        <v>#NAME?</v>
      </c>
      <c r="Z106" s="15">
        <v>1</v>
      </c>
    </row>
    <row r="107" spans="1:26">
      <c r="A107" s="22" t="s">
        <v>191</v>
      </c>
      <c r="B107" s="25"/>
      <c r="C107" s="44" t="s">
        <v>186</v>
      </c>
      <c r="D107" s="110" t="s">
        <v>142</v>
      </c>
      <c r="E107" s="121" t="s">
        <v>118</v>
      </c>
      <c r="F107" s="101" t="s">
        <v>116</v>
      </c>
      <c r="G107" s="25"/>
      <c r="H107" s="25"/>
      <c r="J107" t="e">
        <f t="shared" ca="1" si="40"/>
        <v>#NAME?</v>
      </c>
      <c r="K107" t="e">
        <f t="shared" ca="1" si="38"/>
        <v>#NAME?</v>
      </c>
      <c r="L107" t="e">
        <f t="shared" ca="1" si="38"/>
        <v>#NAME?</v>
      </c>
      <c r="M107" t="e">
        <f t="shared" ca="1" si="38"/>
        <v>#NAME?</v>
      </c>
      <c r="N107" t="e">
        <f t="shared" ca="1" si="38"/>
        <v>#NAME?</v>
      </c>
      <c r="O107" t="e">
        <f t="shared" ca="1" si="38"/>
        <v>#NAME?</v>
      </c>
      <c r="P107" t="e">
        <f t="shared" ca="1" si="38"/>
        <v>#NAME?</v>
      </c>
      <c r="R107" t="e">
        <f t="shared" ca="1" si="41"/>
        <v>#NAME?</v>
      </c>
      <c r="S107" t="e">
        <f t="shared" ca="1" si="39"/>
        <v>#NAME?</v>
      </c>
      <c r="T107" t="e">
        <f t="shared" ca="1" si="39"/>
        <v>#NAME?</v>
      </c>
      <c r="U107" t="e">
        <f t="shared" ca="1" si="39"/>
        <v>#NAME?</v>
      </c>
      <c r="V107" t="e">
        <f t="shared" ca="1" si="39"/>
        <v>#NAME?</v>
      </c>
      <c r="W107" t="e">
        <f t="shared" ca="1" si="39"/>
        <v>#NAME?</v>
      </c>
      <c r="X107" t="e">
        <f t="shared" ca="1" si="39"/>
        <v>#NAME?</v>
      </c>
      <c r="Z107" s="15">
        <v>1</v>
      </c>
    </row>
    <row r="108" spans="1:26">
      <c r="A108" s="22" t="s">
        <v>192</v>
      </c>
      <c r="B108" s="127" t="s">
        <v>427</v>
      </c>
      <c r="C108" s="128"/>
      <c r="D108" s="128"/>
      <c r="E108" s="128"/>
      <c r="F108" s="128"/>
      <c r="G108" s="128"/>
      <c r="H108" s="129"/>
      <c r="J108" t="e">
        <f t="shared" ca="1" si="40"/>
        <v>#NAME?</v>
      </c>
      <c r="K108" t="e">
        <f t="shared" ca="1" si="38"/>
        <v>#NAME?</v>
      </c>
      <c r="L108" t="e">
        <f t="shared" ca="1" si="38"/>
        <v>#NAME?</v>
      </c>
      <c r="M108" t="e">
        <f t="shared" ca="1" si="38"/>
        <v>#NAME?</v>
      </c>
      <c r="N108" t="e">
        <f t="shared" ca="1" si="38"/>
        <v>#NAME?</v>
      </c>
      <c r="O108" t="e">
        <f t="shared" ca="1" si="38"/>
        <v>#NAME?</v>
      </c>
      <c r="P108" t="e">
        <f t="shared" ca="1" si="38"/>
        <v>#NAME?</v>
      </c>
      <c r="R108" t="e">
        <f t="shared" ca="1" si="41"/>
        <v>#NAME?</v>
      </c>
      <c r="S108" t="e">
        <f t="shared" ca="1" si="39"/>
        <v>#NAME?</v>
      </c>
      <c r="T108" t="e">
        <f t="shared" ca="1" si="39"/>
        <v>#NAME?</v>
      </c>
      <c r="U108" t="e">
        <f t="shared" ca="1" si="39"/>
        <v>#NAME?</v>
      </c>
      <c r="V108" t="e">
        <f t="shared" ca="1" si="39"/>
        <v>#NAME?</v>
      </c>
      <c r="W108" t="e">
        <f t="shared" ca="1" si="39"/>
        <v>#NAME?</v>
      </c>
      <c r="X108" t="e">
        <f t="shared" ca="1" si="39"/>
        <v>#NAME?</v>
      </c>
      <c r="Z108" s="15">
        <v>0.875</v>
      </c>
    </row>
    <row r="109" spans="1:26">
      <c r="A109" s="22" t="s">
        <v>193</v>
      </c>
      <c r="B109" s="101" t="s">
        <v>118</v>
      </c>
      <c r="C109" s="110" t="s">
        <v>142</v>
      </c>
      <c r="D109" s="120" t="s">
        <v>116</v>
      </c>
      <c r="E109" s="25"/>
      <c r="F109" s="25"/>
      <c r="G109" s="121" t="s">
        <v>116</v>
      </c>
      <c r="H109" s="44" t="s">
        <v>189</v>
      </c>
      <c r="J109" t="e">
        <f t="shared" ca="1" si="40"/>
        <v>#NAME?</v>
      </c>
      <c r="K109" t="e">
        <f t="shared" ca="1" si="38"/>
        <v>#NAME?</v>
      </c>
      <c r="L109" t="e">
        <f t="shared" ca="1" si="38"/>
        <v>#NAME?</v>
      </c>
      <c r="M109" t="e">
        <f t="shared" ca="1" si="38"/>
        <v>#NAME?</v>
      </c>
      <c r="N109" t="e">
        <f t="shared" ca="1" si="38"/>
        <v>#NAME?</v>
      </c>
      <c r="O109" t="e">
        <f t="shared" ca="1" si="38"/>
        <v>#NAME?</v>
      </c>
      <c r="P109" t="e">
        <f t="shared" ca="1" si="38"/>
        <v>#NAME?</v>
      </c>
      <c r="R109" t="e">
        <f t="shared" ca="1" si="41"/>
        <v>#NAME?</v>
      </c>
      <c r="S109" t="e">
        <f t="shared" ca="1" si="39"/>
        <v>#NAME?</v>
      </c>
      <c r="T109" t="e">
        <f t="shared" ca="1" si="39"/>
        <v>#NAME?</v>
      </c>
      <c r="U109" t="e">
        <f t="shared" ca="1" si="39"/>
        <v>#NAME?</v>
      </c>
      <c r="V109" t="e">
        <f t="shared" ca="1" si="39"/>
        <v>#NAME?</v>
      </c>
      <c r="W109" t="e">
        <f t="shared" ca="1" si="39"/>
        <v>#NAME?</v>
      </c>
      <c r="X109" t="e">
        <f t="shared" ca="1" si="39"/>
        <v>#NAME?</v>
      </c>
      <c r="Z109" s="15">
        <v>1</v>
      </c>
    </row>
    <row r="110" spans="1:26">
      <c r="A110" s="22" t="s">
        <v>283</v>
      </c>
      <c r="B110" s="127" t="s">
        <v>18</v>
      </c>
      <c r="C110" s="128"/>
      <c r="D110" s="128"/>
      <c r="E110" s="128"/>
      <c r="F110" s="128"/>
      <c r="G110" s="128"/>
      <c r="H110" s="129"/>
      <c r="J110" t="e">
        <f t="shared" ca="1" si="40"/>
        <v>#NAME?</v>
      </c>
      <c r="K110" t="e">
        <f t="shared" ca="1" si="38"/>
        <v>#NAME?</v>
      </c>
      <c r="L110" t="e">
        <f t="shared" ca="1" si="38"/>
        <v>#NAME?</v>
      </c>
      <c r="M110" t="e">
        <f t="shared" ca="1" si="38"/>
        <v>#NAME?</v>
      </c>
      <c r="N110" t="e">
        <f t="shared" ca="1" si="38"/>
        <v>#NAME?</v>
      </c>
      <c r="O110" t="e">
        <f t="shared" ca="1" si="38"/>
        <v>#NAME?</v>
      </c>
      <c r="P110" t="e">
        <f t="shared" ca="1" si="38"/>
        <v>#NAME?</v>
      </c>
      <c r="R110" t="e">
        <f t="shared" ca="1" si="41"/>
        <v>#NAME?</v>
      </c>
      <c r="S110" t="e">
        <f t="shared" ca="1" si="39"/>
        <v>#NAME?</v>
      </c>
      <c r="T110" t="e">
        <f t="shared" ca="1" si="39"/>
        <v>#NAME?</v>
      </c>
      <c r="U110" t="e">
        <f t="shared" ca="1" si="39"/>
        <v>#NAME?</v>
      </c>
      <c r="V110" t="e">
        <f t="shared" ca="1" si="39"/>
        <v>#NAME?</v>
      </c>
      <c r="W110" t="e">
        <f t="shared" ca="1" si="39"/>
        <v>#NAME?</v>
      </c>
      <c r="X110" t="e">
        <f t="shared" ca="1" si="39"/>
        <v>#NAME?</v>
      </c>
      <c r="Z110" s="15">
        <v>1</v>
      </c>
    </row>
    <row r="111" spans="1:26">
      <c r="A111" s="22" t="s">
        <v>195</v>
      </c>
      <c r="B111" s="44" t="s">
        <v>186</v>
      </c>
      <c r="C111" s="120" t="s">
        <v>118</v>
      </c>
      <c r="D111" s="121" t="s">
        <v>428</v>
      </c>
      <c r="E111" s="101" t="s">
        <v>116</v>
      </c>
      <c r="F111" s="25"/>
      <c r="G111" s="25"/>
      <c r="H111" s="25"/>
      <c r="J111" t="e">
        <f t="shared" ca="1" si="40"/>
        <v>#NAME?</v>
      </c>
      <c r="K111" t="e">
        <f t="shared" ca="1" si="38"/>
        <v>#NAME?</v>
      </c>
      <c r="L111" t="e">
        <f t="shared" ca="1" si="38"/>
        <v>#NAME?</v>
      </c>
      <c r="M111" t="e">
        <f t="shared" ca="1" si="38"/>
        <v>#NAME?</v>
      </c>
      <c r="N111" t="e">
        <f t="shared" ca="1" si="38"/>
        <v>#NAME?</v>
      </c>
      <c r="O111" t="e">
        <f t="shared" ca="1" si="38"/>
        <v>#NAME?</v>
      </c>
      <c r="P111" t="e">
        <f t="shared" ca="1" si="38"/>
        <v>#NAME?</v>
      </c>
      <c r="R111" t="e">
        <f t="shared" ca="1" si="41"/>
        <v>#NAME?</v>
      </c>
      <c r="S111" t="e">
        <f t="shared" ca="1" si="39"/>
        <v>#NAME?</v>
      </c>
      <c r="T111" t="e">
        <f t="shared" ca="1" si="39"/>
        <v>#NAME?</v>
      </c>
      <c r="U111" t="e">
        <f t="shared" ca="1" si="39"/>
        <v>#NAME?</v>
      </c>
      <c r="V111" t="e">
        <f t="shared" ca="1" si="39"/>
        <v>#NAME?</v>
      </c>
      <c r="W111" t="e">
        <f t="shared" ca="1" si="39"/>
        <v>#NAME?</v>
      </c>
      <c r="X111" t="e">
        <f t="shared" ca="1" si="39"/>
        <v>#NAME?</v>
      </c>
      <c r="Z111" s="15">
        <v>0.5</v>
      </c>
    </row>
    <row r="112" spans="1:26">
      <c r="A112" s="42" t="s">
        <v>196</v>
      </c>
      <c r="B112" s="25"/>
      <c r="C112" s="25"/>
      <c r="D112" s="25"/>
      <c r="E112" s="25"/>
      <c r="F112" s="25"/>
      <c r="G112" s="101" t="s">
        <v>116</v>
      </c>
      <c r="H112" s="120" t="s">
        <v>116</v>
      </c>
      <c r="J112" t="e">
        <f t="shared" ca="1" si="40"/>
        <v>#NAME?</v>
      </c>
      <c r="K112" t="e">
        <f t="shared" ca="1" si="38"/>
        <v>#NAME?</v>
      </c>
      <c r="L112" t="e">
        <f t="shared" ca="1" si="38"/>
        <v>#NAME?</v>
      </c>
      <c r="M112" t="e">
        <f t="shared" ca="1" si="38"/>
        <v>#NAME?</v>
      </c>
      <c r="N112" t="e">
        <f t="shared" ca="1" si="38"/>
        <v>#NAME?</v>
      </c>
      <c r="O112" t="e">
        <f t="shared" ca="1" si="38"/>
        <v>#NAME?</v>
      </c>
      <c r="P112" t="e">
        <f t="shared" ca="1" si="38"/>
        <v>#NAME?</v>
      </c>
      <c r="R112" t="e">
        <f t="shared" ca="1" si="41"/>
        <v>#NAME?</v>
      </c>
      <c r="S112" t="e">
        <f t="shared" ca="1" si="39"/>
        <v>#NAME?</v>
      </c>
      <c r="T112" t="e">
        <f t="shared" ca="1" si="39"/>
        <v>#NAME?</v>
      </c>
      <c r="U112" t="e">
        <f t="shared" ca="1" si="39"/>
        <v>#NAME?</v>
      </c>
      <c r="V112" t="e">
        <f t="shared" ca="1" si="39"/>
        <v>#NAME?</v>
      </c>
      <c r="W112" t="e">
        <f t="shared" ca="1" si="39"/>
        <v>#NAME?</v>
      </c>
      <c r="X112" t="e">
        <f t="shared" ca="1" si="39"/>
        <v>#NAME?</v>
      </c>
      <c r="Z112" s="15">
        <v>0.5</v>
      </c>
    </row>
    <row r="113" spans="1:26">
      <c r="A113" s="22" t="s">
        <v>197</v>
      </c>
      <c r="B113" s="127" t="s">
        <v>18</v>
      </c>
      <c r="C113" s="128"/>
      <c r="D113" s="128"/>
      <c r="E113" s="128"/>
      <c r="F113" s="128"/>
      <c r="G113" s="128"/>
      <c r="H113" s="129"/>
      <c r="J113" t="e">
        <f t="shared" ca="1" si="40"/>
        <v>#NAME?</v>
      </c>
      <c r="K113" t="e">
        <f t="shared" ca="1" si="38"/>
        <v>#NAME?</v>
      </c>
      <c r="L113" t="e">
        <f t="shared" ca="1" si="38"/>
        <v>#NAME?</v>
      </c>
      <c r="M113" t="e">
        <f t="shared" ca="1" si="38"/>
        <v>#NAME?</v>
      </c>
      <c r="N113" t="e">
        <f t="shared" ca="1" si="38"/>
        <v>#NAME?</v>
      </c>
      <c r="O113" t="e">
        <f t="shared" ca="1" si="38"/>
        <v>#NAME?</v>
      </c>
      <c r="P113" t="e">
        <f t="shared" ca="1" si="38"/>
        <v>#NAME?</v>
      </c>
      <c r="R113" t="e">
        <f t="shared" ca="1" si="41"/>
        <v>#NAME?</v>
      </c>
      <c r="S113" t="e">
        <f t="shared" ca="1" si="39"/>
        <v>#NAME?</v>
      </c>
      <c r="T113" t="e">
        <f t="shared" ca="1" si="39"/>
        <v>#NAME?</v>
      </c>
      <c r="U113" t="e">
        <f t="shared" ca="1" si="39"/>
        <v>#NAME?</v>
      </c>
      <c r="V113" t="e">
        <f t="shared" ca="1" si="39"/>
        <v>#NAME?</v>
      </c>
      <c r="W113" t="e">
        <f t="shared" ca="1" si="39"/>
        <v>#NAME?</v>
      </c>
      <c r="X113" t="e">
        <f t="shared" ca="1" si="39"/>
        <v>#NAME?</v>
      </c>
      <c r="Z113" s="15">
        <v>0.5</v>
      </c>
    </row>
    <row r="114" spans="1:26">
      <c r="A114" s="22" t="s">
        <v>199</v>
      </c>
      <c r="B114" s="112"/>
      <c r="C114" s="120" t="s">
        <v>116</v>
      </c>
      <c r="D114" s="112"/>
      <c r="E114" s="44" t="s">
        <v>186</v>
      </c>
      <c r="F114" s="112"/>
      <c r="G114" s="25"/>
      <c r="H114" s="25"/>
      <c r="J114" t="e">
        <f t="shared" ca="1" si="40"/>
        <v>#NAME?</v>
      </c>
      <c r="K114" t="e">
        <f t="shared" ca="1" si="38"/>
        <v>#NAME?</v>
      </c>
      <c r="L114" t="e">
        <f t="shared" ca="1" si="38"/>
        <v>#NAME?</v>
      </c>
      <c r="M114" t="e">
        <f t="shared" ca="1" si="38"/>
        <v>#NAME?</v>
      </c>
      <c r="N114" t="e">
        <f t="shared" ca="1" si="38"/>
        <v>#NAME?</v>
      </c>
      <c r="O114" t="e">
        <f t="shared" ca="1" si="38"/>
        <v>#NAME?</v>
      </c>
      <c r="P114" t="e">
        <f t="shared" ca="1" si="38"/>
        <v>#NAME?</v>
      </c>
      <c r="R114" t="e">
        <f t="shared" ca="1" si="41"/>
        <v>#NAME?</v>
      </c>
      <c r="S114" t="e">
        <f t="shared" ca="1" si="39"/>
        <v>#NAME?</v>
      </c>
      <c r="T114" t="e">
        <f t="shared" ca="1" si="39"/>
        <v>#NAME?</v>
      </c>
      <c r="U114" t="e">
        <f t="shared" ca="1" si="39"/>
        <v>#NAME?</v>
      </c>
      <c r="V114" t="e">
        <f t="shared" ca="1" si="39"/>
        <v>#NAME?</v>
      </c>
      <c r="W114" t="e">
        <f t="shared" ca="1" si="39"/>
        <v>#NAME?</v>
      </c>
      <c r="X114" t="e">
        <f t="shared" ca="1" si="39"/>
        <v>#NAME?</v>
      </c>
      <c r="Z114" s="15">
        <v>0.5</v>
      </c>
    </row>
    <row r="115" spans="1:26">
      <c r="A115" s="22" t="s">
        <v>200</v>
      </c>
      <c r="B115" s="25"/>
      <c r="C115" s="25"/>
      <c r="D115" s="25"/>
      <c r="E115" s="110" t="s">
        <v>142</v>
      </c>
      <c r="F115" s="101" t="s">
        <v>118</v>
      </c>
      <c r="G115" s="120" t="s">
        <v>118</v>
      </c>
      <c r="H115" s="44" t="s">
        <v>186</v>
      </c>
      <c r="J115" t="e">
        <f t="shared" ca="1" si="40"/>
        <v>#NAME?</v>
      </c>
      <c r="K115" t="e">
        <f t="shared" ca="1" si="38"/>
        <v>#NAME?</v>
      </c>
      <c r="L115" t="e">
        <f t="shared" ca="1" si="38"/>
        <v>#NAME?</v>
      </c>
      <c r="M115" t="e">
        <f t="shared" ca="1" si="38"/>
        <v>#NAME?</v>
      </c>
      <c r="N115" t="e">
        <f t="shared" ca="1" si="38"/>
        <v>#NAME?</v>
      </c>
      <c r="O115" t="e">
        <f t="shared" ca="1" si="38"/>
        <v>#NAME?</v>
      </c>
      <c r="P115" t="e">
        <f t="shared" ca="1" si="38"/>
        <v>#NAME?</v>
      </c>
      <c r="R115" t="e">
        <f t="shared" ca="1" si="41"/>
        <v>#NAME?</v>
      </c>
      <c r="S115" t="e">
        <f t="shared" ca="1" si="39"/>
        <v>#NAME?</v>
      </c>
      <c r="T115" t="e">
        <f t="shared" ca="1" si="39"/>
        <v>#NAME?</v>
      </c>
      <c r="U115" t="e">
        <f t="shared" ca="1" si="39"/>
        <v>#NAME?</v>
      </c>
      <c r="V115" t="e">
        <f t="shared" ca="1" si="39"/>
        <v>#NAME?</v>
      </c>
      <c r="W115" t="e">
        <f t="shared" ca="1" si="39"/>
        <v>#NAME?</v>
      </c>
      <c r="X115" t="e">
        <f t="shared" ca="1" si="39"/>
        <v>#NAME?</v>
      </c>
      <c r="Z115" s="15">
        <v>1</v>
      </c>
    </row>
    <row r="116" spans="1:26">
      <c r="A116" s="22" t="s">
        <v>201</v>
      </c>
      <c r="B116" s="25"/>
      <c r="C116" s="25"/>
      <c r="D116" s="28" t="s">
        <v>119</v>
      </c>
      <c r="E116" s="25"/>
      <c r="F116" s="44" t="s">
        <v>186</v>
      </c>
      <c r="G116" s="110" t="s">
        <v>139</v>
      </c>
      <c r="H116" s="101" t="s">
        <v>116</v>
      </c>
      <c r="J116" t="e">
        <f t="shared" ca="1" si="40"/>
        <v>#NAME?</v>
      </c>
      <c r="K116" t="e">
        <f t="shared" ca="1" si="38"/>
        <v>#NAME?</v>
      </c>
      <c r="L116" t="e">
        <f t="shared" ca="1" si="38"/>
        <v>#NAME?</v>
      </c>
      <c r="M116" t="e">
        <f t="shared" ca="1" si="38"/>
        <v>#NAME?</v>
      </c>
      <c r="N116" t="e">
        <f t="shared" ca="1" si="38"/>
        <v>#NAME?</v>
      </c>
      <c r="O116" t="e">
        <f t="shared" ca="1" si="38"/>
        <v>#NAME?</v>
      </c>
      <c r="P116" t="e">
        <f t="shared" ca="1" si="38"/>
        <v>#NAME?</v>
      </c>
      <c r="R116" t="e">
        <f t="shared" ca="1" si="41"/>
        <v>#NAME?</v>
      </c>
      <c r="S116" t="e">
        <f t="shared" ca="1" si="39"/>
        <v>#NAME?</v>
      </c>
      <c r="T116" t="e">
        <f t="shared" ca="1" si="39"/>
        <v>#NAME?</v>
      </c>
      <c r="U116" t="e">
        <f t="shared" ca="1" si="39"/>
        <v>#NAME?</v>
      </c>
      <c r="V116" t="e">
        <f t="shared" ca="1" si="39"/>
        <v>#NAME?</v>
      </c>
      <c r="W116" t="e">
        <f t="shared" ca="1" si="39"/>
        <v>#NAME?</v>
      </c>
      <c r="X116" t="e">
        <f t="shared" ca="1" si="39"/>
        <v>#NAME?</v>
      </c>
      <c r="Z116" s="15">
        <v>1</v>
      </c>
    </row>
    <row r="117" spans="1:26">
      <c r="A117" s="22" t="s">
        <v>202</v>
      </c>
      <c r="B117" s="25"/>
      <c r="C117" s="25"/>
      <c r="D117" s="110" t="s">
        <v>139</v>
      </c>
      <c r="E117" s="28" t="s">
        <v>115</v>
      </c>
      <c r="F117" s="25"/>
      <c r="G117" s="101" t="s">
        <v>118</v>
      </c>
      <c r="H117" s="110" t="s">
        <v>142</v>
      </c>
      <c r="J117" t="e">
        <f t="shared" ca="1" si="40"/>
        <v>#NAME?</v>
      </c>
      <c r="K117" t="e">
        <f t="shared" ca="1" si="38"/>
        <v>#NAME?</v>
      </c>
      <c r="L117" t="e">
        <f t="shared" ca="1" si="38"/>
        <v>#NAME?</v>
      </c>
      <c r="M117" t="e">
        <f t="shared" ca="1" si="38"/>
        <v>#NAME?</v>
      </c>
      <c r="N117" t="e">
        <f t="shared" ca="1" si="38"/>
        <v>#NAME?</v>
      </c>
      <c r="O117" t="e">
        <f t="shared" ca="1" si="38"/>
        <v>#NAME?</v>
      </c>
      <c r="P117" t="e">
        <f t="shared" ca="1" si="38"/>
        <v>#NAME?</v>
      </c>
      <c r="R117" t="e">
        <f t="shared" ca="1" si="41"/>
        <v>#NAME?</v>
      </c>
      <c r="S117" t="e">
        <f t="shared" ca="1" si="39"/>
        <v>#NAME?</v>
      </c>
      <c r="T117" t="e">
        <f t="shared" ca="1" si="39"/>
        <v>#NAME?</v>
      </c>
      <c r="U117" t="e">
        <f t="shared" ca="1" si="39"/>
        <v>#NAME?</v>
      </c>
      <c r="V117" t="e">
        <f t="shared" ca="1" si="39"/>
        <v>#NAME?</v>
      </c>
      <c r="W117" t="e">
        <f t="shared" ca="1" si="39"/>
        <v>#NAME?</v>
      </c>
      <c r="X117" t="e">
        <f t="shared" ca="1" si="39"/>
        <v>#NAME?</v>
      </c>
      <c r="Z117" s="15">
        <v>1</v>
      </c>
    </row>
    <row r="118" spans="1:26">
      <c r="A118" s="42" t="s">
        <v>203</v>
      </c>
      <c r="B118" s="28" t="s">
        <v>115</v>
      </c>
      <c r="C118" s="25"/>
      <c r="D118" s="120" t="s">
        <v>118</v>
      </c>
      <c r="E118" s="121" t="s">
        <v>118</v>
      </c>
      <c r="F118" s="44" t="s">
        <v>189</v>
      </c>
      <c r="G118" s="25"/>
      <c r="H118" s="25"/>
      <c r="J118" t="e">
        <f t="shared" ca="1" si="40"/>
        <v>#NAME?</v>
      </c>
      <c r="K118" t="e">
        <f t="shared" ca="1" si="38"/>
        <v>#NAME?</v>
      </c>
      <c r="L118" t="e">
        <f t="shared" ca="1" si="38"/>
        <v>#NAME?</v>
      </c>
      <c r="M118" t="e">
        <f t="shared" ca="1" si="38"/>
        <v>#NAME?</v>
      </c>
      <c r="N118" t="e">
        <f t="shared" ca="1" si="38"/>
        <v>#NAME?</v>
      </c>
      <c r="O118" t="e">
        <f t="shared" ca="1" si="38"/>
        <v>#NAME?</v>
      </c>
      <c r="P118" t="e">
        <f t="shared" ca="1" si="38"/>
        <v>#NAME?</v>
      </c>
      <c r="R118" t="e">
        <f t="shared" ca="1" si="41"/>
        <v>#NAME?</v>
      </c>
      <c r="S118" t="e">
        <f t="shared" ca="1" si="39"/>
        <v>#NAME?</v>
      </c>
      <c r="T118" t="e">
        <f t="shared" ca="1" si="39"/>
        <v>#NAME?</v>
      </c>
      <c r="U118" t="e">
        <f t="shared" ca="1" si="39"/>
        <v>#NAME?</v>
      </c>
      <c r="V118" t="e">
        <f t="shared" ca="1" si="39"/>
        <v>#NAME?</v>
      </c>
      <c r="W118" t="e">
        <f t="shared" ca="1" si="39"/>
        <v>#NAME?</v>
      </c>
      <c r="X118" t="e">
        <f t="shared" ca="1" si="39"/>
        <v>#NAME?</v>
      </c>
      <c r="Z118" s="15">
        <v>1</v>
      </c>
    </row>
    <row r="119" spans="1:26">
      <c r="A119" s="22" t="s">
        <v>204</v>
      </c>
      <c r="B119" s="121" t="s">
        <v>118</v>
      </c>
      <c r="C119" s="25"/>
      <c r="D119" s="121" t="s">
        <v>118</v>
      </c>
      <c r="E119" s="120" t="s">
        <v>116</v>
      </c>
      <c r="F119" s="28" t="s">
        <v>115</v>
      </c>
      <c r="G119" s="25"/>
      <c r="H119" s="25"/>
      <c r="J119" t="e">
        <f t="shared" ca="1" si="40"/>
        <v>#NAME?</v>
      </c>
      <c r="K119" t="e">
        <f t="shared" ca="1" si="38"/>
        <v>#NAME?</v>
      </c>
      <c r="L119" t="e">
        <f t="shared" ca="1" si="38"/>
        <v>#NAME?</v>
      </c>
      <c r="M119" t="e">
        <f t="shared" ca="1" si="38"/>
        <v>#NAME?</v>
      </c>
      <c r="N119" t="e">
        <f t="shared" ca="1" si="38"/>
        <v>#NAME?</v>
      </c>
      <c r="O119" t="e">
        <f t="shared" ca="1" si="38"/>
        <v>#NAME?</v>
      </c>
      <c r="P119" t="e">
        <f t="shared" ca="1" si="38"/>
        <v>#NAME?</v>
      </c>
      <c r="R119" t="e">
        <f t="shared" ca="1" si="41"/>
        <v>#NAME?</v>
      </c>
      <c r="S119" t="e">
        <f t="shared" ca="1" si="39"/>
        <v>#NAME?</v>
      </c>
      <c r="T119" t="e">
        <f t="shared" ca="1" si="39"/>
        <v>#NAME?</v>
      </c>
      <c r="U119" t="e">
        <f t="shared" ca="1" si="39"/>
        <v>#NAME?</v>
      </c>
      <c r="V119" t="e">
        <f t="shared" ca="1" si="39"/>
        <v>#NAME?</v>
      </c>
      <c r="W119" t="e">
        <f t="shared" ca="1" si="39"/>
        <v>#NAME?</v>
      </c>
      <c r="X119" t="e">
        <f t="shared" ca="1" si="39"/>
        <v>#NAME?</v>
      </c>
      <c r="Z119" s="15">
        <v>1</v>
      </c>
    </row>
    <row r="120" spans="1:26">
      <c r="A120" s="22" t="s">
        <v>205</v>
      </c>
      <c r="B120" s="120" t="s">
        <v>118</v>
      </c>
      <c r="C120" s="110" t="s">
        <v>139</v>
      </c>
      <c r="D120" s="25"/>
      <c r="E120" s="25"/>
      <c r="F120" s="25" t="s">
        <v>152</v>
      </c>
      <c r="G120" s="25" t="s">
        <v>152</v>
      </c>
      <c r="H120" s="25" t="s">
        <v>152</v>
      </c>
      <c r="J120" t="e">
        <f t="shared" ca="1" si="40"/>
        <v>#NAME?</v>
      </c>
      <c r="K120" t="e">
        <f t="shared" ca="1" si="38"/>
        <v>#NAME?</v>
      </c>
      <c r="L120" t="e">
        <f t="shared" ca="1" si="38"/>
        <v>#NAME?</v>
      </c>
      <c r="M120" t="e">
        <f t="shared" ca="1" si="38"/>
        <v>#NAME?</v>
      </c>
      <c r="N120" t="e">
        <f t="shared" ca="1" si="38"/>
        <v>#NAME?</v>
      </c>
      <c r="O120" t="e">
        <f t="shared" ca="1" si="38"/>
        <v>#NAME?</v>
      </c>
      <c r="P120" t="e">
        <f t="shared" ca="1" si="38"/>
        <v>#NAME?</v>
      </c>
      <c r="R120" t="e">
        <f t="shared" ca="1" si="41"/>
        <v>#NAME?</v>
      </c>
      <c r="S120" t="e">
        <f t="shared" ca="1" si="39"/>
        <v>#NAME?</v>
      </c>
      <c r="T120" t="e">
        <f t="shared" ca="1" si="39"/>
        <v>#NAME?</v>
      </c>
      <c r="U120" t="e">
        <f t="shared" ca="1" si="39"/>
        <v>#NAME?</v>
      </c>
      <c r="V120" t="e">
        <f t="shared" ca="1" si="39"/>
        <v>#NAME?</v>
      </c>
      <c r="W120" t="e">
        <f t="shared" ca="1" si="39"/>
        <v>#NAME?</v>
      </c>
      <c r="X120" t="e">
        <f t="shared" ca="1" si="39"/>
        <v>#NAME?</v>
      </c>
      <c r="Z120" s="15">
        <v>1</v>
      </c>
    </row>
    <row r="121" spans="1:26">
      <c r="A121" s="22" t="s">
        <v>206</v>
      </c>
      <c r="B121" s="25"/>
      <c r="C121" s="101" t="s">
        <v>118</v>
      </c>
      <c r="D121" s="120" t="s">
        <v>118</v>
      </c>
      <c r="E121" s="120" t="s">
        <v>118</v>
      </c>
      <c r="F121" s="121" t="s">
        <v>118</v>
      </c>
      <c r="G121" s="25"/>
      <c r="H121" s="25"/>
      <c r="J121" t="e">
        <f t="shared" ca="1" si="40"/>
        <v>#NAME?</v>
      </c>
      <c r="K121" t="e">
        <f t="shared" ca="1" si="38"/>
        <v>#NAME?</v>
      </c>
      <c r="L121" t="e">
        <f t="shared" ca="1" si="38"/>
        <v>#NAME?</v>
      </c>
      <c r="M121" t="e">
        <f t="shared" ca="1" si="38"/>
        <v>#NAME?</v>
      </c>
      <c r="N121" t="e">
        <f t="shared" ca="1" si="38"/>
        <v>#NAME?</v>
      </c>
      <c r="O121" t="e">
        <f t="shared" ca="1" si="38"/>
        <v>#NAME?</v>
      </c>
      <c r="P121" t="e">
        <f t="shared" ca="1" si="38"/>
        <v>#NAME?</v>
      </c>
      <c r="R121" t="e">
        <f t="shared" ca="1" si="41"/>
        <v>#NAME?</v>
      </c>
      <c r="S121" t="e">
        <f t="shared" ca="1" si="39"/>
        <v>#NAME?</v>
      </c>
      <c r="T121" t="e">
        <f t="shared" ca="1" si="39"/>
        <v>#NAME?</v>
      </c>
      <c r="U121" t="e">
        <f t="shared" ca="1" si="39"/>
        <v>#NAME?</v>
      </c>
      <c r="V121" t="e">
        <f t="shared" ca="1" si="39"/>
        <v>#NAME?</v>
      </c>
      <c r="W121" t="e">
        <f t="shared" ca="1" si="39"/>
        <v>#NAME?</v>
      </c>
      <c r="X121" t="e">
        <f t="shared" ca="1" si="39"/>
        <v>#NAME?</v>
      </c>
      <c r="Z121" s="15">
        <v>1</v>
      </c>
    </row>
    <row r="122" spans="1:26">
      <c r="A122" s="22" t="s">
        <v>207</v>
      </c>
      <c r="B122" s="25"/>
      <c r="C122" s="25"/>
      <c r="D122" s="25"/>
      <c r="E122" s="25"/>
      <c r="F122" s="25" t="s">
        <v>152</v>
      </c>
      <c r="G122" s="25" t="s">
        <v>152</v>
      </c>
      <c r="H122" s="25"/>
      <c r="J122" t="e">
        <f t="shared" ca="1" si="40"/>
        <v>#NAME?</v>
      </c>
      <c r="K122" t="e">
        <f t="shared" ca="1" si="38"/>
        <v>#NAME?</v>
      </c>
      <c r="L122" t="e">
        <f t="shared" ca="1" si="38"/>
        <v>#NAME?</v>
      </c>
      <c r="M122" t="e">
        <f t="shared" ca="1" si="38"/>
        <v>#NAME?</v>
      </c>
      <c r="N122" t="e">
        <f t="shared" ca="1" si="38"/>
        <v>#NAME?</v>
      </c>
      <c r="O122" t="e">
        <f t="shared" ca="1" si="38"/>
        <v>#NAME?</v>
      </c>
      <c r="P122" t="e">
        <f t="shared" ca="1" si="38"/>
        <v>#NAME?</v>
      </c>
      <c r="R122" t="e">
        <f t="shared" ca="1" si="41"/>
        <v>#NAME?</v>
      </c>
      <c r="S122" t="e">
        <f t="shared" ca="1" si="39"/>
        <v>#NAME?</v>
      </c>
      <c r="T122" t="e">
        <f t="shared" ca="1" si="39"/>
        <v>#NAME?</v>
      </c>
      <c r="U122" t="e">
        <f t="shared" ca="1" si="39"/>
        <v>#NAME?</v>
      </c>
      <c r="V122" t="e">
        <f t="shared" ca="1" si="39"/>
        <v>#NAME?</v>
      </c>
      <c r="W122" t="e">
        <f t="shared" ca="1" si="39"/>
        <v>#NAME?</v>
      </c>
      <c r="X122" t="e">
        <f t="shared" ca="1" si="39"/>
        <v>#NAME?</v>
      </c>
      <c r="Z122" s="15">
        <v>0.5</v>
      </c>
    </row>
    <row r="123" spans="1:26">
      <c r="A123" s="22" t="s">
        <v>208</v>
      </c>
      <c r="B123" s="25"/>
      <c r="C123" s="28" t="s">
        <v>115</v>
      </c>
      <c r="D123" s="120" t="s">
        <v>116</v>
      </c>
      <c r="E123" s="112"/>
      <c r="F123" s="112"/>
      <c r="G123" s="25"/>
      <c r="H123" s="25"/>
      <c r="J123" t="e">
        <f t="shared" ca="1" si="40"/>
        <v>#NAME?</v>
      </c>
      <c r="K123" t="e">
        <f t="shared" ca="1" si="38"/>
        <v>#NAME?</v>
      </c>
      <c r="L123" t="e">
        <f t="shared" ca="1" si="38"/>
        <v>#NAME?</v>
      </c>
      <c r="M123" t="e">
        <f t="shared" ca="1" si="38"/>
        <v>#NAME?</v>
      </c>
      <c r="N123" t="e">
        <f t="shared" ca="1" si="38"/>
        <v>#NAME?</v>
      </c>
      <c r="O123" t="e">
        <f t="shared" ca="1" si="38"/>
        <v>#NAME?</v>
      </c>
      <c r="P123" t="e">
        <f t="shared" ca="1" si="38"/>
        <v>#NAME?</v>
      </c>
      <c r="R123" t="e">
        <f t="shared" ca="1" si="41"/>
        <v>#NAME?</v>
      </c>
      <c r="S123" t="e">
        <f t="shared" ca="1" si="39"/>
        <v>#NAME?</v>
      </c>
      <c r="T123" t="e">
        <f t="shared" ca="1" si="39"/>
        <v>#NAME?</v>
      </c>
      <c r="U123" t="e">
        <f t="shared" ca="1" si="39"/>
        <v>#NAME?</v>
      </c>
      <c r="V123" t="e">
        <f t="shared" ca="1" si="39"/>
        <v>#NAME?</v>
      </c>
      <c r="W123" t="e">
        <f t="shared" ca="1" si="39"/>
        <v>#NAME?</v>
      </c>
      <c r="X123" t="e">
        <f t="shared" ca="1" si="39"/>
        <v>#NAME?</v>
      </c>
      <c r="Z123" s="15">
        <v>0.5</v>
      </c>
    </row>
    <row r="124" spans="1:26">
      <c r="A124" s="22" t="s">
        <v>209</v>
      </c>
      <c r="B124" s="25"/>
      <c r="C124" s="25"/>
      <c r="D124" s="121" t="s">
        <v>116</v>
      </c>
      <c r="E124" s="25"/>
      <c r="F124" s="110" t="s">
        <v>142</v>
      </c>
      <c r="G124" s="25"/>
      <c r="H124" s="25"/>
      <c r="J124" t="e">
        <f t="shared" ca="1" si="40"/>
        <v>#NAME?</v>
      </c>
      <c r="K124" t="e">
        <f t="shared" ca="1" si="38"/>
        <v>#NAME?</v>
      </c>
      <c r="L124" t="e">
        <f t="shared" ca="1" si="38"/>
        <v>#NAME?</v>
      </c>
      <c r="M124" t="e">
        <f t="shared" ca="1" si="38"/>
        <v>#NAME?</v>
      </c>
      <c r="N124" t="e">
        <f t="shared" ca="1" si="38"/>
        <v>#NAME?</v>
      </c>
      <c r="O124" t="e">
        <f t="shared" ca="1" si="38"/>
        <v>#NAME?</v>
      </c>
      <c r="P124" t="e">
        <f t="shared" ca="1" si="38"/>
        <v>#NAME?</v>
      </c>
      <c r="R124" t="e">
        <f t="shared" ca="1" si="41"/>
        <v>#NAME?</v>
      </c>
      <c r="S124" t="e">
        <f t="shared" ca="1" si="39"/>
        <v>#NAME?</v>
      </c>
      <c r="T124" t="e">
        <f t="shared" ca="1" si="39"/>
        <v>#NAME?</v>
      </c>
      <c r="U124" t="e">
        <f t="shared" ca="1" si="39"/>
        <v>#NAME?</v>
      </c>
      <c r="V124" t="e">
        <f t="shared" ca="1" si="39"/>
        <v>#NAME?</v>
      </c>
      <c r="W124" t="e">
        <f t="shared" ca="1" si="39"/>
        <v>#NAME?</v>
      </c>
      <c r="X124" t="e">
        <f t="shared" ca="1" si="39"/>
        <v>#NAME?</v>
      </c>
      <c r="Z124" s="15">
        <v>0.5</v>
      </c>
    </row>
    <row r="125" spans="1:26" ht="15" customHeight="1">
      <c r="A125" s="22" t="s">
        <v>210</v>
      </c>
      <c r="B125" s="25"/>
      <c r="C125" s="28" t="s">
        <v>119</v>
      </c>
      <c r="D125" s="25"/>
      <c r="E125" s="25"/>
      <c r="F125" s="120" t="s">
        <v>116</v>
      </c>
      <c r="G125" s="25"/>
      <c r="H125" s="25"/>
      <c r="J125" t="e">
        <f t="shared" ca="1" si="40"/>
        <v>#NAME?</v>
      </c>
      <c r="K125" t="e">
        <f t="shared" ca="1" si="38"/>
        <v>#NAME?</v>
      </c>
      <c r="L125" t="e">
        <f t="shared" ca="1" si="38"/>
        <v>#NAME?</v>
      </c>
      <c r="M125" t="e">
        <f t="shared" ca="1" si="38"/>
        <v>#NAME?</v>
      </c>
      <c r="N125" t="e">
        <f t="shared" ca="1" si="38"/>
        <v>#NAME?</v>
      </c>
      <c r="O125" t="e">
        <f t="shared" ca="1" si="38"/>
        <v>#NAME?</v>
      </c>
      <c r="P125" t="e">
        <f t="shared" ca="1" si="38"/>
        <v>#NAME?</v>
      </c>
      <c r="R125" t="e">
        <f t="shared" ca="1" si="41"/>
        <v>#NAME?</v>
      </c>
      <c r="S125" t="e">
        <f t="shared" ca="1" si="39"/>
        <v>#NAME?</v>
      </c>
      <c r="T125" t="e">
        <f t="shared" ca="1" si="39"/>
        <v>#NAME?</v>
      </c>
      <c r="U125" t="e">
        <f t="shared" ca="1" si="39"/>
        <v>#NAME?</v>
      </c>
      <c r="V125" t="e">
        <f t="shared" ca="1" si="39"/>
        <v>#NAME?</v>
      </c>
      <c r="W125" t="e">
        <f t="shared" ca="1" si="39"/>
        <v>#NAME?</v>
      </c>
      <c r="X125" t="e">
        <f t="shared" ca="1" si="39"/>
        <v>#NAME?</v>
      </c>
      <c r="Z125" s="15">
        <v>0.5</v>
      </c>
    </row>
    <row r="126" spans="1:26">
      <c r="A126" s="22" t="s">
        <v>212</v>
      </c>
      <c r="B126" s="25" t="s">
        <v>152</v>
      </c>
      <c r="C126" s="25" t="s">
        <v>152</v>
      </c>
      <c r="D126" s="25"/>
      <c r="E126" s="25"/>
      <c r="F126" s="25"/>
      <c r="G126" s="25"/>
      <c r="H126" s="25"/>
      <c r="J126" t="e">
        <f t="shared" ca="1" si="40"/>
        <v>#NAME?</v>
      </c>
      <c r="K126" t="e">
        <f t="shared" ca="1" si="38"/>
        <v>#NAME?</v>
      </c>
      <c r="L126" t="e">
        <f t="shared" ca="1" si="38"/>
        <v>#NAME?</v>
      </c>
      <c r="M126" t="e">
        <f t="shared" ca="1" si="38"/>
        <v>#NAME?</v>
      </c>
      <c r="N126" t="e">
        <f t="shared" ca="1" si="38"/>
        <v>#NAME?</v>
      </c>
      <c r="O126" t="e">
        <f t="shared" ca="1" si="38"/>
        <v>#NAME?</v>
      </c>
      <c r="P126" t="e">
        <f t="shared" ca="1" si="38"/>
        <v>#NAME?</v>
      </c>
      <c r="R126" t="e">
        <f t="shared" ca="1" si="41"/>
        <v>#NAME?</v>
      </c>
      <c r="S126" t="e">
        <f t="shared" ca="1" si="39"/>
        <v>#NAME?</v>
      </c>
      <c r="T126" t="e">
        <f t="shared" ca="1" si="39"/>
        <v>#NAME?</v>
      </c>
      <c r="U126" t="e">
        <f t="shared" ca="1" si="39"/>
        <v>#NAME?</v>
      </c>
      <c r="V126" t="e">
        <f t="shared" ca="1" si="39"/>
        <v>#NAME?</v>
      </c>
      <c r="W126" t="e">
        <f t="shared" ca="1" si="39"/>
        <v>#NAME?</v>
      </c>
      <c r="X126" t="e">
        <f t="shared" ca="1" si="39"/>
        <v>#NAME?</v>
      </c>
      <c r="Z126" s="15">
        <v>1</v>
      </c>
    </row>
    <row r="127" spans="1:26">
      <c r="A127" s="22" t="s">
        <v>213</v>
      </c>
      <c r="B127" s="120" t="s">
        <v>116</v>
      </c>
      <c r="C127" s="121" t="s">
        <v>116</v>
      </c>
      <c r="D127" s="25"/>
      <c r="E127" s="120" t="s">
        <v>118</v>
      </c>
      <c r="F127" s="121" t="s">
        <v>118</v>
      </c>
      <c r="G127" s="25"/>
      <c r="H127" s="25"/>
      <c r="J127" t="e">
        <f t="shared" ca="1" si="40"/>
        <v>#NAME?</v>
      </c>
      <c r="K127" t="e">
        <f t="shared" ca="1" si="38"/>
        <v>#NAME?</v>
      </c>
      <c r="L127" t="e">
        <f t="shared" ca="1" si="38"/>
        <v>#NAME?</v>
      </c>
      <c r="M127" t="e">
        <f t="shared" ca="1" si="38"/>
        <v>#NAME?</v>
      </c>
      <c r="N127" t="e">
        <f t="shared" ca="1" si="38"/>
        <v>#NAME?</v>
      </c>
      <c r="O127" t="e">
        <f t="shared" ca="1" si="38"/>
        <v>#NAME?</v>
      </c>
      <c r="P127" t="e">
        <f t="shared" ca="1" si="38"/>
        <v>#NAME?</v>
      </c>
      <c r="R127" t="e">
        <f t="shared" ca="1" si="41"/>
        <v>#NAME?</v>
      </c>
      <c r="S127" t="e">
        <f t="shared" ca="1" si="39"/>
        <v>#NAME?</v>
      </c>
      <c r="T127" t="e">
        <f t="shared" ca="1" si="39"/>
        <v>#NAME?</v>
      </c>
      <c r="U127" t="e">
        <f t="shared" ca="1" si="39"/>
        <v>#NAME?</v>
      </c>
      <c r="V127" t="e">
        <f t="shared" ca="1" si="39"/>
        <v>#NAME?</v>
      </c>
      <c r="W127" t="e">
        <f t="shared" ca="1" si="39"/>
        <v>#NAME?</v>
      </c>
      <c r="X127" t="e">
        <f t="shared" ca="1" si="39"/>
        <v>#NAME?</v>
      </c>
      <c r="Z127" s="15">
        <v>1</v>
      </c>
    </row>
    <row r="128" spans="1:26">
      <c r="A128" s="106" t="s">
        <v>383</v>
      </c>
      <c r="B128" s="107" t="str">
        <f t="shared" ref="B128:H128" si="42">B59</f>
        <v>Mon 29 Jun</v>
      </c>
      <c r="C128" s="107" t="str">
        <f t="shared" si="42"/>
        <v>Tues 30 Jun</v>
      </c>
      <c r="D128" s="107" t="str">
        <f t="shared" si="42"/>
        <v>Wed 1 Jul</v>
      </c>
      <c r="E128" s="107" t="str">
        <f t="shared" si="42"/>
        <v>Thu 2 Jul</v>
      </c>
      <c r="F128" s="107" t="str">
        <f t="shared" si="42"/>
        <v>Fri 3 Jul</v>
      </c>
      <c r="G128" s="107" t="str">
        <f t="shared" si="42"/>
        <v>Sat 4 Jul</v>
      </c>
      <c r="H128" s="107" t="str">
        <f t="shared" si="42"/>
        <v>Sun 5 Jul</v>
      </c>
      <c r="J128" t="e">
        <f t="shared" ca="1" si="40"/>
        <v>#NAME?</v>
      </c>
      <c r="K128" t="e">
        <f t="shared" ca="1" si="38"/>
        <v>#NAME?</v>
      </c>
      <c r="L128" t="e">
        <f t="shared" ca="1" si="38"/>
        <v>#NAME?</v>
      </c>
      <c r="M128" t="e">
        <f t="shared" ca="1" si="38"/>
        <v>#NAME?</v>
      </c>
      <c r="N128" t="e">
        <f t="shared" ca="1" si="38"/>
        <v>#NAME?</v>
      </c>
      <c r="O128" t="e">
        <f t="shared" ca="1" si="38"/>
        <v>#NAME?</v>
      </c>
      <c r="P128" t="e">
        <f t="shared" ca="1" si="38"/>
        <v>#NAME?</v>
      </c>
      <c r="R128" t="e">
        <f t="shared" ca="1" si="41"/>
        <v>#NAME?</v>
      </c>
      <c r="S128" t="e">
        <f t="shared" ca="1" si="39"/>
        <v>#NAME?</v>
      </c>
      <c r="T128" t="e">
        <f t="shared" ca="1" si="39"/>
        <v>#NAME?</v>
      </c>
      <c r="U128" t="e">
        <f t="shared" ca="1" si="39"/>
        <v>#NAME?</v>
      </c>
      <c r="V128" t="e">
        <f t="shared" ca="1" si="39"/>
        <v>#NAME?</v>
      </c>
      <c r="W128" t="e">
        <f t="shared" ca="1" si="39"/>
        <v>#NAME?</v>
      </c>
      <c r="X128" t="e">
        <f t="shared" ca="1" si="39"/>
        <v>#NAME?</v>
      </c>
      <c r="Z128" s="53"/>
    </row>
    <row r="129" spans="1:34">
      <c r="A129" s="22" t="s">
        <v>358</v>
      </c>
      <c r="B129" s="101" t="s">
        <v>116</v>
      </c>
      <c r="C129" s="44" t="s">
        <v>189</v>
      </c>
      <c r="D129" s="25"/>
      <c r="E129" s="25"/>
      <c r="F129" s="25" t="s">
        <v>152</v>
      </c>
      <c r="G129" s="25" t="s">
        <v>152</v>
      </c>
      <c r="H129" s="25" t="s">
        <v>152</v>
      </c>
      <c r="J129" t="e">
        <f t="shared" ca="1" si="40"/>
        <v>#NAME?</v>
      </c>
      <c r="K129" t="e">
        <f t="shared" ca="1" si="38"/>
        <v>#NAME?</v>
      </c>
      <c r="L129" t="e">
        <f t="shared" ca="1" si="38"/>
        <v>#NAME?</v>
      </c>
      <c r="M129" t="e">
        <f t="shared" ca="1" si="38"/>
        <v>#NAME?</v>
      </c>
      <c r="N129" t="e">
        <f t="shared" ca="1" si="38"/>
        <v>#NAME?</v>
      </c>
      <c r="O129" t="e">
        <f t="shared" ca="1" si="38"/>
        <v>#NAME?</v>
      </c>
      <c r="P129" t="e">
        <f t="shared" ca="1" si="38"/>
        <v>#NAME?</v>
      </c>
      <c r="R129" t="e">
        <f t="shared" ca="1" si="41"/>
        <v>#NAME?</v>
      </c>
      <c r="S129" t="e">
        <f t="shared" ca="1" si="39"/>
        <v>#NAME?</v>
      </c>
      <c r="T129" t="e">
        <f t="shared" ca="1" si="39"/>
        <v>#NAME?</v>
      </c>
      <c r="U129" t="e">
        <f t="shared" ca="1" si="39"/>
        <v>#NAME?</v>
      </c>
      <c r="V129" t="e">
        <f t="shared" ca="1" si="39"/>
        <v>#NAME?</v>
      </c>
      <c r="W129" t="e">
        <f t="shared" ca="1" si="39"/>
        <v>#NAME?</v>
      </c>
      <c r="X129" t="e">
        <f t="shared" ca="1" si="39"/>
        <v>#NAME?</v>
      </c>
      <c r="Z129" s="15">
        <v>1</v>
      </c>
    </row>
    <row r="130" spans="1:34">
      <c r="A130" s="22" t="s">
        <v>359</v>
      </c>
      <c r="B130" s="127" t="s">
        <v>18</v>
      </c>
      <c r="C130" s="128"/>
      <c r="D130" s="128"/>
      <c r="E130" s="128"/>
      <c r="F130" s="128"/>
      <c r="G130" s="128"/>
      <c r="H130" s="129"/>
      <c r="J130" t="e">
        <f t="shared" ca="1" si="40"/>
        <v>#NAME?</v>
      </c>
      <c r="K130" t="e">
        <f t="shared" ca="1" si="38"/>
        <v>#NAME?</v>
      </c>
      <c r="L130" t="e">
        <f t="shared" ca="1" si="38"/>
        <v>#NAME?</v>
      </c>
      <c r="M130" t="e">
        <f t="shared" ca="1" si="38"/>
        <v>#NAME?</v>
      </c>
      <c r="N130" t="e">
        <f t="shared" ca="1" si="38"/>
        <v>#NAME?</v>
      </c>
      <c r="O130" t="e">
        <f t="shared" ca="1" si="38"/>
        <v>#NAME?</v>
      </c>
      <c r="P130" t="e">
        <f t="shared" ca="1" si="38"/>
        <v>#NAME?</v>
      </c>
      <c r="R130" t="e">
        <f t="shared" ca="1" si="41"/>
        <v>#NAME?</v>
      </c>
      <c r="S130" t="e">
        <f t="shared" ca="1" si="39"/>
        <v>#NAME?</v>
      </c>
      <c r="T130" t="e">
        <f t="shared" ca="1" si="39"/>
        <v>#NAME?</v>
      </c>
      <c r="U130" t="e">
        <f t="shared" ca="1" si="39"/>
        <v>#NAME?</v>
      </c>
      <c r="V130" t="e">
        <f t="shared" ca="1" si="39"/>
        <v>#NAME?</v>
      </c>
      <c r="W130" t="e">
        <f t="shared" ca="1" si="39"/>
        <v>#NAME?</v>
      </c>
      <c r="X130" t="e">
        <f t="shared" ca="1" si="39"/>
        <v>#NAME?</v>
      </c>
      <c r="Z130" s="15">
        <v>1</v>
      </c>
    </row>
    <row r="131" spans="1:34">
      <c r="A131" s="22" t="s">
        <v>360</v>
      </c>
      <c r="B131" s="25" t="s">
        <v>152</v>
      </c>
      <c r="C131" s="25" t="s">
        <v>152</v>
      </c>
      <c r="D131" s="25" t="s">
        <v>152</v>
      </c>
      <c r="E131" s="25" t="s">
        <v>152</v>
      </c>
      <c r="F131" s="25"/>
      <c r="G131" s="25"/>
      <c r="H131" s="25"/>
      <c r="J131" t="e">
        <f t="shared" ca="1" si="40"/>
        <v>#NAME?</v>
      </c>
      <c r="K131" t="e">
        <f t="shared" ca="1" si="38"/>
        <v>#NAME?</v>
      </c>
      <c r="L131" t="e">
        <f t="shared" ca="1" si="38"/>
        <v>#NAME?</v>
      </c>
      <c r="M131" t="e">
        <f t="shared" ca="1" si="38"/>
        <v>#NAME?</v>
      </c>
      <c r="N131" t="e">
        <f t="shared" ca="1" si="38"/>
        <v>#NAME?</v>
      </c>
      <c r="O131" t="e">
        <f t="shared" ca="1" si="38"/>
        <v>#NAME?</v>
      </c>
      <c r="P131" t="e">
        <f t="shared" ca="1" si="38"/>
        <v>#NAME?</v>
      </c>
      <c r="R131" t="e">
        <f t="shared" ca="1" si="41"/>
        <v>#NAME?</v>
      </c>
      <c r="S131" t="e">
        <f t="shared" ca="1" si="39"/>
        <v>#NAME?</v>
      </c>
      <c r="T131" t="e">
        <f t="shared" ca="1" si="39"/>
        <v>#NAME?</v>
      </c>
      <c r="U131" t="e">
        <f t="shared" ca="1" si="39"/>
        <v>#NAME?</v>
      </c>
      <c r="V131" t="e">
        <f t="shared" ca="1" si="39"/>
        <v>#NAME?</v>
      </c>
      <c r="W131" t="e">
        <f t="shared" ca="1" si="39"/>
        <v>#NAME?</v>
      </c>
      <c r="X131" t="e">
        <f t="shared" ca="1" si="39"/>
        <v>#NAME?</v>
      </c>
      <c r="Z131" s="15">
        <v>1</v>
      </c>
    </row>
    <row r="132" spans="1:34">
      <c r="A132" s="22" t="s">
        <v>361</v>
      </c>
      <c r="B132" s="121" t="s">
        <v>116</v>
      </c>
      <c r="C132" s="25"/>
      <c r="D132" s="101" t="s">
        <v>118</v>
      </c>
      <c r="E132" s="120" t="s">
        <v>118</v>
      </c>
      <c r="F132" s="121" t="s">
        <v>116</v>
      </c>
      <c r="G132" s="25"/>
      <c r="H132" s="25"/>
      <c r="J132" t="e">
        <f t="shared" ca="1" si="40"/>
        <v>#NAME?</v>
      </c>
      <c r="K132" t="e">
        <f t="shared" ca="1" si="38"/>
        <v>#NAME?</v>
      </c>
      <c r="L132" t="e">
        <f t="shared" ca="1" si="38"/>
        <v>#NAME?</v>
      </c>
      <c r="M132" t="e">
        <f t="shared" ca="1" si="38"/>
        <v>#NAME?</v>
      </c>
      <c r="N132" t="e">
        <f t="shared" ca="1" si="38"/>
        <v>#NAME?</v>
      </c>
      <c r="O132" t="e">
        <f t="shared" ca="1" si="38"/>
        <v>#NAME?</v>
      </c>
      <c r="P132" t="e">
        <f t="shared" ca="1" si="38"/>
        <v>#NAME?</v>
      </c>
      <c r="R132" t="e">
        <f t="shared" ca="1" si="41"/>
        <v>#NAME?</v>
      </c>
      <c r="S132" t="e">
        <f t="shared" ca="1" si="39"/>
        <v>#NAME?</v>
      </c>
      <c r="T132" t="e">
        <f t="shared" ca="1" si="39"/>
        <v>#NAME?</v>
      </c>
      <c r="U132" t="e">
        <f t="shared" ca="1" si="39"/>
        <v>#NAME?</v>
      </c>
      <c r="V132" t="e">
        <f t="shared" ca="1" si="39"/>
        <v>#NAME?</v>
      </c>
      <c r="W132" t="e">
        <f t="shared" ca="1" si="39"/>
        <v>#NAME?</v>
      </c>
      <c r="X132" t="e">
        <f t="shared" ca="1" si="39"/>
        <v>#NAME?</v>
      </c>
      <c r="Z132" s="15">
        <v>1</v>
      </c>
    </row>
    <row r="133" spans="1:34">
      <c r="A133" s="22" t="s">
        <v>362</v>
      </c>
      <c r="B133" s="110" t="s">
        <v>142</v>
      </c>
      <c r="C133" s="120" t="s">
        <v>118</v>
      </c>
      <c r="D133" s="25"/>
      <c r="E133" s="25"/>
      <c r="F133" s="25"/>
      <c r="G133" s="44" t="s">
        <v>186</v>
      </c>
      <c r="H133" s="121" t="s">
        <v>118</v>
      </c>
      <c r="J133" t="e">
        <f t="shared" ca="1" si="40"/>
        <v>#NAME?</v>
      </c>
      <c r="K133" t="e">
        <f t="shared" ca="1" si="38"/>
        <v>#NAME?</v>
      </c>
      <c r="L133" t="e">
        <f t="shared" ca="1" si="38"/>
        <v>#NAME?</v>
      </c>
      <c r="M133" t="e">
        <f t="shared" ca="1" si="38"/>
        <v>#NAME?</v>
      </c>
      <c r="N133" t="e">
        <f t="shared" ca="1" si="38"/>
        <v>#NAME?</v>
      </c>
      <c r="O133" t="e">
        <f t="shared" ca="1" si="38"/>
        <v>#NAME?</v>
      </c>
      <c r="P133" t="e">
        <f t="shared" ca="1" si="38"/>
        <v>#NAME?</v>
      </c>
      <c r="R133" t="e">
        <f t="shared" ca="1" si="41"/>
        <v>#NAME?</v>
      </c>
      <c r="S133" t="e">
        <f t="shared" ca="1" si="39"/>
        <v>#NAME?</v>
      </c>
      <c r="T133" t="e">
        <f t="shared" ca="1" si="39"/>
        <v>#NAME?</v>
      </c>
      <c r="U133" t="e">
        <f t="shared" ca="1" si="39"/>
        <v>#NAME?</v>
      </c>
      <c r="V133" t="e">
        <f t="shared" ca="1" si="39"/>
        <v>#NAME?</v>
      </c>
      <c r="W133" t="e">
        <f t="shared" ca="1" si="39"/>
        <v>#NAME?</v>
      </c>
      <c r="X133" t="e">
        <f t="shared" ca="1" si="39"/>
        <v>#NAME?</v>
      </c>
      <c r="Z133" s="15">
        <v>1</v>
      </c>
    </row>
    <row r="134" spans="1:34">
      <c r="A134" s="22" t="s">
        <v>363</v>
      </c>
      <c r="B134" s="25"/>
      <c r="C134" s="109" t="s">
        <v>404</v>
      </c>
      <c r="D134" s="44" t="s">
        <v>186</v>
      </c>
      <c r="E134" s="121" t="s">
        <v>116</v>
      </c>
      <c r="F134" s="25"/>
      <c r="G134" s="120" t="s">
        <v>116</v>
      </c>
      <c r="H134" s="121" t="s">
        <v>116</v>
      </c>
      <c r="J134" t="e">
        <f t="shared" ca="1" si="40"/>
        <v>#NAME?</v>
      </c>
      <c r="K134" t="e">
        <f t="shared" ca="1" si="38"/>
        <v>#NAME?</v>
      </c>
      <c r="L134" t="e">
        <f t="shared" ca="1" si="38"/>
        <v>#NAME?</v>
      </c>
      <c r="M134" t="e">
        <f t="shared" ca="1" si="38"/>
        <v>#NAME?</v>
      </c>
      <c r="N134" t="e">
        <f t="shared" ca="1" si="38"/>
        <v>#NAME?</v>
      </c>
      <c r="O134" t="e">
        <f t="shared" ca="1" si="38"/>
        <v>#NAME?</v>
      </c>
      <c r="P134" t="e">
        <f t="shared" ca="1" si="38"/>
        <v>#NAME?</v>
      </c>
      <c r="R134" t="e">
        <f t="shared" ca="1" si="41"/>
        <v>#NAME?</v>
      </c>
      <c r="S134" t="e">
        <f t="shared" ca="1" si="39"/>
        <v>#NAME?</v>
      </c>
      <c r="T134" t="e">
        <f t="shared" ca="1" si="39"/>
        <v>#NAME?</v>
      </c>
      <c r="U134" t="e">
        <f t="shared" ca="1" si="39"/>
        <v>#NAME?</v>
      </c>
      <c r="V134" t="e">
        <f t="shared" ca="1" si="39"/>
        <v>#NAME?</v>
      </c>
      <c r="W134" t="e">
        <f t="shared" ca="1" si="39"/>
        <v>#NAME?</v>
      </c>
      <c r="X134" t="e">
        <f t="shared" ca="1" si="39"/>
        <v>#NAME?</v>
      </c>
      <c r="Z134" s="15">
        <v>1</v>
      </c>
    </row>
    <row r="135" spans="1:34">
      <c r="A135" s="22" t="s">
        <v>364</v>
      </c>
      <c r="B135" s="25"/>
      <c r="C135" s="101" t="s">
        <v>116</v>
      </c>
      <c r="D135" s="44" t="s">
        <v>189</v>
      </c>
      <c r="E135" s="120" t="s">
        <v>116</v>
      </c>
      <c r="F135" s="25"/>
      <c r="G135" s="121" t="s">
        <v>118</v>
      </c>
      <c r="H135" s="120" t="s">
        <v>118</v>
      </c>
      <c r="J135" t="e">
        <f t="shared" ca="1" si="40"/>
        <v>#NAME?</v>
      </c>
      <c r="K135" t="e">
        <f t="shared" ca="1" si="38"/>
        <v>#NAME?</v>
      </c>
      <c r="L135" t="e">
        <f t="shared" ca="1" si="38"/>
        <v>#NAME?</v>
      </c>
      <c r="M135" t="e">
        <f t="shared" ca="1" si="38"/>
        <v>#NAME?</v>
      </c>
      <c r="N135" t="e">
        <f t="shared" ca="1" si="38"/>
        <v>#NAME?</v>
      </c>
      <c r="O135" t="e">
        <f t="shared" ca="1" si="38"/>
        <v>#NAME?</v>
      </c>
      <c r="P135" t="e">
        <f t="shared" ca="1" si="38"/>
        <v>#NAME?</v>
      </c>
      <c r="R135" t="e">
        <f t="shared" ca="1" si="41"/>
        <v>#NAME?</v>
      </c>
      <c r="S135" t="e">
        <f t="shared" ca="1" si="39"/>
        <v>#NAME?</v>
      </c>
      <c r="T135" t="e">
        <f t="shared" ca="1" si="39"/>
        <v>#NAME?</v>
      </c>
      <c r="U135" t="e">
        <f t="shared" ca="1" si="39"/>
        <v>#NAME?</v>
      </c>
      <c r="V135" t="e">
        <f t="shared" ca="1" si="39"/>
        <v>#NAME?</v>
      </c>
      <c r="W135" t="e">
        <f t="shared" ca="1" si="39"/>
        <v>#NAME?</v>
      </c>
      <c r="X135" t="e">
        <f t="shared" ca="1" si="39"/>
        <v>#NAME?</v>
      </c>
      <c r="Z135" s="15">
        <v>1</v>
      </c>
    </row>
    <row r="136" spans="1:34">
      <c r="A136" s="22" t="s">
        <v>365</v>
      </c>
      <c r="B136" s="25"/>
      <c r="C136" s="25"/>
      <c r="D136" s="25"/>
      <c r="E136" s="101" t="s">
        <v>118</v>
      </c>
      <c r="F136" s="120" t="s">
        <v>118</v>
      </c>
      <c r="G136" s="44" t="s">
        <v>189</v>
      </c>
      <c r="H136" s="110" t="s">
        <v>139</v>
      </c>
      <c r="J136" t="e">
        <f t="shared" ca="1" si="40"/>
        <v>#NAME?</v>
      </c>
      <c r="K136" t="e">
        <f t="shared" ca="1" si="38"/>
        <v>#NAME?</v>
      </c>
      <c r="L136" t="e">
        <f t="shared" ca="1" si="38"/>
        <v>#NAME?</v>
      </c>
      <c r="M136" t="e">
        <f t="shared" ca="1" si="38"/>
        <v>#NAME?</v>
      </c>
      <c r="N136" t="e">
        <f t="shared" ca="1" si="38"/>
        <v>#NAME?</v>
      </c>
      <c r="O136" t="e">
        <f t="shared" ca="1" si="38"/>
        <v>#NAME?</v>
      </c>
      <c r="P136" t="e">
        <f t="shared" ca="1" si="38"/>
        <v>#NAME?</v>
      </c>
      <c r="R136" t="e">
        <f t="shared" ca="1" si="41"/>
        <v>#NAME?</v>
      </c>
      <c r="S136" t="e">
        <f t="shared" ca="1" si="39"/>
        <v>#NAME?</v>
      </c>
      <c r="T136" t="e">
        <f t="shared" ca="1" si="39"/>
        <v>#NAME?</v>
      </c>
      <c r="U136" t="e">
        <f t="shared" ca="1" si="39"/>
        <v>#NAME?</v>
      </c>
      <c r="V136" t="e">
        <f t="shared" ca="1" si="39"/>
        <v>#NAME?</v>
      </c>
      <c r="W136" t="e">
        <f t="shared" ca="1" si="39"/>
        <v>#NAME?</v>
      </c>
      <c r="X136" t="e">
        <f t="shared" ca="1" si="39"/>
        <v>#NAME?</v>
      </c>
      <c r="Z136" s="15">
        <v>1</v>
      </c>
    </row>
    <row r="137" spans="1:34">
      <c r="A137" s="106" t="s">
        <v>223</v>
      </c>
      <c r="B137" s="107" t="str">
        <f t="shared" ref="B137:H137" si="43">B102</f>
        <v>Mon 29 Jun</v>
      </c>
      <c r="C137" s="107" t="str">
        <f t="shared" si="43"/>
        <v>Tues 30 Jun</v>
      </c>
      <c r="D137" s="107" t="str">
        <f t="shared" si="43"/>
        <v>Wed 1 Jul</v>
      </c>
      <c r="E137" s="107" t="str">
        <f t="shared" si="43"/>
        <v>Thu 2 Jul</v>
      </c>
      <c r="F137" s="107" t="str">
        <f t="shared" si="43"/>
        <v>Fri 3 Jul</v>
      </c>
      <c r="G137" s="107" t="str">
        <f t="shared" si="43"/>
        <v>Sat 4 Jul</v>
      </c>
      <c r="H137" s="107" t="str">
        <f t="shared" si="43"/>
        <v>Sun 5 Jul</v>
      </c>
      <c r="J137" t="e">
        <f t="shared" ca="1" si="40"/>
        <v>#NAME?</v>
      </c>
      <c r="K137" t="e">
        <f t="shared" ca="1" si="38"/>
        <v>#NAME?</v>
      </c>
      <c r="L137" t="e">
        <f t="shared" ca="1" si="38"/>
        <v>#NAME?</v>
      </c>
      <c r="M137" t="e">
        <f t="shared" ca="1" si="38"/>
        <v>#NAME?</v>
      </c>
      <c r="N137" t="e">
        <f t="shared" ca="1" si="38"/>
        <v>#NAME?</v>
      </c>
      <c r="O137" t="e">
        <f t="shared" ca="1" si="38"/>
        <v>#NAME?</v>
      </c>
      <c r="P137" t="e">
        <f t="shared" ca="1" si="38"/>
        <v>#NAME?</v>
      </c>
      <c r="R137" t="e">
        <f t="shared" ca="1" si="41"/>
        <v>#NAME?</v>
      </c>
      <c r="S137" t="e">
        <f t="shared" ca="1" si="39"/>
        <v>#NAME?</v>
      </c>
      <c r="T137" t="e">
        <f t="shared" ca="1" si="39"/>
        <v>#NAME?</v>
      </c>
      <c r="U137" t="e">
        <f t="shared" ca="1" si="39"/>
        <v>#NAME?</v>
      </c>
      <c r="V137" t="e">
        <f t="shared" ca="1" si="39"/>
        <v>#NAME?</v>
      </c>
      <c r="W137" t="e">
        <f t="shared" ca="1" si="39"/>
        <v>#NAME?</v>
      </c>
      <c r="X137" t="e">
        <f t="shared" ca="1" si="39"/>
        <v>#NAME?</v>
      </c>
      <c r="Z137" s="53">
        <f>SUM(Z129:Z136)</f>
        <v>8</v>
      </c>
      <c r="AA137" s="55"/>
      <c r="AB137" s="55"/>
      <c r="AC137" s="55"/>
    </row>
    <row r="138" spans="1:34">
      <c r="A138" s="21" t="s">
        <v>406</v>
      </c>
      <c r="B138" s="25" t="s">
        <v>152</v>
      </c>
      <c r="C138" s="25" t="s">
        <v>152</v>
      </c>
      <c r="D138" s="25" t="s">
        <v>152</v>
      </c>
      <c r="E138" s="25" t="s">
        <v>152</v>
      </c>
      <c r="F138" s="25"/>
      <c r="G138" s="25"/>
      <c r="H138" s="25"/>
      <c r="J138" t="e">
        <f t="shared" ca="1" si="40"/>
        <v>#NAME?</v>
      </c>
      <c r="K138" t="e">
        <f t="shared" ca="1" si="38"/>
        <v>#NAME?</v>
      </c>
      <c r="L138" t="e">
        <f t="shared" ca="1" si="38"/>
        <v>#NAME?</v>
      </c>
      <c r="M138" t="e">
        <f t="shared" ca="1" si="38"/>
        <v>#NAME?</v>
      </c>
      <c r="N138" t="e">
        <f t="shared" ref="N138:P141" ca="1" si="44">colorindex(F138)</f>
        <v>#NAME?</v>
      </c>
      <c r="O138" t="e">
        <f t="shared" ca="1" si="44"/>
        <v>#NAME?</v>
      </c>
      <c r="P138" t="e">
        <f t="shared" ca="1" si="44"/>
        <v>#NAME?</v>
      </c>
      <c r="R138" t="e">
        <f t="shared" ca="1" si="41"/>
        <v>#NAME?</v>
      </c>
      <c r="S138" t="e">
        <f t="shared" ca="1" si="39"/>
        <v>#NAME?</v>
      </c>
      <c r="T138" t="e">
        <f t="shared" ca="1" si="39"/>
        <v>#NAME?</v>
      </c>
      <c r="U138" t="e">
        <f t="shared" ca="1" si="39"/>
        <v>#NAME?</v>
      </c>
      <c r="V138" t="e">
        <f t="shared" ref="V138:X141" ca="1" si="45">ShiftIndex(F138)</f>
        <v>#NAME?</v>
      </c>
      <c r="W138" t="e">
        <f t="shared" ca="1" si="45"/>
        <v>#NAME?</v>
      </c>
      <c r="X138" t="e">
        <f t="shared" ca="1" si="45"/>
        <v>#NAME?</v>
      </c>
      <c r="AA138" s="56"/>
      <c r="AB138" s="55"/>
      <c r="AC138" s="56"/>
    </row>
    <row r="139" spans="1:34">
      <c r="A139" s="21"/>
      <c r="B139" s="25"/>
      <c r="C139" s="25"/>
      <c r="D139" s="25"/>
      <c r="E139" s="25"/>
      <c r="F139" s="25"/>
      <c r="G139" s="25"/>
      <c r="H139" s="25"/>
      <c r="J139" t="e">
        <f t="shared" ca="1" si="40"/>
        <v>#NAME?</v>
      </c>
      <c r="K139" t="e">
        <f t="shared" ca="1" si="40"/>
        <v>#NAME?</v>
      </c>
      <c r="L139" t="e">
        <f t="shared" ca="1" si="40"/>
        <v>#NAME?</v>
      </c>
      <c r="M139" t="e">
        <f t="shared" ca="1" si="40"/>
        <v>#NAME?</v>
      </c>
      <c r="N139" t="e">
        <f t="shared" ca="1" si="44"/>
        <v>#NAME?</v>
      </c>
      <c r="O139" t="e">
        <f t="shared" ca="1" si="44"/>
        <v>#NAME?</v>
      </c>
      <c r="P139" t="e">
        <f t="shared" ca="1" si="44"/>
        <v>#NAME?</v>
      </c>
      <c r="R139" t="e">
        <f t="shared" ca="1" si="41"/>
        <v>#NAME?</v>
      </c>
      <c r="S139" t="e">
        <f t="shared" ca="1" si="41"/>
        <v>#NAME?</v>
      </c>
      <c r="T139" t="e">
        <f t="shared" ca="1" si="41"/>
        <v>#NAME?</v>
      </c>
      <c r="U139" t="e">
        <f t="shared" ca="1" si="41"/>
        <v>#NAME?</v>
      </c>
      <c r="V139" t="e">
        <f t="shared" ca="1" si="45"/>
        <v>#NAME?</v>
      </c>
      <c r="W139" t="e">
        <f t="shared" ca="1" si="45"/>
        <v>#NAME?</v>
      </c>
      <c r="X139" t="e">
        <f t="shared" ca="1" si="45"/>
        <v>#NAME?</v>
      </c>
      <c r="AA139" s="56"/>
      <c r="AB139" s="55"/>
      <c r="AC139" s="56"/>
    </row>
    <row r="140" spans="1:34" s="6" customFormat="1" ht="15" customHeight="1">
      <c r="A140" s="106" t="s">
        <v>235</v>
      </c>
      <c r="B140" s="107" t="str">
        <f t="shared" ref="B140:H140" si="46">B137</f>
        <v>Mon 29 Jun</v>
      </c>
      <c r="C140" s="107" t="str">
        <f t="shared" si="46"/>
        <v>Tues 30 Jun</v>
      </c>
      <c r="D140" s="107" t="str">
        <f t="shared" si="46"/>
        <v>Wed 1 Jul</v>
      </c>
      <c r="E140" s="107" t="str">
        <f t="shared" si="46"/>
        <v>Thu 2 Jul</v>
      </c>
      <c r="F140" s="107" t="str">
        <f t="shared" si="46"/>
        <v>Fri 3 Jul</v>
      </c>
      <c r="G140" s="107" t="str">
        <f t="shared" si="46"/>
        <v>Sat 4 Jul</v>
      </c>
      <c r="H140" s="107" t="str">
        <f t="shared" si="46"/>
        <v>Sun 5 Jul</v>
      </c>
      <c r="J140" t="e">
        <f t="shared" ca="1" si="40"/>
        <v>#NAME?</v>
      </c>
      <c r="K140" t="e">
        <f t="shared" ca="1" si="40"/>
        <v>#NAME?</v>
      </c>
      <c r="L140" t="e">
        <f t="shared" ca="1" si="40"/>
        <v>#NAME?</v>
      </c>
      <c r="M140" t="e">
        <f t="shared" ca="1" si="40"/>
        <v>#NAME?</v>
      </c>
      <c r="N140" t="e">
        <f t="shared" ca="1" si="44"/>
        <v>#NAME?</v>
      </c>
      <c r="O140" t="e">
        <f t="shared" ca="1" si="44"/>
        <v>#NAME?</v>
      </c>
      <c r="P140" t="e">
        <f t="shared" ca="1" si="44"/>
        <v>#NAME?</v>
      </c>
      <c r="Q140"/>
      <c r="R140" t="e">
        <f t="shared" ca="1" si="41"/>
        <v>#NAME?</v>
      </c>
      <c r="S140" t="e">
        <f t="shared" ca="1" si="41"/>
        <v>#NAME?</v>
      </c>
      <c r="T140" t="e">
        <f t="shared" ca="1" si="41"/>
        <v>#NAME?</v>
      </c>
      <c r="U140" t="e">
        <f t="shared" ca="1" si="41"/>
        <v>#NAME?</v>
      </c>
      <c r="V140" t="e">
        <f t="shared" ca="1" si="45"/>
        <v>#NAME?</v>
      </c>
      <c r="W140" t="e">
        <f t="shared" ca="1" si="45"/>
        <v>#NAME?</v>
      </c>
      <c r="X140" t="e">
        <f t="shared" ca="1" si="45"/>
        <v>#NAME?</v>
      </c>
      <c r="Y140" s="11"/>
      <c r="Z140" s="14"/>
      <c r="AA140" s="11"/>
      <c r="AB140" s="11"/>
      <c r="AC140" s="11"/>
      <c r="AD140" s="11"/>
      <c r="AE140" s="11"/>
      <c r="AF140" s="11"/>
      <c r="AG140" s="11"/>
      <c r="AH140" s="11"/>
    </row>
    <row r="141" spans="1:34" s="11" customFormat="1" ht="15" customHeight="1">
      <c r="A141" s="13" t="s">
        <v>236</v>
      </c>
      <c r="B141" s="28" t="s">
        <v>366</v>
      </c>
      <c r="C141" s="28" t="s">
        <v>366</v>
      </c>
      <c r="D141" s="28" t="s">
        <v>366</v>
      </c>
      <c r="E141" s="28" t="s">
        <v>366</v>
      </c>
      <c r="F141" s="28" t="s">
        <v>366</v>
      </c>
      <c r="G141" s="28" t="s">
        <v>366</v>
      </c>
      <c r="H141" s="28" t="s">
        <v>366</v>
      </c>
      <c r="J141" t="e">
        <f t="shared" ca="1" si="40"/>
        <v>#NAME?</v>
      </c>
      <c r="K141" t="e">
        <f t="shared" ca="1" si="40"/>
        <v>#NAME?</v>
      </c>
      <c r="L141" t="e">
        <f t="shared" ca="1" si="40"/>
        <v>#NAME?</v>
      </c>
      <c r="M141" t="e">
        <f t="shared" ca="1" si="40"/>
        <v>#NAME?</v>
      </c>
      <c r="N141" t="e">
        <f t="shared" ca="1" si="44"/>
        <v>#NAME?</v>
      </c>
      <c r="O141" t="e">
        <f t="shared" ca="1" si="44"/>
        <v>#NAME?</v>
      </c>
      <c r="P141" t="e">
        <f t="shared" ca="1" si="44"/>
        <v>#NAME?</v>
      </c>
      <c r="Q141"/>
      <c r="R141" t="e">
        <f t="shared" ca="1" si="41"/>
        <v>#NAME?</v>
      </c>
      <c r="S141" t="e">
        <f t="shared" ca="1" si="41"/>
        <v>#NAME?</v>
      </c>
      <c r="T141" t="e">
        <f t="shared" ca="1" si="41"/>
        <v>#NAME?</v>
      </c>
      <c r="U141" t="e">
        <f t="shared" ca="1" si="41"/>
        <v>#NAME?</v>
      </c>
      <c r="V141" t="e">
        <f t="shared" ca="1" si="45"/>
        <v>#NAME?</v>
      </c>
      <c r="W141" t="e">
        <f t="shared" ca="1" si="45"/>
        <v>#NAME?</v>
      </c>
      <c r="X141" t="e">
        <f t="shared" ca="1" si="45"/>
        <v>#NAME?</v>
      </c>
      <c r="Z141" s="12"/>
      <c r="AA141"/>
    </row>
    <row r="142" spans="1:34">
      <c r="A142" s="106" t="s">
        <v>242</v>
      </c>
      <c r="B142" s="107" t="str">
        <f t="shared" ref="B142:H142" si="47">B59</f>
        <v>Mon 29 Jun</v>
      </c>
      <c r="C142" s="107" t="str">
        <f t="shared" si="47"/>
        <v>Tues 30 Jun</v>
      </c>
      <c r="D142" s="107" t="str">
        <f t="shared" si="47"/>
        <v>Wed 1 Jul</v>
      </c>
      <c r="E142" s="107" t="str">
        <f t="shared" si="47"/>
        <v>Thu 2 Jul</v>
      </c>
      <c r="F142" s="107" t="str">
        <f t="shared" si="47"/>
        <v>Fri 3 Jul</v>
      </c>
      <c r="G142" s="107" t="str">
        <f t="shared" si="47"/>
        <v>Sat 4 Jul</v>
      </c>
      <c r="H142" s="107" t="str">
        <f t="shared" si="47"/>
        <v>Sun 5 Jul</v>
      </c>
    </row>
    <row r="143" spans="1:34">
      <c r="A143" s="27" t="s">
        <v>243</v>
      </c>
      <c r="B143" s="17">
        <f t="shared" ref="B143:H143" ca="1" si="48">COUNTIFS(J:J,"Red",R:R,"AM")</f>
        <v>0</v>
      </c>
      <c r="C143" s="17">
        <f t="shared" ca="1" si="48"/>
        <v>0</v>
      </c>
      <c r="D143" s="17">
        <f t="shared" ca="1" si="48"/>
        <v>0</v>
      </c>
      <c r="E143" s="17">
        <f t="shared" ca="1" si="48"/>
        <v>0</v>
      </c>
      <c r="F143" s="17">
        <f t="shared" ca="1" si="48"/>
        <v>0</v>
      </c>
      <c r="G143" s="17">
        <f t="shared" ca="1" si="48"/>
        <v>0</v>
      </c>
      <c r="H143" s="17">
        <f t="shared" ca="1" si="48"/>
        <v>0</v>
      </c>
    </row>
    <row r="144" spans="1:34">
      <c r="A144" s="2" t="s">
        <v>244</v>
      </c>
      <c r="B144" s="17">
        <f t="shared" ref="B144:H144" ca="1" si="49">COUNTIFS(J:J,"Green",R:R,"AM")</f>
        <v>0</v>
      </c>
      <c r="C144" s="17">
        <f t="shared" ca="1" si="49"/>
        <v>0</v>
      </c>
      <c r="D144" s="17">
        <f t="shared" ca="1" si="49"/>
        <v>0</v>
      </c>
      <c r="E144" s="17">
        <f t="shared" ca="1" si="49"/>
        <v>0</v>
      </c>
      <c r="F144" s="17">
        <f t="shared" ca="1" si="49"/>
        <v>0</v>
      </c>
      <c r="G144" s="17">
        <f t="shared" ca="1" si="49"/>
        <v>0</v>
      </c>
      <c r="H144" s="17">
        <f t="shared" ca="1" si="49"/>
        <v>0</v>
      </c>
    </row>
    <row r="145" spans="1:26">
      <c r="A145" s="26" t="s">
        <v>245</v>
      </c>
      <c r="B145" s="17">
        <f t="shared" ref="B145:H145" ca="1" si="50">COUNTIFS(J:J,"Gold",R:R,"AM")</f>
        <v>0</v>
      </c>
      <c r="C145" s="17">
        <f t="shared" ca="1" si="50"/>
        <v>0</v>
      </c>
      <c r="D145" s="17">
        <f t="shared" ca="1" si="50"/>
        <v>0</v>
      </c>
      <c r="E145" s="17">
        <f t="shared" ca="1" si="50"/>
        <v>0</v>
      </c>
      <c r="F145" s="17">
        <f t="shared" ca="1" si="50"/>
        <v>0</v>
      </c>
      <c r="G145" s="17">
        <f t="shared" ca="1" si="50"/>
        <v>0</v>
      </c>
      <c r="H145" s="17">
        <f t="shared" ca="1" si="50"/>
        <v>0</v>
      </c>
    </row>
    <row r="146" spans="1:26">
      <c r="A146" s="29" t="s">
        <v>246</v>
      </c>
      <c r="B146" s="17">
        <f t="shared" ref="B146:H146" ca="1" si="51">COUNTIFS(J:J,"LGreen",R:R,"AM")</f>
        <v>0</v>
      </c>
      <c r="C146" s="17">
        <f t="shared" ca="1" si="51"/>
        <v>0</v>
      </c>
      <c r="D146" s="17">
        <f t="shared" ca="1" si="51"/>
        <v>0</v>
      </c>
      <c r="E146" s="17">
        <f t="shared" ca="1" si="51"/>
        <v>0</v>
      </c>
      <c r="F146" s="17">
        <f t="shared" ca="1" si="51"/>
        <v>0</v>
      </c>
      <c r="G146" s="17">
        <f t="shared" ca="1" si="51"/>
        <v>0</v>
      </c>
      <c r="H146" s="17">
        <f t="shared" ca="1" si="51"/>
        <v>0</v>
      </c>
    </row>
    <row r="147" spans="1:26">
      <c r="A147" s="43" t="s">
        <v>26</v>
      </c>
      <c r="B147" s="17">
        <f t="shared" ref="B147:H147" ca="1" si="52">COUNTIFS(J:J,"Blue",R:R,"AM")</f>
        <v>0</v>
      </c>
      <c r="C147" s="17">
        <f t="shared" ca="1" si="52"/>
        <v>0</v>
      </c>
      <c r="D147" s="17">
        <f t="shared" ca="1" si="52"/>
        <v>0</v>
      </c>
      <c r="E147" s="17">
        <f t="shared" ca="1" si="52"/>
        <v>0</v>
      </c>
      <c r="F147" s="17">
        <f t="shared" ca="1" si="52"/>
        <v>0</v>
      </c>
      <c r="G147" s="17">
        <f t="shared" ca="1" si="52"/>
        <v>0</v>
      </c>
      <c r="H147" s="17">
        <f t="shared" ca="1" si="52"/>
        <v>0</v>
      </c>
    </row>
    <row r="148" spans="1:26">
      <c r="A148" s="3" t="s">
        <v>16</v>
      </c>
      <c r="B148" s="17">
        <f t="shared" ref="B148:H148" ca="1" si="53">COUNTIFS(J:J,"Pink",R:R,"AM")</f>
        <v>0</v>
      </c>
      <c r="C148" s="17">
        <f t="shared" ca="1" si="53"/>
        <v>0</v>
      </c>
      <c r="D148" s="17">
        <f t="shared" ca="1" si="53"/>
        <v>0</v>
      </c>
      <c r="E148" s="17">
        <f t="shared" ca="1" si="53"/>
        <v>0</v>
      </c>
      <c r="F148" s="17">
        <f t="shared" ca="1" si="53"/>
        <v>0</v>
      </c>
      <c r="G148" s="17">
        <f t="shared" ca="1" si="53"/>
        <v>0</v>
      </c>
      <c r="H148" s="17">
        <f t="shared" ca="1" si="53"/>
        <v>0</v>
      </c>
    </row>
    <row r="149" spans="1:26">
      <c r="A149" s="5" t="s">
        <v>247</v>
      </c>
      <c r="B149" s="17">
        <f t="shared" ref="B149:H149" ca="1" si="54">COUNTIFS(R:R,"AM") - B143-B144-B145-B146-B147-B148</f>
        <v>0</v>
      </c>
      <c r="C149" s="17">
        <f t="shared" ca="1" si="54"/>
        <v>1</v>
      </c>
      <c r="D149" s="17">
        <f t="shared" ca="1" si="54"/>
        <v>0</v>
      </c>
      <c r="E149" s="17">
        <f t="shared" ca="1" si="54"/>
        <v>0</v>
      </c>
      <c r="F149" s="17">
        <f t="shared" ca="1" si="54"/>
        <v>0</v>
      </c>
      <c r="G149" s="17">
        <f t="shared" ca="1" si="54"/>
        <v>1</v>
      </c>
      <c r="H149" s="17">
        <f t="shared" ca="1" si="54"/>
        <v>0</v>
      </c>
    </row>
    <row r="150" spans="1:26" s="46" customFormat="1">
      <c r="A150" s="45" t="s">
        <v>248</v>
      </c>
      <c r="B150" s="47">
        <f ca="1">SUM(B143:B148)</f>
        <v>0</v>
      </c>
      <c r="C150" s="47">
        <f t="shared" ref="C150:H150" ca="1" si="55">SUM(C143:C148)</f>
        <v>0</v>
      </c>
      <c r="D150" s="47">
        <f t="shared" ca="1" si="55"/>
        <v>0</v>
      </c>
      <c r="E150" s="47">
        <f t="shared" ca="1" si="55"/>
        <v>0</v>
      </c>
      <c r="F150" s="47">
        <f t="shared" ca="1" si="55"/>
        <v>0</v>
      </c>
      <c r="G150" s="47">
        <f t="shared" ca="1" si="55"/>
        <v>0</v>
      </c>
      <c r="H150" s="47">
        <f t="shared" ca="1" si="55"/>
        <v>0</v>
      </c>
      <c r="Z150" s="48"/>
    </row>
    <row r="151" spans="1:26">
      <c r="A151" s="27" t="s">
        <v>249</v>
      </c>
      <c r="B151" s="17">
        <f t="shared" ref="B151:H151" ca="1" si="56">COUNTIFS(J:J,"Red",R:R,"PM")</f>
        <v>0</v>
      </c>
      <c r="C151" s="17">
        <f t="shared" ca="1" si="56"/>
        <v>0</v>
      </c>
      <c r="D151" s="17">
        <f t="shared" ca="1" si="56"/>
        <v>0</v>
      </c>
      <c r="E151" s="17">
        <f t="shared" ca="1" si="56"/>
        <v>0</v>
      </c>
      <c r="F151" s="17">
        <f t="shared" ca="1" si="56"/>
        <v>0</v>
      </c>
      <c r="G151" s="17">
        <f t="shared" ca="1" si="56"/>
        <v>0</v>
      </c>
      <c r="H151" s="17">
        <f t="shared" ca="1" si="56"/>
        <v>0</v>
      </c>
    </row>
    <row r="152" spans="1:26">
      <c r="A152" s="2" t="s">
        <v>250</v>
      </c>
      <c r="B152" s="17">
        <f t="shared" ref="B152:H152" ca="1" si="57">COUNTIFS(J:J,"Green",R:R,"PM")</f>
        <v>0</v>
      </c>
      <c r="C152" s="17">
        <f t="shared" ca="1" si="57"/>
        <v>0</v>
      </c>
      <c r="D152" s="17">
        <f t="shared" ca="1" si="57"/>
        <v>0</v>
      </c>
      <c r="E152" s="17">
        <f t="shared" ca="1" si="57"/>
        <v>0</v>
      </c>
      <c r="F152" s="17">
        <f t="shared" ca="1" si="57"/>
        <v>0</v>
      </c>
      <c r="G152" s="17">
        <f t="shared" ca="1" si="57"/>
        <v>0</v>
      </c>
      <c r="H152" s="17">
        <f t="shared" ca="1" si="57"/>
        <v>0</v>
      </c>
    </row>
    <row r="153" spans="1:26">
      <c r="A153" s="26" t="s">
        <v>251</v>
      </c>
      <c r="B153" s="17">
        <f t="shared" ref="B153:H153" ca="1" si="58">COUNTIFS(J:J,"Gold",R:R,"PM")</f>
        <v>0</v>
      </c>
      <c r="C153" s="17">
        <f t="shared" ca="1" si="58"/>
        <v>0</v>
      </c>
      <c r="D153" s="17">
        <f t="shared" ca="1" si="58"/>
        <v>0</v>
      </c>
      <c r="E153" s="17">
        <f t="shared" ca="1" si="58"/>
        <v>0</v>
      </c>
      <c r="F153" s="17">
        <f t="shared" ca="1" si="58"/>
        <v>0</v>
      </c>
      <c r="G153" s="17">
        <f t="shared" ca="1" si="58"/>
        <v>0</v>
      </c>
      <c r="H153" s="17">
        <f t="shared" ca="1" si="58"/>
        <v>0</v>
      </c>
    </row>
    <row r="154" spans="1:26">
      <c r="A154" s="29" t="s">
        <v>252</v>
      </c>
      <c r="B154" s="17">
        <f t="shared" ref="B154:H154" ca="1" si="59">COUNTIFS(J:J,"LGreen",R:R,"PM")</f>
        <v>0</v>
      </c>
      <c r="C154" s="17">
        <f t="shared" ca="1" si="59"/>
        <v>0</v>
      </c>
      <c r="D154" s="17">
        <f t="shared" ca="1" si="59"/>
        <v>0</v>
      </c>
      <c r="E154" s="17">
        <f t="shared" ca="1" si="59"/>
        <v>0</v>
      </c>
      <c r="F154" s="17">
        <f t="shared" ca="1" si="59"/>
        <v>0</v>
      </c>
      <c r="G154" s="17">
        <f t="shared" ca="1" si="59"/>
        <v>0</v>
      </c>
      <c r="H154" s="17">
        <f t="shared" ca="1" si="59"/>
        <v>0</v>
      </c>
    </row>
    <row r="155" spans="1:26">
      <c r="A155" s="10" t="s">
        <v>253</v>
      </c>
      <c r="B155" s="17">
        <f t="shared" ref="B155:H155" ca="1" si="60">COUNTIFS(J:J,"Blue",R:R,"PM")</f>
        <v>0</v>
      </c>
      <c r="C155" s="17">
        <f t="shared" ca="1" si="60"/>
        <v>0</v>
      </c>
      <c r="D155" s="17">
        <f t="shared" ca="1" si="60"/>
        <v>0</v>
      </c>
      <c r="E155" s="17">
        <f t="shared" ca="1" si="60"/>
        <v>0</v>
      </c>
      <c r="F155" s="17">
        <f t="shared" ca="1" si="60"/>
        <v>0</v>
      </c>
      <c r="G155" s="17">
        <f t="shared" ca="1" si="60"/>
        <v>0</v>
      </c>
      <c r="H155" s="17">
        <f t="shared" ca="1" si="60"/>
        <v>0</v>
      </c>
    </row>
    <row r="156" spans="1:26">
      <c r="A156" s="3" t="s">
        <v>59</v>
      </c>
      <c r="B156" s="17">
        <f t="shared" ref="B156:H156" ca="1" si="61">COUNTIFS(J:J,"Pink",R:R,"PM")</f>
        <v>0</v>
      </c>
      <c r="C156" s="17">
        <f t="shared" ca="1" si="61"/>
        <v>0</v>
      </c>
      <c r="D156" s="17">
        <f t="shared" ca="1" si="61"/>
        <v>0</v>
      </c>
      <c r="E156" s="17">
        <f t="shared" ca="1" si="61"/>
        <v>0</v>
      </c>
      <c r="F156" s="17">
        <f t="shared" ca="1" si="61"/>
        <v>0</v>
      </c>
      <c r="G156" s="17">
        <f t="shared" ca="1" si="61"/>
        <v>0</v>
      </c>
      <c r="H156" s="17">
        <f t="shared" ca="1" si="61"/>
        <v>0</v>
      </c>
    </row>
    <row r="157" spans="1:26">
      <c r="A157" s="5" t="s">
        <v>254</v>
      </c>
      <c r="B157" s="17">
        <f t="shared" ref="B157:H157" ca="1" si="62">COUNTIFS(R:R,"PM") -B152-B153-B156-B155-B151-B154</f>
        <v>0</v>
      </c>
      <c r="C157" s="17">
        <f t="shared" ca="1" si="62"/>
        <v>0</v>
      </c>
      <c r="D157" s="17">
        <f t="shared" ca="1" si="62"/>
        <v>0</v>
      </c>
      <c r="E157" s="17">
        <f t="shared" ca="1" si="62"/>
        <v>0</v>
      </c>
      <c r="F157" s="17">
        <f t="shared" ca="1" si="62"/>
        <v>0</v>
      </c>
      <c r="G157" s="17">
        <f t="shared" ca="1" si="62"/>
        <v>0</v>
      </c>
      <c r="H157" s="17">
        <f t="shared" ca="1" si="62"/>
        <v>0</v>
      </c>
    </row>
    <row r="158" spans="1:26" s="46" customFormat="1">
      <c r="A158" s="45" t="s">
        <v>255</v>
      </c>
      <c r="B158" s="47">
        <f ca="1">SUM(B151:B156)</f>
        <v>0</v>
      </c>
      <c r="C158" s="47">
        <f t="shared" ref="C158:H158" ca="1" si="63">SUM(C151:C156)</f>
        <v>0</v>
      </c>
      <c r="D158" s="47">
        <f t="shared" ca="1" si="63"/>
        <v>0</v>
      </c>
      <c r="E158" s="47">
        <f t="shared" ca="1" si="63"/>
        <v>0</v>
      </c>
      <c r="F158" s="47">
        <f t="shared" ca="1" si="63"/>
        <v>0</v>
      </c>
      <c r="G158" s="47">
        <f t="shared" ca="1" si="63"/>
        <v>0</v>
      </c>
      <c r="H158" s="47">
        <f t="shared" ca="1" si="63"/>
        <v>0</v>
      </c>
      <c r="Z158" s="48"/>
    </row>
    <row r="159" spans="1:26">
      <c r="A159" s="4" t="s">
        <v>256</v>
      </c>
      <c r="B159" s="17">
        <f t="shared" ref="B159:H159" ca="1" si="64">COUNTIFS(R:R,"ND")</f>
        <v>0</v>
      </c>
      <c r="C159" s="17">
        <f t="shared" ca="1" si="64"/>
        <v>0</v>
      </c>
      <c r="D159" s="17">
        <f t="shared" ca="1" si="64"/>
        <v>0</v>
      </c>
      <c r="E159" s="17">
        <f t="shared" ca="1" si="64"/>
        <v>0</v>
      </c>
      <c r="F159" s="17">
        <f t="shared" ca="1" si="64"/>
        <v>0</v>
      </c>
      <c r="G159" s="17">
        <f t="shared" ca="1" si="64"/>
        <v>0</v>
      </c>
      <c r="H159" s="17">
        <f t="shared" ca="1" si="64"/>
        <v>0</v>
      </c>
    </row>
    <row r="160" spans="1:26">
      <c r="I160" s="9"/>
    </row>
    <row r="161" spans="1:26">
      <c r="A161" s="8"/>
      <c r="B161" s="18"/>
      <c r="C161" s="18"/>
      <c r="D161" s="19"/>
      <c r="E161" s="18"/>
      <c r="F161" s="18"/>
      <c r="G161" s="18"/>
      <c r="H161" s="20"/>
      <c r="Z161" s="23"/>
    </row>
    <row r="162" spans="1:26">
      <c r="D162" s="19"/>
    </row>
  </sheetData>
  <sortState xmlns:xlrd2="http://schemas.microsoft.com/office/spreadsheetml/2017/richdata2" ref="A2:H97">
    <sortCondition ref="A92"/>
  </sortState>
  <mergeCells count="25">
    <mergeCell ref="B130:H130"/>
    <mergeCell ref="B100:H100"/>
    <mergeCell ref="B30:H30"/>
    <mergeCell ref="B31:H31"/>
    <mergeCell ref="B32:H32"/>
    <mergeCell ref="B36:H36"/>
    <mergeCell ref="B113:H113"/>
    <mergeCell ref="B110:H110"/>
    <mergeCell ref="B108:H108"/>
    <mergeCell ref="B78:H78"/>
    <mergeCell ref="B85:H85"/>
    <mergeCell ref="G92:H92"/>
    <mergeCell ref="B38:H38"/>
    <mergeCell ref="B37:H37"/>
    <mergeCell ref="B39:H39"/>
    <mergeCell ref="B42:H42"/>
    <mergeCell ref="B50:H50"/>
    <mergeCell ref="B71:H71"/>
    <mergeCell ref="B28:H28"/>
    <mergeCell ref="B7:H7"/>
    <mergeCell ref="B14:H14"/>
    <mergeCell ref="B16:H16"/>
    <mergeCell ref="B21:H21"/>
    <mergeCell ref="B23:H23"/>
    <mergeCell ref="B13:H13"/>
  </mergeCells>
  <phoneticPr fontId="12" type="noConversion"/>
  <conditionalFormatting sqref="B146:H146 B148:H148 B154:H154 B156:H156">
    <cfRule type="cellIs" dxfId="29" priority="4" operator="lessThan">
      <formula>2</formula>
    </cfRule>
  </conditionalFormatting>
  <conditionalFormatting sqref="B147:H147">
    <cfRule type="cellIs" dxfId="28" priority="2" operator="lessThan">
      <formula>2</formula>
    </cfRule>
  </conditionalFormatting>
  <conditionalFormatting sqref="B144:H145 B152:H153">
    <cfRule type="cellIs" dxfId="27" priority="5" operator="lessThan">
      <formula>4</formula>
    </cfRule>
  </conditionalFormatting>
  <conditionalFormatting sqref="B143:H143 B151:H151">
    <cfRule type="cellIs" dxfId="26" priority="6" operator="lessThan">
      <formula>2</formula>
    </cfRule>
  </conditionalFormatting>
  <conditionalFormatting sqref="B159:H159">
    <cfRule type="cellIs" dxfId="25" priority="3" operator="lessThan">
      <formula>7</formula>
    </cfRule>
  </conditionalFormatting>
  <conditionalFormatting sqref="B155:H155">
    <cfRule type="cellIs" dxfId="24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4">
    <tabColor rgb="FFE5FFE5"/>
    <pageSetUpPr fitToPage="1"/>
  </sheetPr>
  <dimension ref="A1:AH161"/>
  <sheetViews>
    <sheetView topLeftCell="A124" zoomScaleNormal="100" workbookViewId="0">
      <selection activeCell="AC122" sqref="AC122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46209</v>
      </c>
      <c r="C2" s="105">
        <f>B2+1</f>
        <v>46210</v>
      </c>
      <c r="D2" s="105">
        <f t="shared" ref="D2:H2" si="0">C2+1</f>
        <v>46211</v>
      </c>
      <c r="E2" s="105">
        <f t="shared" si="0"/>
        <v>46212</v>
      </c>
      <c r="F2" s="105">
        <f t="shared" si="0"/>
        <v>46213</v>
      </c>
      <c r="G2" s="105">
        <f t="shared" si="0"/>
        <v>46214</v>
      </c>
      <c r="H2" s="105">
        <f t="shared" si="0"/>
        <v>46215</v>
      </c>
    </row>
    <row r="3" spans="1:26" ht="14.45" customHeight="1">
      <c r="A3" s="21" t="s">
        <v>15</v>
      </c>
      <c r="B3" s="25"/>
      <c r="C3" s="110" t="s">
        <v>59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0" t="s">
        <v>16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44" t="s">
        <v>26</v>
      </c>
      <c r="E5" s="118" t="s">
        <v>31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127" t="s">
        <v>18</v>
      </c>
      <c r="C6" s="128"/>
      <c r="D6" s="128"/>
      <c r="E6" s="128"/>
      <c r="F6" s="128"/>
      <c r="G6" s="128"/>
      <c r="H6" s="129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16" t="s">
        <v>45</v>
      </c>
      <c r="C7" s="117" t="s">
        <v>31</v>
      </c>
      <c r="D7" s="25" t="s">
        <v>24</v>
      </c>
      <c r="E7" s="25"/>
      <c r="F7" s="118" t="s">
        <v>36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/>
      <c r="F8" s="117" t="s">
        <v>31</v>
      </c>
      <c r="G8" s="110" t="s">
        <v>59</v>
      </c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7" t="s">
        <v>36</v>
      </c>
      <c r="C9" s="25"/>
      <c r="D9" s="25"/>
      <c r="E9" s="110" t="s">
        <v>16</v>
      </c>
      <c r="F9" s="116" t="s">
        <v>45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28" t="s">
        <v>25</v>
      </c>
      <c r="E10" s="116" t="s">
        <v>32</v>
      </c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117" t="s">
        <v>36</v>
      </c>
      <c r="D11" s="25"/>
      <c r="E11" s="25"/>
      <c r="F11" s="25" t="s">
        <v>24</v>
      </c>
      <c r="G11" s="117" t="s">
        <v>31</v>
      </c>
      <c r="H11" s="117" t="s">
        <v>31</v>
      </c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127" t="s">
        <v>259</v>
      </c>
      <c r="C12" s="128"/>
      <c r="D12" s="128"/>
      <c r="E12" s="128"/>
      <c r="F12" s="128"/>
      <c r="G12" s="128"/>
      <c r="H12" s="129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10" t="s">
        <v>59</v>
      </c>
      <c r="C13" s="118" t="s">
        <v>36</v>
      </c>
      <c r="D13" s="25"/>
      <c r="E13" s="25"/>
      <c r="F13" s="25"/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260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 t="s">
        <v>24</v>
      </c>
      <c r="C15" s="116" t="s">
        <v>32</v>
      </c>
      <c r="D15" s="25" t="s">
        <v>24</v>
      </c>
      <c r="E15" s="44" t="s">
        <v>26</v>
      </c>
      <c r="F15" s="118" t="s">
        <v>31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25" t="s">
        <v>24</v>
      </c>
      <c r="E16" s="117" t="s">
        <v>36</v>
      </c>
      <c r="F16" s="25"/>
      <c r="G16" s="25"/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25" t="s">
        <v>24</v>
      </c>
      <c r="C17" s="110" t="s">
        <v>16</v>
      </c>
      <c r="D17" s="117" t="s">
        <v>31</v>
      </c>
      <c r="E17" s="25"/>
      <c r="F17" s="25"/>
      <c r="G17" s="25"/>
      <c r="H17" s="116" t="s">
        <v>45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25"/>
      <c r="F18" s="25"/>
      <c r="G18" s="25"/>
      <c r="H18" s="44" t="s">
        <v>26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6" t="s">
        <v>32</v>
      </c>
      <c r="G19" s="25"/>
      <c r="H19" s="110" t="s">
        <v>59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127" t="s">
        <v>38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18" t="s">
        <v>36</v>
      </c>
      <c r="C21" s="25"/>
      <c r="D21" s="25"/>
      <c r="E21" s="25"/>
      <c r="F21" s="115" t="s">
        <v>287</v>
      </c>
      <c r="G21" s="44" t="s">
        <v>26</v>
      </c>
      <c r="H21" s="118" t="s">
        <v>31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6" t="s">
        <v>32</v>
      </c>
      <c r="C22" s="25"/>
      <c r="D22" s="25" t="s">
        <v>24</v>
      </c>
      <c r="E22" s="115" t="s">
        <v>287</v>
      </c>
      <c r="F22" s="44" t="s">
        <v>26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27" t="s">
        <v>20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110" t="s">
        <v>16</v>
      </c>
      <c r="E24" s="25"/>
      <c r="F24" s="110" t="s">
        <v>59</v>
      </c>
      <c r="G24" s="25"/>
      <c r="H24" s="117" t="s">
        <v>36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8" t="s">
        <v>31</v>
      </c>
      <c r="E25" s="117" t="s">
        <v>31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110" t="s">
        <v>59</v>
      </c>
      <c r="E26" s="25" t="s">
        <v>24</v>
      </c>
      <c r="F26" s="117" t="s">
        <v>36</v>
      </c>
      <c r="G26" s="25"/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127" t="s">
        <v>18</v>
      </c>
      <c r="C27" s="128"/>
      <c r="D27" s="128"/>
      <c r="E27" s="128"/>
      <c r="F27" s="128"/>
      <c r="G27" s="128"/>
      <c r="H27" s="129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260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/>
      <c r="C29" s="25"/>
      <c r="D29" s="116" t="s">
        <v>32</v>
      </c>
      <c r="E29" s="25"/>
      <c r="F29" s="25"/>
      <c r="G29" s="25"/>
      <c r="H29" s="110" t="s">
        <v>16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127" t="s">
        <v>18</v>
      </c>
      <c r="C30" s="128"/>
      <c r="D30" s="128"/>
      <c r="E30" s="128"/>
      <c r="F30" s="128"/>
      <c r="G30" s="128"/>
      <c r="H30" s="129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18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25"/>
      <c r="C32" s="25"/>
      <c r="D32" s="25" t="s">
        <v>24</v>
      </c>
      <c r="E32" s="25"/>
      <c r="F32" s="28" t="s">
        <v>34</v>
      </c>
      <c r="G32" s="118" t="s">
        <v>36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115" t="s">
        <v>287</v>
      </c>
      <c r="C33" s="118" t="s">
        <v>31</v>
      </c>
      <c r="D33" s="25"/>
      <c r="E33" s="116" t="s">
        <v>45</v>
      </c>
      <c r="F33" s="25"/>
      <c r="G33" s="117" t="s">
        <v>36</v>
      </c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127" t="s">
        <v>18</v>
      </c>
      <c r="C35" s="128"/>
      <c r="D35" s="128"/>
      <c r="E35" s="128"/>
      <c r="F35" s="128"/>
      <c r="G35" s="128"/>
      <c r="H35" s="129"/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27" t="s">
        <v>42</v>
      </c>
      <c r="C36" s="128"/>
      <c r="D36" s="128"/>
      <c r="E36" s="128"/>
      <c r="F36" s="128"/>
      <c r="G36" s="128"/>
      <c r="H36" s="129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 t="s">
        <v>24</v>
      </c>
      <c r="C37" s="44" t="s">
        <v>26</v>
      </c>
      <c r="D37" s="25" t="s">
        <v>24</v>
      </c>
      <c r="E37" s="25"/>
      <c r="F37" s="25" t="s">
        <v>24</v>
      </c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25"/>
      <c r="C38" s="25"/>
      <c r="D38" s="25"/>
      <c r="E38" s="25"/>
      <c r="F38" s="25" t="s">
        <v>24</v>
      </c>
      <c r="G38" s="116" t="s">
        <v>32</v>
      </c>
      <c r="H38" s="118" t="s">
        <v>36</v>
      </c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127" t="s">
        <v>18</v>
      </c>
      <c r="C39" s="128"/>
      <c r="D39" s="128"/>
      <c r="E39" s="128"/>
      <c r="F39" s="128"/>
      <c r="G39" s="128"/>
      <c r="H39" s="129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27" t="s">
        <v>311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5" t="s">
        <v>287</v>
      </c>
      <c r="E41" s="118" t="s">
        <v>36</v>
      </c>
      <c r="F41" s="25"/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18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44" t="s">
        <v>26</v>
      </c>
      <c r="C43" s="115" t="s">
        <v>287</v>
      </c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118" t="s">
        <v>31</v>
      </c>
      <c r="C44" s="116" t="s">
        <v>45</v>
      </c>
      <c r="D44" s="25" t="s">
        <v>24</v>
      </c>
      <c r="E44" s="25"/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116" t="s">
        <v>45</v>
      </c>
      <c r="E45" s="110" t="s">
        <v>59</v>
      </c>
      <c r="F45" s="25"/>
      <c r="G45" s="118" t="s">
        <v>31</v>
      </c>
      <c r="H45" s="116" t="s">
        <v>32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25" t="s">
        <v>24</v>
      </c>
      <c r="D46" s="118" t="s">
        <v>36</v>
      </c>
      <c r="E46" s="25"/>
      <c r="F46" s="25"/>
      <c r="G46" s="116" t="s">
        <v>45</v>
      </c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5" t="s">
        <v>24</v>
      </c>
      <c r="C47" s="28" t="s">
        <v>25</v>
      </c>
      <c r="D47" s="25"/>
      <c r="E47" s="25"/>
      <c r="F47" s="25"/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27" t="s">
        <v>311</v>
      </c>
      <c r="C48" s="128"/>
      <c r="D48" s="128"/>
      <c r="E48" s="128"/>
      <c r="F48" s="128"/>
      <c r="G48" s="128"/>
      <c r="H48" s="129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110" t="s">
        <v>16</v>
      </c>
      <c r="C49" s="25"/>
      <c r="D49" s="117" t="s">
        <v>36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27" t="s">
        <v>20</v>
      </c>
      <c r="C50" s="128"/>
      <c r="D50" s="128"/>
      <c r="E50" s="128"/>
      <c r="F50" s="128"/>
      <c r="G50" s="128"/>
      <c r="H50" s="129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295</v>
      </c>
      <c r="C53" s="51" t="s">
        <v>317</v>
      </c>
      <c r="D53" s="51" t="s">
        <v>393</v>
      </c>
      <c r="E53" s="51" t="s">
        <v>96</v>
      </c>
      <c r="F53" s="51" t="s">
        <v>407</v>
      </c>
      <c r="G53" s="51" t="s">
        <v>91</v>
      </c>
      <c r="H53" s="51" t="s">
        <v>273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6 Jul</v>
      </c>
      <c r="C54" s="107" t="str">
        <f>C58</f>
        <v>Tues 7 Jul</v>
      </c>
      <c r="D54" s="107" t="str">
        <f t="shared" ref="D54:H54" si="11">D58</f>
        <v>Wed 8 Jul</v>
      </c>
      <c r="E54" s="107" t="str">
        <f t="shared" si="11"/>
        <v>Thu 9 Jul</v>
      </c>
      <c r="F54" s="107" t="str">
        <f t="shared" si="11"/>
        <v>Fri 10 Jul</v>
      </c>
      <c r="G54" s="107" t="str">
        <f t="shared" si="11"/>
        <v>Sat 11 Jul</v>
      </c>
      <c r="H54" s="107" t="str">
        <f t="shared" si="11"/>
        <v>Sun 12 Jul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109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22" t="s">
        <v>429</v>
      </c>
      <c r="B57" s="25"/>
      <c r="C57" s="25"/>
      <c r="D57" s="25"/>
      <c r="E57" s="25"/>
      <c r="F57" s="25"/>
      <c r="G57" s="25"/>
      <c r="H57" s="25"/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106" t="s">
        <v>113</v>
      </c>
      <c r="B58" s="107" t="s">
        <v>430</v>
      </c>
      <c r="C58" s="107" t="s">
        <v>431</v>
      </c>
      <c r="D58" s="107" t="s">
        <v>432</v>
      </c>
      <c r="E58" s="107" t="s">
        <v>433</v>
      </c>
      <c r="F58" s="107" t="s">
        <v>434</v>
      </c>
      <c r="G58" s="107" t="s">
        <v>435</v>
      </c>
      <c r="H58" s="107" t="s">
        <v>436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121" t="s">
        <v>116</v>
      </c>
      <c r="C59" s="28" t="s">
        <v>115</v>
      </c>
      <c r="D59" s="25"/>
      <c r="E59" s="25"/>
      <c r="F59" s="25"/>
      <c r="G59" s="120" t="s">
        <v>118</v>
      </c>
      <c r="H59" s="121" t="s">
        <v>118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5"/>
      <c r="D60" s="121" t="s">
        <v>118</v>
      </c>
      <c r="E60" s="28" t="s">
        <v>115</v>
      </c>
      <c r="F60" s="25"/>
      <c r="G60" s="28" t="s">
        <v>119</v>
      </c>
      <c r="H60" s="120" t="s">
        <v>118</v>
      </c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 t="s">
        <v>123</v>
      </c>
      <c r="C61" s="25" t="s">
        <v>123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25"/>
      <c r="C62" s="25"/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2">colorindex(E62)</f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3">ShiftIndex(E62)</f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6 Jul</v>
      </c>
      <c r="C63" s="107" t="str">
        <f t="shared" ref="C63:H63" si="14">C58</f>
        <v>Tues 7 Jul</v>
      </c>
      <c r="D63" s="107" t="str">
        <f t="shared" si="14"/>
        <v>Wed 8 Jul</v>
      </c>
      <c r="E63" s="107" t="str">
        <f t="shared" si="14"/>
        <v>Thu 9 Jul</v>
      </c>
      <c r="F63" s="107" t="str">
        <f t="shared" si="14"/>
        <v>Fri 10 Jul</v>
      </c>
      <c r="G63" s="107" t="str">
        <f t="shared" si="14"/>
        <v>Sat 11 Jul</v>
      </c>
      <c r="H63" s="107" t="str">
        <f t="shared" si="14"/>
        <v>Sun 12 Jul</v>
      </c>
      <c r="J63" t="e">
        <f t="shared" ref="J63:P101" ca="1" si="15">colorindex(B63)</f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ref="R63:X101" ca="1" si="16">ShiftIndex(B63)</f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1" t="s">
        <v>118</v>
      </c>
      <c r="F64" s="25"/>
      <c r="G64" s="121" t="s">
        <v>118</v>
      </c>
      <c r="H64" s="28" t="s">
        <v>119</v>
      </c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1</v>
      </c>
    </row>
    <row r="65" spans="1:26" ht="15" customHeight="1">
      <c r="A65" s="22" t="s">
        <v>128</v>
      </c>
      <c r="B65" s="25"/>
      <c r="C65" s="25"/>
      <c r="D65" s="25"/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0.25</v>
      </c>
    </row>
    <row r="66" spans="1:26" ht="15" customHeight="1">
      <c r="A66" s="22" t="s">
        <v>129</v>
      </c>
      <c r="B66" s="28" t="s">
        <v>119</v>
      </c>
      <c r="C66" s="25"/>
      <c r="D66" s="25"/>
      <c r="E66" s="25"/>
      <c r="F66" s="25"/>
      <c r="G66" s="25"/>
      <c r="H66" s="28" t="s">
        <v>119</v>
      </c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15">
        <v>0.5</v>
      </c>
    </row>
    <row r="67" spans="1:26" ht="26.25">
      <c r="A67" s="106" t="s">
        <v>130</v>
      </c>
      <c r="B67" s="108" t="str">
        <f>B58</f>
        <v>Mon 6 Jul</v>
      </c>
      <c r="C67" s="107" t="str">
        <f t="shared" ref="C67:H67" si="17">C58</f>
        <v>Tues 7 Jul</v>
      </c>
      <c r="D67" s="108" t="s">
        <v>437</v>
      </c>
      <c r="E67" s="107" t="str">
        <f t="shared" si="17"/>
        <v>Thu 9 Jul</v>
      </c>
      <c r="F67" s="107" t="str">
        <f t="shared" si="17"/>
        <v>Fri 10 Jul</v>
      </c>
      <c r="G67" s="107" t="str">
        <f t="shared" si="17"/>
        <v>Sat 11 Jul</v>
      </c>
      <c r="H67" s="107" t="str">
        <f t="shared" si="17"/>
        <v>Sun 12 Jul</v>
      </c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53">
        <f>SUM(Z64:Z66)</f>
        <v>1.75</v>
      </c>
    </row>
    <row r="68" spans="1:26" ht="15" customHeight="1">
      <c r="A68" s="22" t="s">
        <v>133</v>
      </c>
      <c r="B68" s="120" t="s">
        <v>118</v>
      </c>
      <c r="C68" s="25"/>
      <c r="D68" s="25" t="s">
        <v>141</v>
      </c>
      <c r="E68" s="25"/>
      <c r="F68" s="25"/>
      <c r="G68" s="25"/>
      <c r="H68" s="25"/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135</v>
      </c>
      <c r="B69" s="25"/>
      <c r="C69" s="25"/>
      <c r="D69" s="25" t="s">
        <v>141</v>
      </c>
      <c r="E69" s="28" t="s">
        <v>115</v>
      </c>
      <c r="F69" s="25"/>
      <c r="G69" s="28" t="s">
        <v>115</v>
      </c>
      <c r="H69" s="120" t="s">
        <v>116</v>
      </c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136</v>
      </c>
      <c r="B70" s="127" t="s">
        <v>18</v>
      </c>
      <c r="C70" s="128"/>
      <c r="D70" s="128"/>
      <c r="E70" s="128"/>
      <c r="F70" s="128"/>
      <c r="G70" s="128"/>
      <c r="H70" s="129"/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137</v>
      </c>
      <c r="B71" s="28" t="s">
        <v>115</v>
      </c>
      <c r="C71" s="25"/>
      <c r="D71" s="25" t="s">
        <v>141</v>
      </c>
      <c r="E71" s="121" t="s">
        <v>116</v>
      </c>
      <c r="F71" s="121" t="s">
        <v>116</v>
      </c>
      <c r="G71" s="25"/>
      <c r="H71" s="25"/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140</v>
      </c>
      <c r="B72" s="25"/>
      <c r="C72" s="25" t="s">
        <v>152</v>
      </c>
      <c r="D72" s="25" t="s">
        <v>123</v>
      </c>
      <c r="E72" s="25" t="s">
        <v>123</v>
      </c>
      <c r="F72" s="25"/>
      <c r="G72" s="25"/>
      <c r="H72" s="28" t="s">
        <v>115</v>
      </c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2"/>
        <v>#NAME?</v>
      </c>
      <c r="N72" t="e">
        <f t="shared" ca="1" si="12"/>
        <v>#NAME?</v>
      </c>
      <c r="O72" t="e">
        <f t="shared" ca="1" si="12"/>
        <v>#NAME?</v>
      </c>
      <c r="P72" t="e">
        <f t="shared" ca="1" si="12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143</v>
      </c>
      <c r="B73" s="121" t="s">
        <v>118</v>
      </c>
      <c r="C73" s="110" t="s">
        <v>139</v>
      </c>
      <c r="D73" s="121" t="s">
        <v>116</v>
      </c>
      <c r="E73" s="25"/>
      <c r="F73" s="28" t="s">
        <v>119</v>
      </c>
      <c r="G73" s="110" t="s">
        <v>142</v>
      </c>
      <c r="H73" s="25"/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123</v>
      </c>
      <c r="G74" s="25" t="s">
        <v>123</v>
      </c>
      <c r="H74" s="25" t="s">
        <v>123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24">
        <v>1</v>
      </c>
    </row>
    <row r="75" spans="1:26" ht="26.25">
      <c r="A75" s="106" t="s">
        <v>146</v>
      </c>
      <c r="B75" s="108" t="str">
        <f>B58</f>
        <v>Mon 6 Jul</v>
      </c>
      <c r="C75" s="107" t="str">
        <f>C67</f>
        <v>Tues 7 Jul</v>
      </c>
      <c r="D75" s="108" t="s">
        <v>437</v>
      </c>
      <c r="E75" s="107" t="str">
        <f>E67</f>
        <v>Thu 9 Jul</v>
      </c>
      <c r="F75" s="107" t="str">
        <f>F67</f>
        <v>Fri 10 Jul</v>
      </c>
      <c r="G75" s="107" t="str">
        <f>G67</f>
        <v>Sat 11 Jul</v>
      </c>
      <c r="H75" s="107" t="str">
        <f>H67</f>
        <v>Sun 12 Jul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53">
        <f>SUM(Z68:Z74)</f>
        <v>6</v>
      </c>
    </row>
    <row r="76" spans="1:26" ht="15" customHeight="1">
      <c r="A76" s="22" t="s">
        <v>147</v>
      </c>
      <c r="B76" s="25" t="s">
        <v>152</v>
      </c>
      <c r="C76" s="25" t="s">
        <v>152</v>
      </c>
      <c r="D76" s="25" t="s">
        <v>152</v>
      </c>
      <c r="E76" s="25" t="s">
        <v>152</v>
      </c>
      <c r="F76" s="25"/>
      <c r="G76" s="25"/>
      <c r="H76" s="25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24">
        <v>1</v>
      </c>
    </row>
    <row r="77" spans="1:26" ht="15" customHeight="1">
      <c r="A77" s="22" t="s">
        <v>151</v>
      </c>
      <c r="B77" s="121" t="s">
        <v>116</v>
      </c>
      <c r="C77" s="121" t="s">
        <v>116</v>
      </c>
      <c r="D77" s="28" t="s">
        <v>115</v>
      </c>
      <c r="E77" s="110" t="s">
        <v>139</v>
      </c>
      <c r="F77" s="25"/>
      <c r="G77" s="25"/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1</v>
      </c>
    </row>
    <row r="78" spans="1:26" ht="15" customHeight="1">
      <c r="A78" s="22" t="s">
        <v>153</v>
      </c>
      <c r="B78" s="28" t="s">
        <v>115</v>
      </c>
      <c r="C78" s="25"/>
      <c r="D78" s="25" t="s">
        <v>141</v>
      </c>
      <c r="E78" s="25"/>
      <c r="F78" s="120" t="s">
        <v>116</v>
      </c>
      <c r="G78" s="25"/>
      <c r="H78" s="25"/>
      <c r="J78" t="e">
        <f t="shared" ca="1" si="15"/>
        <v>#NAME?</v>
      </c>
      <c r="K78" t="e">
        <f t="shared" ca="1" si="15"/>
        <v>#NAME?</v>
      </c>
      <c r="L78" t="e">
        <f t="shared" ca="1" si="15"/>
        <v>#NAME?</v>
      </c>
      <c r="M78" t="e">
        <f t="shared" ca="1" si="15"/>
        <v>#NAME?</v>
      </c>
      <c r="N78" t="e">
        <f t="shared" ca="1" si="15"/>
        <v>#NAME?</v>
      </c>
      <c r="O78" t="e">
        <f t="shared" ca="1" si="15"/>
        <v>#NAME?</v>
      </c>
      <c r="P78" t="e">
        <f t="shared" ca="1" si="15"/>
        <v>#NAME?</v>
      </c>
      <c r="R78" t="e">
        <f t="shared" ca="1" si="16"/>
        <v>#NAME?</v>
      </c>
      <c r="S78" t="e">
        <f t="shared" ca="1" si="16"/>
        <v>#NAME?</v>
      </c>
      <c r="T78" t="e">
        <f t="shared" ca="1" si="16"/>
        <v>#NAME?</v>
      </c>
      <c r="U78" t="e">
        <f t="shared" ca="1" si="16"/>
        <v>#NAME?</v>
      </c>
      <c r="V78" t="e">
        <f t="shared" ca="1" si="16"/>
        <v>#NAME?</v>
      </c>
      <c r="W78" t="e">
        <f t="shared" ca="1" si="16"/>
        <v>#NAME?</v>
      </c>
      <c r="X78" t="e">
        <f t="shared" ca="1" si="16"/>
        <v>#NAME?</v>
      </c>
      <c r="Z78" s="15">
        <v>0.5</v>
      </c>
    </row>
    <row r="79" spans="1:26">
      <c r="A79" s="22" t="s">
        <v>154</v>
      </c>
      <c r="B79" s="110" t="s">
        <v>142</v>
      </c>
      <c r="C79" s="25" t="s">
        <v>152</v>
      </c>
      <c r="D79" s="25" t="s">
        <v>152</v>
      </c>
      <c r="E79" s="25" t="s">
        <v>152</v>
      </c>
      <c r="F79" s="25"/>
      <c r="G79" s="25"/>
      <c r="H79" s="25"/>
      <c r="J79" t="e">
        <f t="shared" ref="J79:P97" ca="1" si="18">colorindex(B79)</f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ref="R79:X97" ca="1" si="19">ShiftIndex(B79)</f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1</v>
      </c>
    </row>
    <row r="80" spans="1:26">
      <c r="A80" s="22" t="s">
        <v>155</v>
      </c>
      <c r="B80" s="25"/>
      <c r="C80" s="121" t="s">
        <v>118</v>
      </c>
      <c r="D80" s="25" t="s">
        <v>141</v>
      </c>
      <c r="E80" s="25"/>
      <c r="F80" s="28" t="s">
        <v>115</v>
      </c>
      <c r="G80" s="25"/>
      <c r="H80" s="25"/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0.5</v>
      </c>
    </row>
    <row r="81" spans="1:26" ht="15" customHeight="1">
      <c r="A81" s="22" t="s">
        <v>156</v>
      </c>
      <c r="B81" s="25"/>
      <c r="C81" s="25"/>
      <c r="D81" s="25" t="s">
        <v>141</v>
      </c>
      <c r="E81" s="121" t="s">
        <v>118</v>
      </c>
      <c r="F81" s="110" t="s">
        <v>142</v>
      </c>
      <c r="G81" s="121" t="s">
        <v>118</v>
      </c>
      <c r="H81" s="110" t="s">
        <v>142</v>
      </c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158</v>
      </c>
      <c r="B82" s="25" t="s">
        <v>152</v>
      </c>
      <c r="C82" s="25"/>
      <c r="D82" s="25" t="s">
        <v>141</v>
      </c>
      <c r="E82" s="25"/>
      <c r="F82" s="121" t="s">
        <v>118</v>
      </c>
      <c r="G82" s="120" t="s">
        <v>116</v>
      </c>
      <c r="H82" s="110" t="s">
        <v>139</v>
      </c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159</v>
      </c>
      <c r="B83" s="25" t="s">
        <v>152</v>
      </c>
      <c r="C83" s="25"/>
      <c r="D83" s="25" t="s">
        <v>141</v>
      </c>
      <c r="E83" s="25"/>
      <c r="F83" s="120" t="s">
        <v>118</v>
      </c>
      <c r="G83" s="110" t="s">
        <v>139</v>
      </c>
      <c r="H83" s="121" t="s">
        <v>116</v>
      </c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 ht="15" customHeight="1">
      <c r="A84" s="22" t="s">
        <v>160</v>
      </c>
      <c r="B84" s="25"/>
      <c r="C84" s="25"/>
      <c r="D84" s="25" t="s">
        <v>152</v>
      </c>
      <c r="E84" s="25" t="s">
        <v>152</v>
      </c>
      <c r="F84" s="25" t="s">
        <v>152</v>
      </c>
      <c r="G84" s="25"/>
      <c r="H84" s="25"/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1</v>
      </c>
    </row>
    <row r="85" spans="1:26">
      <c r="A85" s="22" t="s">
        <v>161</v>
      </c>
      <c r="B85" s="25"/>
      <c r="C85" s="25"/>
      <c r="D85" s="25" t="s">
        <v>141</v>
      </c>
      <c r="E85" s="25"/>
      <c r="F85" s="25"/>
      <c r="G85" s="25"/>
      <c r="H85" s="28" t="s">
        <v>115</v>
      </c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0.25</v>
      </c>
    </row>
    <row r="86" spans="1:26">
      <c r="A86" s="22" t="s">
        <v>162</v>
      </c>
      <c r="B86" s="25"/>
      <c r="C86" s="28" t="s">
        <v>119</v>
      </c>
      <c r="D86" s="121" t="s">
        <v>116</v>
      </c>
      <c r="E86" s="120" t="s">
        <v>116</v>
      </c>
      <c r="F86" s="25"/>
      <c r="G86" s="120" t="s">
        <v>116</v>
      </c>
      <c r="H86" s="25" t="s">
        <v>152</v>
      </c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163</v>
      </c>
      <c r="B87" s="25"/>
      <c r="C87" s="120" t="s">
        <v>116</v>
      </c>
      <c r="D87" s="110" t="s">
        <v>139</v>
      </c>
      <c r="E87" s="25"/>
      <c r="F87" s="25" t="s">
        <v>152</v>
      </c>
      <c r="G87" s="25" t="s">
        <v>152</v>
      </c>
      <c r="H87" s="25" t="s">
        <v>152</v>
      </c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1</v>
      </c>
    </row>
    <row r="88" spans="1:26" ht="15" customHeight="1">
      <c r="A88" s="22" t="s">
        <v>164</v>
      </c>
      <c r="B88" s="25"/>
      <c r="C88" s="120" t="s">
        <v>116</v>
      </c>
      <c r="D88" s="25" t="s">
        <v>141</v>
      </c>
      <c r="E88" s="120" t="s">
        <v>118</v>
      </c>
      <c r="F88" s="110" t="s">
        <v>139</v>
      </c>
      <c r="G88" s="25"/>
      <c r="H88" s="25"/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120" t="s">
        <v>116</v>
      </c>
      <c r="E89" s="25"/>
      <c r="F89" s="28" t="s">
        <v>119</v>
      </c>
      <c r="G89" s="25"/>
      <c r="H89" s="25"/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0.75</v>
      </c>
    </row>
    <row r="90" spans="1:26" ht="15" customHeight="1">
      <c r="A90" s="22" t="s">
        <v>168</v>
      </c>
      <c r="B90" s="110" t="s">
        <v>139</v>
      </c>
      <c r="C90" s="25"/>
      <c r="D90" s="25" t="s">
        <v>141</v>
      </c>
      <c r="E90" s="25"/>
      <c r="F90" s="120" t="s">
        <v>116</v>
      </c>
      <c r="G90" s="28" t="s">
        <v>115</v>
      </c>
      <c r="H90" s="120" t="s">
        <v>116</v>
      </c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169</v>
      </c>
      <c r="B91" s="120" t="s">
        <v>116</v>
      </c>
      <c r="C91" s="25"/>
      <c r="D91" s="25" t="s">
        <v>141</v>
      </c>
      <c r="E91" s="110" t="s">
        <v>142</v>
      </c>
      <c r="F91" s="25"/>
      <c r="G91" s="25"/>
      <c r="H91" s="25" t="s">
        <v>152</v>
      </c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1</v>
      </c>
    </row>
    <row r="92" spans="1:26" ht="15" customHeight="1">
      <c r="A92" s="22" t="s">
        <v>171</v>
      </c>
      <c r="B92" s="25"/>
      <c r="C92" s="25"/>
      <c r="D92" s="25" t="s">
        <v>141</v>
      </c>
      <c r="E92" s="121" t="s">
        <v>116</v>
      </c>
      <c r="F92" s="25" t="s">
        <v>152</v>
      </c>
      <c r="G92" s="25" t="s">
        <v>152</v>
      </c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174</v>
      </c>
      <c r="B93" s="127" t="s">
        <v>18</v>
      </c>
      <c r="C93" s="128"/>
      <c r="D93" s="128"/>
      <c r="E93" s="128"/>
      <c r="F93" s="128"/>
      <c r="G93" s="128"/>
      <c r="H93" s="129"/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0.75</v>
      </c>
    </row>
    <row r="94" spans="1:26">
      <c r="A94" s="22" t="s">
        <v>175</v>
      </c>
      <c r="B94" s="25"/>
      <c r="C94" s="110" t="s">
        <v>142</v>
      </c>
      <c r="D94" s="25" t="s">
        <v>141</v>
      </c>
      <c r="E94" s="25"/>
      <c r="F94" s="25"/>
      <c r="G94" s="25" t="s">
        <v>152</v>
      </c>
      <c r="H94" s="25" t="s">
        <v>152</v>
      </c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121" t="s">
        <v>116</v>
      </c>
      <c r="H95" s="25"/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0.25</v>
      </c>
    </row>
    <row r="96" spans="1:26" ht="15" customHeight="1">
      <c r="A96" s="22" t="s">
        <v>177</v>
      </c>
      <c r="B96" s="25"/>
      <c r="C96" s="121" t="s">
        <v>116</v>
      </c>
      <c r="D96" s="120" t="s">
        <v>116</v>
      </c>
      <c r="E96" s="25"/>
      <c r="F96" s="25"/>
      <c r="G96" s="25"/>
      <c r="H96" s="25"/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0.75</v>
      </c>
    </row>
    <row r="97" spans="1:26" ht="15" customHeight="1">
      <c r="A97" s="22" t="s">
        <v>178</v>
      </c>
      <c r="B97" s="121" t="s">
        <v>118</v>
      </c>
      <c r="C97" s="120" t="s">
        <v>118</v>
      </c>
      <c r="D97" s="25" t="s">
        <v>141</v>
      </c>
      <c r="E97" s="28" t="s">
        <v>119</v>
      </c>
      <c r="F97" s="121" t="s">
        <v>116</v>
      </c>
      <c r="G97" s="25"/>
      <c r="H97" s="25"/>
      <c r="J97" t="e">
        <f t="shared" ca="1" si="18"/>
        <v>#NAME?</v>
      </c>
      <c r="K97" t="e">
        <f t="shared" ca="1" si="18"/>
        <v>#NAME?</v>
      </c>
      <c r="L97" t="e">
        <f t="shared" ca="1" si="18"/>
        <v>#NAME?</v>
      </c>
      <c r="M97" t="e">
        <f t="shared" ca="1" si="18"/>
        <v>#NAME?</v>
      </c>
      <c r="N97" t="e">
        <f t="shared" ca="1" si="18"/>
        <v>#NAME?</v>
      </c>
      <c r="O97" t="e">
        <f t="shared" ca="1" si="18"/>
        <v>#NAME?</v>
      </c>
      <c r="P97" t="e">
        <f t="shared" ca="1" si="18"/>
        <v>#NAME?</v>
      </c>
      <c r="R97" t="e">
        <f t="shared" ca="1" si="19"/>
        <v>#NAME?</v>
      </c>
      <c r="S97" t="e">
        <f t="shared" ca="1" si="19"/>
        <v>#NAME?</v>
      </c>
      <c r="T97" t="e">
        <f t="shared" ca="1" si="19"/>
        <v>#NAME?</v>
      </c>
      <c r="U97" t="e">
        <f t="shared" ca="1" si="19"/>
        <v>#NAME?</v>
      </c>
      <c r="V97" t="e">
        <f t="shared" ca="1" si="19"/>
        <v>#NAME?</v>
      </c>
      <c r="W97" t="e">
        <f t="shared" ca="1" si="19"/>
        <v>#NAME?</v>
      </c>
      <c r="X97" t="e">
        <f t="shared" ca="1" si="19"/>
        <v>#NAME?</v>
      </c>
      <c r="Z97" s="15">
        <v>1</v>
      </c>
    </row>
    <row r="98" spans="1:26">
      <c r="A98" s="106" t="s">
        <v>179</v>
      </c>
      <c r="B98" s="107" t="str">
        <f t="shared" ref="B98:H98" si="20">B58</f>
        <v>Mon 6 Jul</v>
      </c>
      <c r="C98" s="107" t="str">
        <f t="shared" si="20"/>
        <v>Tues 7 Jul</v>
      </c>
      <c r="D98" s="107" t="str">
        <f t="shared" si="20"/>
        <v>Wed 8 Jul</v>
      </c>
      <c r="E98" s="107" t="str">
        <f t="shared" si="20"/>
        <v>Thu 9 Jul</v>
      </c>
      <c r="F98" s="107" t="str">
        <f t="shared" si="20"/>
        <v>Fri 10 Jul</v>
      </c>
      <c r="G98" s="107" t="str">
        <f t="shared" si="20"/>
        <v>Sat 11 Jul</v>
      </c>
      <c r="H98" s="107" t="str">
        <f t="shared" si="20"/>
        <v>Sun 12 Jul</v>
      </c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54">
        <f>SUM(Z76:Z97)</f>
        <v>18.25</v>
      </c>
    </row>
    <row r="99" spans="1:26">
      <c r="A99" s="22" t="s">
        <v>180</v>
      </c>
      <c r="B99" s="25"/>
      <c r="C99" s="25"/>
      <c r="D99" s="25"/>
      <c r="E99" s="25"/>
      <c r="F99" s="110" t="s">
        <v>182</v>
      </c>
      <c r="G99" s="110" t="s">
        <v>182</v>
      </c>
      <c r="H99" s="110" t="s">
        <v>182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22" t="s">
        <v>183</v>
      </c>
      <c r="B100" s="110" t="s">
        <v>182</v>
      </c>
      <c r="C100" s="110" t="s">
        <v>182</v>
      </c>
      <c r="D100" s="110" t="s">
        <v>116</v>
      </c>
      <c r="E100" s="110" t="s">
        <v>116</v>
      </c>
      <c r="F100" s="25"/>
      <c r="G100" s="25"/>
      <c r="H100" s="25"/>
      <c r="J100" t="e">
        <f t="shared" ca="1" si="15"/>
        <v>#NAME?</v>
      </c>
      <c r="K100" t="e">
        <f t="shared" ca="1" si="15"/>
        <v>#NAME?</v>
      </c>
      <c r="L100" t="e">
        <f t="shared" ca="1" si="15"/>
        <v>#NAME?</v>
      </c>
      <c r="M100" t="e">
        <f t="shared" ca="1" si="15"/>
        <v>#NAME?</v>
      </c>
      <c r="N100" t="e">
        <f t="shared" ca="1" si="15"/>
        <v>#NAME?</v>
      </c>
      <c r="O100" t="e">
        <f t="shared" ca="1" si="15"/>
        <v>#NAME?</v>
      </c>
      <c r="P100" t="e">
        <f t="shared" ca="1" si="15"/>
        <v>#NAME?</v>
      </c>
      <c r="R100" t="e">
        <f t="shared" ca="1" si="16"/>
        <v>#NAME?</v>
      </c>
      <c r="S100" t="e">
        <f t="shared" ca="1" si="16"/>
        <v>#NAME?</v>
      </c>
      <c r="T100" t="e">
        <f t="shared" ca="1" si="16"/>
        <v>#NAME?</v>
      </c>
      <c r="U100" t="e">
        <f t="shared" ca="1" si="16"/>
        <v>#NAME?</v>
      </c>
      <c r="V100" t="e">
        <f t="shared" ca="1" si="16"/>
        <v>#NAME?</v>
      </c>
      <c r="W100" t="e">
        <f t="shared" ca="1" si="16"/>
        <v>#NAME?</v>
      </c>
      <c r="X100" t="e">
        <f t="shared" ca="1" si="16"/>
        <v>#NAME?</v>
      </c>
      <c r="Z100" s="15">
        <v>1</v>
      </c>
    </row>
    <row r="101" spans="1:26">
      <c r="A101" s="106" t="s">
        <v>184</v>
      </c>
      <c r="B101" s="107" t="str">
        <f t="shared" ref="B101:H101" si="21">B58</f>
        <v>Mon 6 Jul</v>
      </c>
      <c r="C101" s="107" t="str">
        <f t="shared" si="21"/>
        <v>Tues 7 Jul</v>
      </c>
      <c r="D101" s="107" t="str">
        <f t="shared" si="21"/>
        <v>Wed 8 Jul</v>
      </c>
      <c r="E101" s="107" t="str">
        <f t="shared" si="21"/>
        <v>Thu 9 Jul</v>
      </c>
      <c r="F101" s="107" t="str">
        <f t="shared" si="21"/>
        <v>Fri 10 Jul</v>
      </c>
      <c r="G101" s="107" t="str">
        <f t="shared" si="21"/>
        <v>Sat 11 Jul</v>
      </c>
      <c r="H101" s="107" t="str">
        <f t="shared" si="21"/>
        <v>Sun 12 Jul</v>
      </c>
      <c r="J101" t="e">
        <f t="shared" ca="1" si="15"/>
        <v>#NAME?</v>
      </c>
      <c r="K101" t="e">
        <f t="shared" ref="K101:P137" ca="1" si="22">colorindex(C101)</f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ca="1" si="16"/>
        <v>#NAME?</v>
      </c>
      <c r="S101" t="e">
        <f t="shared" ref="S101:X137" ca="1" si="23">ShiftIndex(C101)</f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53">
        <f>SUM(Z99:Z100)</f>
        <v>2</v>
      </c>
    </row>
    <row r="102" spans="1:26">
      <c r="A102" s="22" t="s">
        <v>185</v>
      </c>
      <c r="B102" s="25"/>
      <c r="C102" s="25"/>
      <c r="D102" s="101" t="s">
        <v>118</v>
      </c>
      <c r="E102" s="120" t="s">
        <v>116</v>
      </c>
      <c r="F102" s="25"/>
      <c r="G102" s="44" t="s">
        <v>189</v>
      </c>
      <c r="H102" s="121" t="s">
        <v>116</v>
      </c>
      <c r="J102" t="e">
        <f t="shared" ref="J102:M140" ca="1" si="24">colorindex(B102)</f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ref="R102:U140" ca="1" si="25">ShiftIndex(B102)</f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187</v>
      </c>
      <c r="B103" s="25"/>
      <c r="C103" s="25"/>
      <c r="D103" s="44" t="s">
        <v>186</v>
      </c>
      <c r="E103" s="121" t="s">
        <v>116</v>
      </c>
      <c r="F103" s="25"/>
      <c r="G103" s="101" t="s">
        <v>116</v>
      </c>
      <c r="H103" s="120" t="s">
        <v>116</v>
      </c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188</v>
      </c>
      <c r="B104" s="25" t="s">
        <v>152</v>
      </c>
      <c r="C104" s="25"/>
      <c r="D104" s="25"/>
      <c r="E104" s="25"/>
      <c r="F104" s="25"/>
      <c r="G104" s="110" t="s">
        <v>142</v>
      </c>
      <c r="H104" s="44" t="s">
        <v>186</v>
      </c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190</v>
      </c>
      <c r="B105" s="44" t="s">
        <v>189</v>
      </c>
      <c r="C105" s="25" t="s">
        <v>152</v>
      </c>
      <c r="D105" s="25" t="s">
        <v>152</v>
      </c>
      <c r="E105" s="25"/>
      <c r="F105" s="25"/>
      <c r="G105" s="25" t="s">
        <v>152</v>
      </c>
      <c r="H105" s="25" t="s">
        <v>152</v>
      </c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191</v>
      </c>
      <c r="B106" s="25"/>
      <c r="C106" s="25" t="s">
        <v>152</v>
      </c>
      <c r="D106" s="25" t="s">
        <v>152</v>
      </c>
      <c r="E106" s="25" t="s">
        <v>152</v>
      </c>
      <c r="F106" s="25" t="s">
        <v>152</v>
      </c>
      <c r="G106" s="25"/>
      <c r="H106" s="25"/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1</v>
      </c>
    </row>
    <row r="107" spans="1:26">
      <c r="A107" s="22" t="s">
        <v>192</v>
      </c>
      <c r="B107" s="25"/>
      <c r="C107" s="120" t="s">
        <v>118</v>
      </c>
      <c r="D107" s="110" t="s">
        <v>142</v>
      </c>
      <c r="E107" s="44" t="s">
        <v>189</v>
      </c>
      <c r="F107" s="25"/>
      <c r="G107" s="25"/>
      <c r="H107" s="25"/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0.875</v>
      </c>
    </row>
    <row r="108" spans="1:26">
      <c r="A108" s="22" t="s">
        <v>193</v>
      </c>
      <c r="B108" s="110" t="s">
        <v>139</v>
      </c>
      <c r="C108" s="25"/>
      <c r="D108" s="120" t="s">
        <v>118</v>
      </c>
      <c r="E108" s="101" t="s">
        <v>118</v>
      </c>
      <c r="F108" s="120" t="s">
        <v>116</v>
      </c>
      <c r="G108" s="25"/>
      <c r="H108" s="25"/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283</v>
      </c>
      <c r="B109" s="120" t="s">
        <v>118</v>
      </c>
      <c r="C109" s="121" t="s">
        <v>118</v>
      </c>
      <c r="D109" s="25"/>
      <c r="E109" s="121" t="s">
        <v>118</v>
      </c>
      <c r="F109" s="44" t="s">
        <v>186</v>
      </c>
      <c r="G109" s="25"/>
      <c r="H109" s="25"/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  <c r="Z109" s="15">
        <v>1</v>
      </c>
    </row>
    <row r="110" spans="1:26">
      <c r="A110" s="22" t="s">
        <v>195</v>
      </c>
      <c r="B110" s="127" t="s">
        <v>20</v>
      </c>
      <c r="C110" s="128"/>
      <c r="D110" s="128"/>
      <c r="E110" s="128"/>
      <c r="F110" s="128"/>
      <c r="G110" s="128"/>
      <c r="H110" s="129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15">
        <v>0.5</v>
      </c>
    </row>
    <row r="111" spans="1:26">
      <c r="A111" s="42" t="s">
        <v>196</v>
      </c>
      <c r="B111" s="25"/>
      <c r="C111" s="25"/>
      <c r="D111" s="120" t="s">
        <v>118</v>
      </c>
      <c r="E111" s="25"/>
      <c r="F111" s="120" t="s">
        <v>118</v>
      </c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  <c r="Z111" s="15">
        <v>0.5</v>
      </c>
    </row>
    <row r="112" spans="1:26">
      <c r="A112" s="22" t="s">
        <v>197</v>
      </c>
      <c r="B112" s="127" t="s">
        <v>18</v>
      </c>
      <c r="C112" s="128"/>
      <c r="D112" s="128"/>
      <c r="E112" s="128"/>
      <c r="F112" s="128"/>
      <c r="G112" s="128"/>
      <c r="H112" s="129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  <c r="Z112" s="15">
        <v>0.5</v>
      </c>
    </row>
    <row r="113" spans="1:26">
      <c r="A113" s="22" t="s">
        <v>199</v>
      </c>
      <c r="B113" s="112"/>
      <c r="C113" s="101" t="s">
        <v>118</v>
      </c>
      <c r="D113" s="112"/>
      <c r="E113" s="28" t="s">
        <v>115</v>
      </c>
      <c r="F113" s="112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  <c r="Z113" s="15">
        <v>0.5</v>
      </c>
    </row>
    <row r="114" spans="1:26">
      <c r="A114" s="22" t="s">
        <v>200</v>
      </c>
      <c r="B114" s="25"/>
      <c r="C114" s="121" t="s">
        <v>118</v>
      </c>
      <c r="D114" s="121" t="s">
        <v>118</v>
      </c>
      <c r="E114" s="120" t="s">
        <v>118</v>
      </c>
      <c r="F114" s="44" t="s">
        <v>189</v>
      </c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  <c r="Z114" s="15">
        <v>1</v>
      </c>
    </row>
    <row r="115" spans="1:26">
      <c r="A115" s="22" t="s">
        <v>201</v>
      </c>
      <c r="B115" s="25"/>
      <c r="C115" s="25" t="s">
        <v>152</v>
      </c>
      <c r="D115" s="25" t="s">
        <v>152</v>
      </c>
      <c r="E115" s="25" t="s">
        <v>152</v>
      </c>
      <c r="F115" s="25" t="s">
        <v>152</v>
      </c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  <c r="Z115" s="15">
        <v>1</v>
      </c>
    </row>
    <row r="116" spans="1:26">
      <c r="A116" s="22" t="s">
        <v>202</v>
      </c>
      <c r="B116" s="101" t="s">
        <v>118</v>
      </c>
      <c r="C116" s="120" t="s">
        <v>116</v>
      </c>
      <c r="D116" s="44" t="s">
        <v>189</v>
      </c>
      <c r="E116" s="25"/>
      <c r="F116" s="121" t="s">
        <v>118</v>
      </c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  <c r="Z116" s="15">
        <v>1</v>
      </c>
    </row>
    <row r="117" spans="1:26">
      <c r="A117" s="42" t="s">
        <v>203</v>
      </c>
      <c r="B117" s="44" t="s">
        <v>186</v>
      </c>
      <c r="C117" s="25"/>
      <c r="D117" s="25"/>
      <c r="E117" s="25" t="s">
        <v>152</v>
      </c>
      <c r="F117" s="25" t="s">
        <v>152</v>
      </c>
      <c r="G117" s="25" t="s">
        <v>152</v>
      </c>
      <c r="H117" s="25" t="s">
        <v>152</v>
      </c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  <c r="Z117" s="15">
        <v>1</v>
      </c>
    </row>
    <row r="118" spans="1:26">
      <c r="A118" s="22" t="s">
        <v>204</v>
      </c>
      <c r="B118" s="120" t="s">
        <v>118</v>
      </c>
      <c r="C118" s="44" t="s">
        <v>189</v>
      </c>
      <c r="D118" s="25"/>
      <c r="E118" s="25"/>
      <c r="F118" s="25"/>
      <c r="G118" s="121" t="s">
        <v>116</v>
      </c>
      <c r="H118" s="101" t="s">
        <v>116</v>
      </c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  <c r="Z118" s="15">
        <v>1</v>
      </c>
    </row>
    <row r="119" spans="1:26">
      <c r="A119" s="22" t="s">
        <v>205</v>
      </c>
      <c r="B119" s="25" t="s">
        <v>152</v>
      </c>
      <c r="C119" s="25"/>
      <c r="D119" s="25"/>
      <c r="E119" s="25"/>
      <c r="F119" s="25"/>
      <c r="G119" s="101" t="s">
        <v>118</v>
      </c>
      <c r="H119" s="120" t="s">
        <v>118</v>
      </c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  <c r="Z119" s="15">
        <v>1</v>
      </c>
    </row>
    <row r="120" spans="1:26">
      <c r="A120" s="22" t="s">
        <v>206</v>
      </c>
      <c r="B120" s="120" t="s">
        <v>116</v>
      </c>
      <c r="C120" s="110" t="s">
        <v>139</v>
      </c>
      <c r="D120" s="28" t="s">
        <v>115</v>
      </c>
      <c r="E120" s="25"/>
      <c r="F120" s="101" t="s">
        <v>118</v>
      </c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  <c r="Z120" s="15">
        <v>1</v>
      </c>
    </row>
    <row r="121" spans="1:26">
      <c r="A121" s="22" t="s">
        <v>207</v>
      </c>
      <c r="B121" s="25"/>
      <c r="C121" s="121" t="s">
        <v>116</v>
      </c>
      <c r="D121" s="25"/>
      <c r="E121" s="110" t="s">
        <v>142</v>
      </c>
      <c r="F121" s="25"/>
      <c r="G121" s="25"/>
      <c r="H121" s="25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  <c r="Z121" s="15">
        <v>0.5</v>
      </c>
    </row>
    <row r="122" spans="1:26">
      <c r="A122" s="22" t="s">
        <v>208</v>
      </c>
      <c r="B122" s="25" t="s">
        <v>152</v>
      </c>
      <c r="C122" s="25"/>
      <c r="D122" s="101" t="s">
        <v>116</v>
      </c>
      <c r="E122" s="25"/>
      <c r="F122" s="25"/>
      <c r="G122" s="25"/>
      <c r="H122" s="25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  <c r="Z122" s="15">
        <v>0.5</v>
      </c>
    </row>
    <row r="123" spans="1:26">
      <c r="A123" s="22" t="s">
        <v>209</v>
      </c>
      <c r="B123" s="121" t="s">
        <v>118</v>
      </c>
      <c r="C123" s="28" t="s">
        <v>115</v>
      </c>
      <c r="D123" s="25"/>
      <c r="E123" s="25"/>
      <c r="F123" s="25"/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5"/>
      <c r="E124" s="25"/>
      <c r="F124" s="25"/>
      <c r="G124" s="121" t="s">
        <v>116</v>
      </c>
      <c r="H124" s="44" t="s">
        <v>189</v>
      </c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  <c r="Z124" s="15">
        <v>0.5</v>
      </c>
    </row>
    <row r="125" spans="1:26">
      <c r="A125" s="22" t="s">
        <v>212</v>
      </c>
      <c r="B125" s="121" t="s">
        <v>116</v>
      </c>
      <c r="C125" s="28" t="s">
        <v>115</v>
      </c>
      <c r="D125" s="25"/>
      <c r="E125" s="25"/>
      <c r="F125" s="120" t="s">
        <v>118</v>
      </c>
      <c r="G125" s="120" t="s">
        <v>118</v>
      </c>
      <c r="H125" s="121" t="s">
        <v>118</v>
      </c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  <c r="Z125" s="15">
        <v>1</v>
      </c>
    </row>
    <row r="126" spans="1:26">
      <c r="A126" s="22" t="s">
        <v>213</v>
      </c>
      <c r="B126" s="28" t="s">
        <v>119</v>
      </c>
      <c r="C126" s="25"/>
      <c r="D126" s="121" t="s">
        <v>116</v>
      </c>
      <c r="E126" s="113" t="s">
        <v>150</v>
      </c>
      <c r="F126" s="121" t="s">
        <v>118</v>
      </c>
      <c r="G126" s="25"/>
      <c r="H126" s="25"/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  <c r="Z126" s="15">
        <v>1</v>
      </c>
    </row>
    <row r="127" spans="1:26">
      <c r="A127" s="106" t="s">
        <v>383</v>
      </c>
      <c r="B127" s="107" t="str">
        <f t="shared" ref="B127:H127" si="26">B58</f>
        <v>Mon 6 Jul</v>
      </c>
      <c r="C127" s="107" t="str">
        <f t="shared" si="26"/>
        <v>Tues 7 Jul</v>
      </c>
      <c r="D127" s="107" t="str">
        <f t="shared" si="26"/>
        <v>Wed 8 Jul</v>
      </c>
      <c r="E127" s="107" t="str">
        <f t="shared" si="26"/>
        <v>Thu 9 Jul</v>
      </c>
      <c r="F127" s="107" t="str">
        <f t="shared" si="26"/>
        <v>Fri 10 Jul</v>
      </c>
      <c r="G127" s="107" t="str">
        <f t="shared" si="26"/>
        <v>Sat 11 Jul</v>
      </c>
      <c r="H127" s="107" t="str">
        <f t="shared" si="26"/>
        <v>Sun 12 Jul</v>
      </c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  <c r="Z127" s="53"/>
    </row>
    <row r="128" spans="1:26">
      <c r="A128" s="22" t="s">
        <v>358</v>
      </c>
      <c r="B128" s="25" t="s">
        <v>152</v>
      </c>
      <c r="C128" s="25"/>
      <c r="D128" s="25"/>
      <c r="E128" s="25"/>
      <c r="F128" s="25"/>
      <c r="G128" s="44" t="s">
        <v>186</v>
      </c>
      <c r="H128" s="101" t="s">
        <v>118</v>
      </c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  <c r="Z128" s="15">
        <v>1</v>
      </c>
    </row>
    <row r="129" spans="1:34">
      <c r="A129" s="22" t="s">
        <v>359</v>
      </c>
      <c r="B129" s="127" t="s">
        <v>18</v>
      </c>
      <c r="C129" s="128"/>
      <c r="D129" s="128"/>
      <c r="E129" s="128"/>
      <c r="F129" s="128"/>
      <c r="G129" s="128"/>
      <c r="H129" s="129"/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  <c r="Z129" s="15">
        <v>1</v>
      </c>
    </row>
    <row r="130" spans="1:34">
      <c r="A130" s="22" t="s">
        <v>360</v>
      </c>
      <c r="B130" s="25"/>
      <c r="C130" s="44" t="s">
        <v>186</v>
      </c>
      <c r="D130" s="120" t="s">
        <v>116</v>
      </c>
      <c r="E130" s="101" t="s">
        <v>116</v>
      </c>
      <c r="F130" s="121" t="s">
        <v>116</v>
      </c>
      <c r="G130" s="127" t="s">
        <v>20</v>
      </c>
      <c r="H130" s="129"/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  <c r="Z130" s="15">
        <v>1</v>
      </c>
    </row>
    <row r="131" spans="1:34">
      <c r="A131" s="22" t="s">
        <v>361</v>
      </c>
      <c r="B131" s="25"/>
      <c r="C131" s="25"/>
      <c r="D131" s="120" t="s">
        <v>118</v>
      </c>
      <c r="E131" s="44" t="s">
        <v>186</v>
      </c>
      <c r="F131" s="25"/>
      <c r="G131" s="120" t="s">
        <v>116</v>
      </c>
      <c r="H131" s="121" t="s">
        <v>116</v>
      </c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15">
        <v>1</v>
      </c>
    </row>
    <row r="132" spans="1:34">
      <c r="A132" s="22" t="s">
        <v>362</v>
      </c>
      <c r="B132" s="25"/>
      <c r="C132" s="25" t="s">
        <v>152</v>
      </c>
      <c r="D132" s="25" t="s">
        <v>152</v>
      </c>
      <c r="E132" s="25" t="s">
        <v>152</v>
      </c>
      <c r="F132" s="25" t="s">
        <v>152</v>
      </c>
      <c r="G132" s="25"/>
      <c r="H132" s="25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363</v>
      </c>
      <c r="B133" s="101" t="s">
        <v>116</v>
      </c>
      <c r="C133" s="25"/>
      <c r="D133" s="110" t="s">
        <v>142</v>
      </c>
      <c r="E133" s="120" t="s">
        <v>118</v>
      </c>
      <c r="F133" s="25"/>
      <c r="G133" s="25" t="s">
        <v>152</v>
      </c>
      <c r="H133" s="25" t="s">
        <v>152</v>
      </c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364</v>
      </c>
      <c r="B134" s="120" t="s">
        <v>116</v>
      </c>
      <c r="C134" s="101" t="s">
        <v>116</v>
      </c>
      <c r="D134" s="127" t="s">
        <v>20</v>
      </c>
      <c r="E134" s="128"/>
      <c r="F134" s="128"/>
      <c r="G134" s="128"/>
      <c r="H134" s="129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22" t="s">
        <v>365</v>
      </c>
      <c r="B135" s="25"/>
      <c r="C135" s="120" t="s">
        <v>118</v>
      </c>
      <c r="D135" s="121" t="s">
        <v>118</v>
      </c>
      <c r="E135" s="120" t="s">
        <v>116</v>
      </c>
      <c r="F135" s="101" t="s">
        <v>116</v>
      </c>
      <c r="G135" s="25"/>
      <c r="H135" s="25"/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15">
        <v>1</v>
      </c>
    </row>
    <row r="136" spans="1:34">
      <c r="A136" s="106" t="s">
        <v>223</v>
      </c>
      <c r="B136" s="107" t="str">
        <f t="shared" ref="B136:H136" si="27">B101</f>
        <v>Mon 6 Jul</v>
      </c>
      <c r="C136" s="107" t="str">
        <f t="shared" si="27"/>
        <v>Tues 7 Jul</v>
      </c>
      <c r="D136" s="107" t="str">
        <f t="shared" si="27"/>
        <v>Wed 8 Jul</v>
      </c>
      <c r="E136" s="107" t="str">
        <f t="shared" si="27"/>
        <v>Thu 9 Jul</v>
      </c>
      <c r="F136" s="107" t="str">
        <f t="shared" si="27"/>
        <v>Fri 10 Jul</v>
      </c>
      <c r="G136" s="107" t="str">
        <f t="shared" si="27"/>
        <v>Sat 11 Jul</v>
      </c>
      <c r="H136" s="107" t="str">
        <f t="shared" si="27"/>
        <v>Sun 12 Jul</v>
      </c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ca="1" si="22"/>
        <v>#NAME?</v>
      </c>
      <c r="O136" t="e">
        <f t="shared" ca="1" si="22"/>
        <v>#NAME?</v>
      </c>
      <c r="P136" t="e">
        <f t="shared" ca="1" si="22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ca="1" si="23"/>
        <v>#NAME?</v>
      </c>
      <c r="W136" t="e">
        <f t="shared" ca="1" si="23"/>
        <v>#NAME?</v>
      </c>
      <c r="X136" t="e">
        <f t="shared" ca="1" si="23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4"/>
        <v>#NAME?</v>
      </c>
      <c r="K137" t="e">
        <f t="shared" ca="1" si="22"/>
        <v>#NAME?</v>
      </c>
      <c r="L137" t="e">
        <f t="shared" ca="1" si="22"/>
        <v>#NAME?</v>
      </c>
      <c r="M137" t="e">
        <f t="shared" ca="1" si="22"/>
        <v>#NAME?</v>
      </c>
      <c r="N137" t="e">
        <f t="shared" ref="N137:P140" ca="1" si="28">colorindex(F137)</f>
        <v>#NAME?</v>
      </c>
      <c r="O137" t="e">
        <f t="shared" ca="1" si="28"/>
        <v>#NAME?</v>
      </c>
      <c r="P137" t="e">
        <f t="shared" ca="1" si="28"/>
        <v>#NAME?</v>
      </c>
      <c r="R137" t="e">
        <f t="shared" ca="1" si="25"/>
        <v>#NAME?</v>
      </c>
      <c r="S137" t="e">
        <f t="shared" ca="1" si="23"/>
        <v>#NAME?</v>
      </c>
      <c r="T137" t="e">
        <f t="shared" ca="1" si="23"/>
        <v>#NAME?</v>
      </c>
      <c r="U137" t="e">
        <f t="shared" ca="1" si="23"/>
        <v>#NAME?</v>
      </c>
      <c r="V137" t="e">
        <f t="shared" ref="V137:X140" ca="1" si="29">ShiftIndex(F137)</f>
        <v>#NAME?</v>
      </c>
      <c r="W137" t="e">
        <f t="shared" ca="1" si="29"/>
        <v>#NAME?</v>
      </c>
      <c r="X137" t="e">
        <f t="shared" ca="1" si="29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4"/>
        <v>#NAME?</v>
      </c>
      <c r="K138" t="e">
        <f t="shared" ca="1" si="24"/>
        <v>#NAME?</v>
      </c>
      <c r="L138" t="e">
        <f t="shared" ca="1" si="24"/>
        <v>#NAME?</v>
      </c>
      <c r="M138" t="e">
        <f t="shared" ca="1" si="24"/>
        <v>#NAME?</v>
      </c>
      <c r="N138" t="e">
        <f t="shared" ca="1" si="28"/>
        <v>#NAME?</v>
      </c>
      <c r="O138" t="e">
        <f t="shared" ca="1" si="28"/>
        <v>#NAME?</v>
      </c>
      <c r="P138" t="e">
        <f t="shared" ca="1" si="28"/>
        <v>#NAME?</v>
      </c>
      <c r="R138" t="e">
        <f t="shared" ca="1" si="25"/>
        <v>#NAME?</v>
      </c>
      <c r="S138" t="e">
        <f t="shared" ca="1" si="25"/>
        <v>#NAME?</v>
      </c>
      <c r="T138" t="e">
        <f t="shared" ca="1" si="25"/>
        <v>#NAME?</v>
      </c>
      <c r="U138" t="e">
        <f t="shared" ca="1" si="25"/>
        <v>#NAME?</v>
      </c>
      <c r="V138" t="e">
        <f t="shared" ca="1" si="29"/>
        <v>#NAME?</v>
      </c>
      <c r="W138" t="e">
        <f t="shared" ca="1" si="29"/>
        <v>#NAME?</v>
      </c>
      <c r="X138" t="e">
        <f t="shared" ca="1" si="29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0">B136</f>
        <v>Mon 6 Jul</v>
      </c>
      <c r="C139" s="107" t="str">
        <f t="shared" si="30"/>
        <v>Tues 7 Jul</v>
      </c>
      <c r="D139" s="107" t="str">
        <f t="shared" si="30"/>
        <v>Wed 8 Jul</v>
      </c>
      <c r="E139" s="107" t="str">
        <f t="shared" si="30"/>
        <v>Thu 9 Jul</v>
      </c>
      <c r="F139" s="107" t="str">
        <f t="shared" si="30"/>
        <v>Fri 10 Jul</v>
      </c>
      <c r="G139" s="107" t="str">
        <f t="shared" si="30"/>
        <v>Sat 11 Jul</v>
      </c>
      <c r="H139" s="107" t="str">
        <f t="shared" si="30"/>
        <v>Sun 12 Jul</v>
      </c>
      <c r="J139" t="e">
        <f t="shared" ca="1" si="24"/>
        <v>#NAME?</v>
      </c>
      <c r="K139" t="e">
        <f t="shared" ca="1" si="24"/>
        <v>#NAME?</v>
      </c>
      <c r="L139" t="e">
        <f t="shared" ca="1" si="24"/>
        <v>#NAME?</v>
      </c>
      <c r="M139" t="e">
        <f t="shared" ca="1" si="24"/>
        <v>#NAME?</v>
      </c>
      <c r="N139" t="e">
        <f t="shared" ca="1" si="28"/>
        <v>#NAME?</v>
      </c>
      <c r="O139" t="e">
        <f t="shared" ca="1" si="28"/>
        <v>#NAME?</v>
      </c>
      <c r="P139" t="e">
        <f t="shared" ca="1" si="28"/>
        <v>#NAME?</v>
      </c>
      <c r="Q139"/>
      <c r="R139" t="e">
        <f t="shared" ca="1" si="25"/>
        <v>#NAME?</v>
      </c>
      <c r="S139" t="e">
        <f t="shared" ca="1" si="25"/>
        <v>#NAME?</v>
      </c>
      <c r="T139" t="e">
        <f t="shared" ca="1" si="25"/>
        <v>#NAME?</v>
      </c>
      <c r="U139" t="e">
        <f t="shared" ca="1" si="25"/>
        <v>#NAME?</v>
      </c>
      <c r="V139" t="e">
        <f t="shared" ca="1" si="29"/>
        <v>#NAME?</v>
      </c>
      <c r="W139" t="e">
        <f t="shared" ca="1" si="29"/>
        <v>#NAME?</v>
      </c>
      <c r="X139" t="e">
        <f t="shared" ca="1" si="29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4"/>
        <v>#NAME?</v>
      </c>
      <c r="K140" t="e">
        <f t="shared" ca="1" si="24"/>
        <v>#NAME?</v>
      </c>
      <c r="L140" t="e">
        <f t="shared" ca="1" si="24"/>
        <v>#NAME?</v>
      </c>
      <c r="M140" t="e">
        <f t="shared" ca="1" si="24"/>
        <v>#NAME?</v>
      </c>
      <c r="N140" t="e">
        <f t="shared" ca="1" si="28"/>
        <v>#NAME?</v>
      </c>
      <c r="O140" t="e">
        <f t="shared" ca="1" si="28"/>
        <v>#NAME?</v>
      </c>
      <c r="P140" t="e">
        <f t="shared" ca="1" si="28"/>
        <v>#NAME?</v>
      </c>
      <c r="Q140"/>
      <c r="R140" t="e">
        <f t="shared" ca="1" si="25"/>
        <v>#NAME?</v>
      </c>
      <c r="S140" t="e">
        <f t="shared" ca="1" si="25"/>
        <v>#NAME?</v>
      </c>
      <c r="T140" t="e">
        <f t="shared" ca="1" si="25"/>
        <v>#NAME?</v>
      </c>
      <c r="U140" t="e">
        <f t="shared" ca="1" si="25"/>
        <v>#NAME?</v>
      </c>
      <c r="V140" t="e">
        <f t="shared" ca="1" si="29"/>
        <v>#NAME?</v>
      </c>
      <c r="W140" t="e">
        <f t="shared" ca="1" si="29"/>
        <v>#NAME?</v>
      </c>
      <c r="X140" t="e">
        <f t="shared" ca="1" si="29"/>
        <v>#NAME?</v>
      </c>
      <c r="Z140" s="12"/>
      <c r="AA140"/>
    </row>
    <row r="141" spans="1:34">
      <c r="A141" s="106" t="s">
        <v>242</v>
      </c>
      <c r="B141" s="107" t="str">
        <f t="shared" ref="B141:H141" si="31">B58</f>
        <v>Mon 6 Jul</v>
      </c>
      <c r="C141" s="107" t="str">
        <f t="shared" si="31"/>
        <v>Tues 7 Jul</v>
      </c>
      <c r="D141" s="107" t="str">
        <f t="shared" si="31"/>
        <v>Wed 8 Jul</v>
      </c>
      <c r="E141" s="107" t="str">
        <f t="shared" si="31"/>
        <v>Thu 9 Jul</v>
      </c>
      <c r="F141" s="107" t="str">
        <f t="shared" si="31"/>
        <v>Fri 10 Jul</v>
      </c>
      <c r="G141" s="107" t="str">
        <f t="shared" si="31"/>
        <v>Sat 11 Jul</v>
      </c>
      <c r="H141" s="107" t="str">
        <f t="shared" si="31"/>
        <v>Sun 12 Jul</v>
      </c>
    </row>
    <row r="142" spans="1:34">
      <c r="A142" s="27" t="s">
        <v>243</v>
      </c>
      <c r="B142" s="17">
        <f t="shared" ref="B142:H142" ca="1" si="32">COUNTIFS(J:J,"Red",R:R,"AM")</f>
        <v>0</v>
      </c>
      <c r="C142" s="17">
        <f t="shared" ca="1" si="32"/>
        <v>0</v>
      </c>
      <c r="D142" s="17">
        <f t="shared" ca="1" si="32"/>
        <v>0</v>
      </c>
      <c r="E142" s="17">
        <f t="shared" ca="1" si="32"/>
        <v>0</v>
      </c>
      <c r="F142" s="17">
        <f t="shared" ca="1" si="32"/>
        <v>0</v>
      </c>
      <c r="G142" s="17">
        <f t="shared" ca="1" si="32"/>
        <v>0</v>
      </c>
      <c r="H142" s="17">
        <f t="shared" ca="1" si="32"/>
        <v>0</v>
      </c>
    </row>
    <row r="143" spans="1:34">
      <c r="A143" s="2" t="s">
        <v>244</v>
      </c>
      <c r="B143" s="17">
        <f t="shared" ref="B143:H143" ca="1" si="33">COUNTIFS(J:J,"Green",R:R,"AM")</f>
        <v>0</v>
      </c>
      <c r="C143" s="17">
        <f t="shared" ca="1" si="33"/>
        <v>0</v>
      </c>
      <c r="D143" s="17">
        <f t="shared" ca="1" si="33"/>
        <v>0</v>
      </c>
      <c r="E143" s="17">
        <f t="shared" ca="1" si="33"/>
        <v>0</v>
      </c>
      <c r="F143" s="17">
        <f t="shared" ca="1" si="33"/>
        <v>0</v>
      </c>
      <c r="G143" s="17">
        <f t="shared" ca="1" si="33"/>
        <v>0</v>
      </c>
      <c r="H143" s="17">
        <f t="shared" ca="1" si="33"/>
        <v>0</v>
      </c>
    </row>
    <row r="144" spans="1:34">
      <c r="A144" s="26" t="s">
        <v>245</v>
      </c>
      <c r="B144" s="17">
        <f t="shared" ref="B144:H144" ca="1" si="34">COUNTIFS(J:J,"Gold",R:R,"AM")</f>
        <v>0</v>
      </c>
      <c r="C144" s="17">
        <f t="shared" ca="1" si="34"/>
        <v>0</v>
      </c>
      <c r="D144" s="17">
        <f t="shared" ca="1" si="34"/>
        <v>0</v>
      </c>
      <c r="E144" s="17">
        <f t="shared" ca="1" si="34"/>
        <v>0</v>
      </c>
      <c r="F144" s="17">
        <f t="shared" ca="1" si="34"/>
        <v>0</v>
      </c>
      <c r="G144" s="17">
        <f t="shared" ca="1" si="34"/>
        <v>0</v>
      </c>
      <c r="H144" s="17">
        <f t="shared" ca="1" si="34"/>
        <v>0</v>
      </c>
    </row>
    <row r="145" spans="1:26">
      <c r="A145" s="29" t="s">
        <v>246</v>
      </c>
      <c r="B145" s="17">
        <f t="shared" ref="B145:H145" ca="1" si="35">COUNTIFS(J:J,"LGreen",R:R,"AM")</f>
        <v>0</v>
      </c>
      <c r="C145" s="17">
        <f t="shared" ca="1" si="35"/>
        <v>0</v>
      </c>
      <c r="D145" s="17">
        <f t="shared" ca="1" si="35"/>
        <v>0</v>
      </c>
      <c r="E145" s="17">
        <f t="shared" ca="1" si="35"/>
        <v>0</v>
      </c>
      <c r="F145" s="17">
        <f t="shared" ca="1" si="35"/>
        <v>0</v>
      </c>
      <c r="G145" s="17">
        <f t="shared" ca="1" si="35"/>
        <v>0</v>
      </c>
      <c r="H145" s="17">
        <f t="shared" ca="1" si="35"/>
        <v>0</v>
      </c>
    </row>
    <row r="146" spans="1:26">
      <c r="A146" s="43" t="s">
        <v>26</v>
      </c>
      <c r="B146" s="17">
        <f t="shared" ref="B146:H146" ca="1" si="36">COUNTIFS(J:J,"Blue",R:R,"AM")</f>
        <v>0</v>
      </c>
      <c r="C146" s="17">
        <f t="shared" ca="1" si="36"/>
        <v>0</v>
      </c>
      <c r="D146" s="17">
        <f t="shared" ca="1" si="36"/>
        <v>0</v>
      </c>
      <c r="E146" s="17">
        <f t="shared" ca="1" si="36"/>
        <v>0</v>
      </c>
      <c r="F146" s="17">
        <f t="shared" ca="1" si="36"/>
        <v>0</v>
      </c>
      <c r="G146" s="17">
        <f t="shared" ca="1" si="36"/>
        <v>0</v>
      </c>
      <c r="H146" s="17">
        <f t="shared" ca="1" si="36"/>
        <v>0</v>
      </c>
    </row>
    <row r="147" spans="1:26">
      <c r="A147" s="3" t="s">
        <v>16</v>
      </c>
      <c r="B147" s="17">
        <f t="shared" ref="B147:H147" ca="1" si="37">COUNTIFS(J:J,"Pink",R:R,"AM")</f>
        <v>0</v>
      </c>
      <c r="C147" s="17">
        <f t="shared" ca="1" si="37"/>
        <v>0</v>
      </c>
      <c r="D147" s="17">
        <f t="shared" ca="1" si="37"/>
        <v>0</v>
      </c>
      <c r="E147" s="17">
        <f t="shared" ca="1" si="37"/>
        <v>0</v>
      </c>
      <c r="F147" s="17">
        <f t="shared" ca="1" si="37"/>
        <v>0</v>
      </c>
      <c r="G147" s="17">
        <f t="shared" ca="1" si="37"/>
        <v>0</v>
      </c>
      <c r="H147" s="17">
        <f t="shared" ca="1" si="37"/>
        <v>0</v>
      </c>
    </row>
    <row r="148" spans="1:26">
      <c r="A148" s="5" t="s">
        <v>247</v>
      </c>
      <c r="B148" s="17">
        <f t="shared" ref="B148:H148" ca="1" si="38">COUNTIFS(R:R,"AM") - B142-B143-B144-B145-B146-B147</f>
        <v>0</v>
      </c>
      <c r="C148" s="17">
        <f t="shared" ca="1" si="38"/>
        <v>0</v>
      </c>
      <c r="D148" s="17">
        <f t="shared" ca="1" si="38"/>
        <v>0</v>
      </c>
      <c r="E148" s="17">
        <f t="shared" ca="1" si="38"/>
        <v>0</v>
      </c>
      <c r="F148" s="17">
        <f t="shared" ca="1" si="38"/>
        <v>0</v>
      </c>
      <c r="G148" s="17">
        <f t="shared" ca="1" si="38"/>
        <v>0</v>
      </c>
      <c r="H148" s="17">
        <f t="shared" ca="1" si="38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39">SUM(C142:C147)</f>
        <v>0</v>
      </c>
      <c r="D149" s="47">
        <f t="shared" ca="1" si="39"/>
        <v>0</v>
      </c>
      <c r="E149" s="47">
        <f t="shared" ca="1" si="39"/>
        <v>0</v>
      </c>
      <c r="F149" s="47">
        <f t="shared" ca="1" si="39"/>
        <v>0</v>
      </c>
      <c r="G149" s="47">
        <f t="shared" ca="1" si="39"/>
        <v>0</v>
      </c>
      <c r="H149" s="47">
        <f t="shared" ca="1" si="39"/>
        <v>0</v>
      </c>
      <c r="Z149" s="48"/>
    </row>
    <row r="150" spans="1:26">
      <c r="A150" s="27" t="s">
        <v>249</v>
      </c>
      <c r="B150" s="17">
        <f t="shared" ref="B150:H150" ca="1" si="40">COUNTIFS(J:J,"Red",R:R,"PM")</f>
        <v>0</v>
      </c>
      <c r="C150" s="17">
        <f t="shared" ca="1" si="40"/>
        <v>0</v>
      </c>
      <c r="D150" s="17">
        <f t="shared" ca="1" si="40"/>
        <v>0</v>
      </c>
      <c r="E150" s="17">
        <f t="shared" ca="1" si="40"/>
        <v>0</v>
      </c>
      <c r="F150" s="17">
        <f t="shared" ca="1" si="40"/>
        <v>0</v>
      </c>
      <c r="G150" s="17">
        <f t="shared" ca="1" si="40"/>
        <v>0</v>
      </c>
      <c r="H150" s="17">
        <f t="shared" ca="1" si="40"/>
        <v>0</v>
      </c>
    </row>
    <row r="151" spans="1:26">
      <c r="A151" s="2" t="s">
        <v>250</v>
      </c>
      <c r="B151" s="17">
        <f t="shared" ref="B151:H151" ca="1" si="41">COUNTIFS(J:J,"Green",R:R,"PM")</f>
        <v>0</v>
      </c>
      <c r="C151" s="17">
        <f t="shared" ca="1" si="41"/>
        <v>0</v>
      </c>
      <c r="D151" s="17">
        <f t="shared" ca="1" si="41"/>
        <v>0</v>
      </c>
      <c r="E151" s="17">
        <f t="shared" ca="1" si="41"/>
        <v>0</v>
      </c>
      <c r="F151" s="17">
        <f t="shared" ca="1" si="41"/>
        <v>0</v>
      </c>
      <c r="G151" s="17">
        <f t="shared" ca="1" si="41"/>
        <v>0</v>
      </c>
      <c r="H151" s="17">
        <f t="shared" ca="1" si="41"/>
        <v>0</v>
      </c>
    </row>
    <row r="152" spans="1:26">
      <c r="A152" s="26" t="s">
        <v>251</v>
      </c>
      <c r="B152" s="17">
        <f t="shared" ref="B152:H152" ca="1" si="42">COUNTIFS(J:J,"Gold",R:R,"PM")</f>
        <v>0</v>
      </c>
      <c r="C152" s="17">
        <f t="shared" ca="1" si="42"/>
        <v>0</v>
      </c>
      <c r="D152" s="17">
        <f t="shared" ca="1" si="42"/>
        <v>0</v>
      </c>
      <c r="E152" s="17">
        <f t="shared" ca="1" si="42"/>
        <v>0</v>
      </c>
      <c r="F152" s="17">
        <f t="shared" ca="1" si="42"/>
        <v>0</v>
      </c>
      <c r="G152" s="17">
        <f t="shared" ca="1" si="42"/>
        <v>0</v>
      </c>
      <c r="H152" s="17">
        <f t="shared" ca="1" si="42"/>
        <v>0</v>
      </c>
    </row>
    <row r="153" spans="1:26">
      <c r="A153" s="29" t="s">
        <v>252</v>
      </c>
      <c r="B153" s="17">
        <f t="shared" ref="B153:H153" ca="1" si="43">COUNTIFS(J:J,"LGreen",R:R,"PM")</f>
        <v>0</v>
      </c>
      <c r="C153" s="17">
        <f t="shared" ca="1" si="43"/>
        <v>0</v>
      </c>
      <c r="D153" s="17">
        <f t="shared" ca="1" si="43"/>
        <v>0</v>
      </c>
      <c r="E153" s="17">
        <f t="shared" ca="1" si="43"/>
        <v>0</v>
      </c>
      <c r="F153" s="17">
        <f t="shared" ca="1" si="43"/>
        <v>0</v>
      </c>
      <c r="G153" s="17">
        <f t="shared" ca="1" si="43"/>
        <v>0</v>
      </c>
      <c r="H153" s="17">
        <f t="shared" ca="1" si="43"/>
        <v>0</v>
      </c>
    </row>
    <row r="154" spans="1:26">
      <c r="A154" s="10" t="s">
        <v>253</v>
      </c>
      <c r="B154" s="17">
        <f t="shared" ref="B154:H154" ca="1" si="44">COUNTIFS(J:J,"Blue",R:R,"PM")</f>
        <v>0</v>
      </c>
      <c r="C154" s="17">
        <f t="shared" ca="1" si="44"/>
        <v>0</v>
      </c>
      <c r="D154" s="17">
        <f t="shared" ca="1" si="44"/>
        <v>0</v>
      </c>
      <c r="E154" s="17">
        <f t="shared" ca="1" si="44"/>
        <v>0</v>
      </c>
      <c r="F154" s="17">
        <f t="shared" ca="1" si="44"/>
        <v>0</v>
      </c>
      <c r="G154" s="17">
        <f t="shared" ca="1" si="44"/>
        <v>0</v>
      </c>
      <c r="H154" s="17">
        <f t="shared" ca="1" si="44"/>
        <v>0</v>
      </c>
    </row>
    <row r="155" spans="1:26">
      <c r="A155" s="3" t="s">
        <v>59</v>
      </c>
      <c r="B155" s="17">
        <f t="shared" ref="B155:H155" ca="1" si="45">COUNTIFS(J:J,"Pink",R:R,"PM")</f>
        <v>0</v>
      </c>
      <c r="C155" s="17">
        <f t="shared" ca="1" si="45"/>
        <v>0</v>
      </c>
      <c r="D155" s="17">
        <f t="shared" ca="1" si="45"/>
        <v>0</v>
      </c>
      <c r="E155" s="17">
        <f t="shared" ca="1" si="45"/>
        <v>0</v>
      </c>
      <c r="F155" s="17">
        <f t="shared" ca="1" si="45"/>
        <v>0</v>
      </c>
      <c r="G155" s="17">
        <f t="shared" ca="1" si="45"/>
        <v>0</v>
      </c>
      <c r="H155" s="17">
        <f t="shared" ca="1" si="45"/>
        <v>0</v>
      </c>
    </row>
    <row r="156" spans="1:26">
      <c r="A156" s="5" t="s">
        <v>254</v>
      </c>
      <c r="B156" s="17">
        <f t="shared" ref="B156:H156" ca="1" si="46">COUNTIFS(R:R,"PM") -B151-B152-B155-B154-B150-B153</f>
        <v>0</v>
      </c>
      <c r="C156" s="17">
        <f t="shared" ca="1" si="46"/>
        <v>0</v>
      </c>
      <c r="D156" s="17">
        <f t="shared" ca="1" si="46"/>
        <v>0</v>
      </c>
      <c r="E156" s="17">
        <f t="shared" ca="1" si="46"/>
        <v>0</v>
      </c>
      <c r="F156" s="17">
        <f t="shared" ca="1" si="46"/>
        <v>0</v>
      </c>
      <c r="G156" s="17">
        <f t="shared" ca="1" si="46"/>
        <v>0</v>
      </c>
      <c r="H156" s="17">
        <f t="shared" ca="1" si="46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7">SUM(C150:C155)</f>
        <v>0</v>
      </c>
      <c r="D157" s="47">
        <f t="shared" ca="1" si="47"/>
        <v>0</v>
      </c>
      <c r="E157" s="47">
        <f t="shared" ca="1" si="47"/>
        <v>0</v>
      </c>
      <c r="F157" s="47">
        <f t="shared" ca="1" si="47"/>
        <v>0</v>
      </c>
      <c r="G157" s="47">
        <f t="shared" ca="1" si="47"/>
        <v>0</v>
      </c>
      <c r="H157" s="47">
        <f t="shared" ca="1" si="47"/>
        <v>0</v>
      </c>
      <c r="Z157" s="48"/>
    </row>
    <row r="158" spans="1:26">
      <c r="A158" s="4" t="s">
        <v>256</v>
      </c>
      <c r="B158" s="17">
        <f t="shared" ref="B158:H158" ca="1" si="48">COUNTIFS(R:R,"ND")</f>
        <v>0</v>
      </c>
      <c r="C158" s="17">
        <f t="shared" ca="1" si="48"/>
        <v>0</v>
      </c>
      <c r="D158" s="17">
        <f t="shared" ca="1" si="48"/>
        <v>0</v>
      </c>
      <c r="E158" s="17">
        <f t="shared" ca="1" si="48"/>
        <v>0</v>
      </c>
      <c r="F158" s="17">
        <f t="shared" ca="1" si="48"/>
        <v>0</v>
      </c>
      <c r="G158" s="17">
        <f t="shared" ca="1" si="48"/>
        <v>0</v>
      </c>
      <c r="H158" s="17">
        <f t="shared" ca="1" si="48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92:A99">
    <sortCondition ref="A92"/>
  </sortState>
  <mergeCells count="24">
    <mergeCell ref="B48:H48"/>
    <mergeCell ref="B50:H50"/>
    <mergeCell ref="B129:H129"/>
    <mergeCell ref="G130:H130"/>
    <mergeCell ref="D134:H134"/>
    <mergeCell ref="B70:H70"/>
    <mergeCell ref="B93:H93"/>
    <mergeCell ref="B110:H110"/>
    <mergeCell ref="B112:H112"/>
    <mergeCell ref="B6:H6"/>
    <mergeCell ref="B12:H12"/>
    <mergeCell ref="B14:H14"/>
    <mergeCell ref="B20:H20"/>
    <mergeCell ref="B23:H23"/>
    <mergeCell ref="B27:H27"/>
    <mergeCell ref="B28:H28"/>
    <mergeCell ref="B30:H30"/>
    <mergeCell ref="B31:H31"/>
    <mergeCell ref="B34:H34"/>
    <mergeCell ref="B35:H35"/>
    <mergeCell ref="B36:H36"/>
    <mergeCell ref="B39:H39"/>
    <mergeCell ref="B40:H40"/>
    <mergeCell ref="B42:H42"/>
  </mergeCells>
  <phoneticPr fontId="12" type="noConversion"/>
  <conditionalFormatting sqref="B145:H145 B147:H147 B153:H153 B155:H155">
    <cfRule type="cellIs" dxfId="23" priority="4" operator="lessThan">
      <formula>2</formula>
    </cfRule>
  </conditionalFormatting>
  <conditionalFormatting sqref="B146:H146">
    <cfRule type="cellIs" dxfId="22" priority="2" operator="lessThan">
      <formula>2</formula>
    </cfRule>
  </conditionalFormatting>
  <conditionalFormatting sqref="B143:H144 B151:H152">
    <cfRule type="cellIs" dxfId="21" priority="5" operator="lessThan">
      <formula>4</formula>
    </cfRule>
  </conditionalFormatting>
  <conditionalFormatting sqref="B142:H142 B150:H150">
    <cfRule type="cellIs" dxfId="20" priority="6" operator="lessThan">
      <formula>2</formula>
    </cfRule>
  </conditionalFormatting>
  <conditionalFormatting sqref="B158:H158">
    <cfRule type="cellIs" dxfId="19" priority="3" operator="lessThan">
      <formula>7</formula>
    </cfRule>
  </conditionalFormatting>
  <conditionalFormatting sqref="B154:H154">
    <cfRule type="cellIs" dxfId="18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1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5">
    <tabColor theme="0"/>
    <pageSetUpPr fitToPage="1"/>
  </sheetPr>
  <dimension ref="A1:AH161"/>
  <sheetViews>
    <sheetView topLeftCell="A103" zoomScaleNormal="100" workbookViewId="0">
      <selection activeCell="E121" sqref="E121:H121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46216</v>
      </c>
      <c r="C2" s="105">
        <f>B2+1</f>
        <v>46217</v>
      </c>
      <c r="D2" s="105">
        <f t="shared" ref="D2:H2" si="0">C2+1</f>
        <v>46218</v>
      </c>
      <c r="E2" s="105">
        <f t="shared" si="0"/>
        <v>46219</v>
      </c>
      <c r="F2" s="105">
        <f t="shared" si="0"/>
        <v>46220</v>
      </c>
      <c r="G2" s="105">
        <f t="shared" si="0"/>
        <v>46221</v>
      </c>
      <c r="H2" s="105">
        <f t="shared" si="0"/>
        <v>46222</v>
      </c>
    </row>
    <row r="3" spans="1:26" ht="14.45" customHeight="1">
      <c r="A3" s="21" t="s">
        <v>15</v>
      </c>
      <c r="B3" s="25"/>
      <c r="C3" s="110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8" t="s">
        <v>31</v>
      </c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127" t="s">
        <v>18</v>
      </c>
      <c r="C6" s="128"/>
      <c r="D6" s="128"/>
      <c r="E6" s="128"/>
      <c r="F6" s="128"/>
      <c r="G6" s="128"/>
      <c r="H6" s="129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25"/>
      <c r="C7" s="44" t="s">
        <v>26</v>
      </c>
      <c r="D7" s="25" t="s">
        <v>24</v>
      </c>
      <c r="E7" s="116" t="s">
        <v>32</v>
      </c>
      <c r="F7" s="117" t="s">
        <v>36</v>
      </c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117" t="s">
        <v>31</v>
      </c>
      <c r="F8" s="115" t="s">
        <v>287</v>
      </c>
      <c r="G8" s="25"/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0" t="s">
        <v>59</v>
      </c>
      <c r="C9" s="25"/>
      <c r="D9" s="25"/>
      <c r="E9" s="25" t="s">
        <v>24</v>
      </c>
      <c r="F9" s="25"/>
      <c r="G9" s="25"/>
      <c r="H9" s="110" t="s">
        <v>59</v>
      </c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110" t="s">
        <v>16</v>
      </c>
      <c r="E10" s="115" t="s">
        <v>287</v>
      </c>
      <c r="F10" s="25"/>
      <c r="G10" s="117" t="s">
        <v>31</v>
      </c>
      <c r="H10" s="28" t="s">
        <v>34</v>
      </c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117" t="s">
        <v>31</v>
      </c>
      <c r="C11" s="117" t="s">
        <v>36</v>
      </c>
      <c r="D11" s="25"/>
      <c r="E11" s="109" t="s">
        <v>367</v>
      </c>
      <c r="F11" s="44" t="s">
        <v>26</v>
      </c>
      <c r="G11" s="25"/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127" t="s">
        <v>18</v>
      </c>
      <c r="C12" s="128"/>
      <c r="D12" s="128"/>
      <c r="E12" s="128"/>
      <c r="F12" s="128"/>
      <c r="G12" s="128"/>
      <c r="H12" s="129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127" t="s">
        <v>20</v>
      </c>
      <c r="C13" s="128"/>
      <c r="D13" s="128"/>
      <c r="E13" s="128"/>
      <c r="F13" s="128"/>
      <c r="G13" s="128"/>
      <c r="H13" s="129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260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115" t="s">
        <v>287</v>
      </c>
      <c r="C15" s="25"/>
      <c r="D15" s="118" t="s">
        <v>36</v>
      </c>
      <c r="E15" s="25"/>
      <c r="F15" s="25"/>
      <c r="G15" s="118" t="s">
        <v>31</v>
      </c>
      <c r="H15" s="116" t="s">
        <v>45</v>
      </c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127" t="s">
        <v>18</v>
      </c>
      <c r="C16" s="128"/>
      <c r="D16" s="128"/>
      <c r="E16" s="128"/>
      <c r="F16" s="128"/>
      <c r="G16" s="128"/>
      <c r="H16" s="129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25" t="s">
        <v>24</v>
      </c>
      <c r="C17" s="115" t="s">
        <v>287</v>
      </c>
      <c r="D17" s="110" t="s">
        <v>59</v>
      </c>
      <c r="E17" s="25"/>
      <c r="F17" s="25"/>
      <c r="G17" s="25"/>
      <c r="H17" s="110" t="s">
        <v>16</v>
      </c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116" t="s">
        <v>45</v>
      </c>
      <c r="C18" s="25"/>
      <c r="D18" s="25"/>
      <c r="E18" s="25"/>
      <c r="F18" s="25"/>
      <c r="G18" s="25"/>
      <c r="H18" s="25"/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24</v>
      </c>
      <c r="G19" s="25"/>
      <c r="H19" s="118" t="s">
        <v>36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25"/>
      <c r="C20" s="25"/>
      <c r="D20" s="118" t="s">
        <v>31</v>
      </c>
      <c r="E20" s="110" t="s">
        <v>16</v>
      </c>
      <c r="F20" s="25"/>
      <c r="G20" s="118" t="s">
        <v>36</v>
      </c>
      <c r="H20" s="25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8" t="s">
        <v>31</v>
      </c>
      <c r="C22" s="28" t="s">
        <v>25</v>
      </c>
      <c r="D22" s="25" t="s">
        <v>24</v>
      </c>
      <c r="E22" s="25"/>
      <c r="F22" s="25"/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25" t="s">
        <v>367</v>
      </c>
      <c r="C23" s="25"/>
      <c r="D23" s="25"/>
      <c r="E23" s="25"/>
      <c r="F23" s="25" t="s">
        <v>24</v>
      </c>
      <c r="G23" s="116" t="s">
        <v>45</v>
      </c>
      <c r="H23" s="117" t="s">
        <v>31</v>
      </c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115" t="s">
        <v>287</v>
      </c>
      <c r="E24" s="25"/>
      <c r="F24" s="116" t="s">
        <v>32</v>
      </c>
      <c r="G24" s="25"/>
      <c r="H24" s="118" t="s">
        <v>31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7" t="s">
        <v>31</v>
      </c>
      <c r="E25" s="25" t="s">
        <v>24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25"/>
      <c r="C26" s="25"/>
      <c r="D26" s="25" t="s">
        <v>24</v>
      </c>
      <c r="E26" s="25"/>
      <c r="F26" s="117" t="s">
        <v>31</v>
      </c>
      <c r="G26" s="116" t="s">
        <v>32</v>
      </c>
      <c r="H26" s="25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127" t="s">
        <v>18</v>
      </c>
      <c r="C27" s="128"/>
      <c r="D27" s="128"/>
      <c r="E27" s="128"/>
      <c r="F27" s="128"/>
      <c r="G27" s="128"/>
      <c r="H27" s="129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260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 t="s">
        <v>24</v>
      </c>
      <c r="C29" s="116" t="s">
        <v>45</v>
      </c>
      <c r="D29" s="25"/>
      <c r="E29" s="25"/>
      <c r="F29" s="110" t="s">
        <v>59</v>
      </c>
      <c r="G29" s="25"/>
      <c r="H29" s="25"/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127" t="s">
        <v>18</v>
      </c>
      <c r="C30" s="128"/>
      <c r="D30" s="128"/>
      <c r="E30" s="128"/>
      <c r="F30" s="128"/>
      <c r="G30" s="128"/>
      <c r="H30" s="129"/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118" t="s">
        <v>36</v>
      </c>
      <c r="C32" s="28" t="s">
        <v>34</v>
      </c>
      <c r="D32" s="25" t="s">
        <v>24</v>
      </c>
      <c r="E32" s="25"/>
      <c r="F32" s="25"/>
      <c r="G32" s="25"/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25" t="s">
        <v>24</v>
      </c>
      <c r="C33" s="25"/>
      <c r="D33" s="44" t="s">
        <v>26</v>
      </c>
      <c r="E33" s="110" t="s">
        <v>59</v>
      </c>
      <c r="F33" s="118" t="s">
        <v>36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16</v>
      </c>
      <c r="G34" s="25"/>
      <c r="H34" s="25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25"/>
      <c r="D35" s="115" t="s">
        <v>287</v>
      </c>
      <c r="E35" s="116" t="s">
        <v>45</v>
      </c>
      <c r="F35" s="25"/>
      <c r="G35" s="25"/>
      <c r="H35" s="116" t="s">
        <v>32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127" t="s">
        <v>42</v>
      </c>
      <c r="C36" s="128"/>
      <c r="D36" s="128"/>
      <c r="E36" s="128"/>
      <c r="F36" s="128"/>
      <c r="G36" s="128"/>
      <c r="H36" s="129"/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25" t="s">
        <v>24</v>
      </c>
      <c r="C37" s="25" t="s">
        <v>24</v>
      </c>
      <c r="D37" s="116" t="s">
        <v>45</v>
      </c>
      <c r="E37" s="25"/>
      <c r="F37" s="25" t="s">
        <v>24</v>
      </c>
      <c r="G37" s="25"/>
      <c r="H37" s="25"/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25"/>
      <c r="C38" s="118" t="s">
        <v>31</v>
      </c>
      <c r="D38" s="117" t="s">
        <v>36</v>
      </c>
      <c r="E38" s="25"/>
      <c r="F38" s="116" t="s">
        <v>45</v>
      </c>
      <c r="G38" s="25"/>
      <c r="H38" s="25"/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127" t="s">
        <v>29</v>
      </c>
      <c r="C39" s="128"/>
      <c r="D39" s="128"/>
      <c r="E39" s="128"/>
      <c r="F39" s="128"/>
      <c r="G39" s="128"/>
      <c r="H39" s="129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16" t="s">
        <v>32</v>
      </c>
      <c r="C40" s="25"/>
      <c r="D40" s="25" t="s">
        <v>24</v>
      </c>
      <c r="E40" s="25"/>
      <c r="F40" s="25"/>
      <c r="G40" s="110" t="s">
        <v>16</v>
      </c>
      <c r="H40" s="44" t="s">
        <v>26</v>
      </c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116" t="s">
        <v>32</v>
      </c>
      <c r="E41" s="25"/>
      <c r="F41" s="25"/>
      <c r="G41" s="117" t="s">
        <v>36</v>
      </c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127" t="s">
        <v>20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28" t="s">
        <v>25</v>
      </c>
      <c r="C43" s="110" t="s">
        <v>59</v>
      </c>
      <c r="D43" s="119"/>
      <c r="E43" s="119"/>
      <c r="F43" s="119"/>
      <c r="G43" s="119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117" t="s">
        <v>36</v>
      </c>
      <c r="C44" s="116" t="s">
        <v>32</v>
      </c>
      <c r="D44" s="25" t="s">
        <v>24</v>
      </c>
      <c r="E44" s="118" t="s">
        <v>31</v>
      </c>
      <c r="F44" s="25"/>
      <c r="G44" s="25"/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28" t="s">
        <v>25</v>
      </c>
      <c r="E45" s="117" t="s">
        <v>36</v>
      </c>
      <c r="F45" s="25"/>
      <c r="G45" s="44" t="s">
        <v>26</v>
      </c>
      <c r="H45" s="117" t="s">
        <v>36</v>
      </c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25"/>
      <c r="C46" s="117" t="s">
        <v>31</v>
      </c>
      <c r="D46" s="25" t="s">
        <v>24</v>
      </c>
      <c r="E46" s="118" t="s">
        <v>36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8" t="s">
        <v>34</v>
      </c>
      <c r="C47" s="25"/>
      <c r="D47" s="118" t="s">
        <v>288</v>
      </c>
      <c r="E47" s="28" t="s">
        <v>25</v>
      </c>
      <c r="F47" s="25"/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27" t="s">
        <v>18</v>
      </c>
      <c r="C48" s="128"/>
      <c r="D48" s="128"/>
      <c r="E48" s="128"/>
      <c r="F48" s="128"/>
      <c r="G48" s="128"/>
      <c r="H48" s="129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44" t="s">
        <v>26</v>
      </c>
      <c r="C49" s="25"/>
      <c r="D49" s="25" t="s">
        <v>24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15" t="s">
        <v>287</v>
      </c>
      <c r="C50" s="118" t="s">
        <v>36</v>
      </c>
      <c r="D50" s="25" t="s">
        <v>24</v>
      </c>
      <c r="E50" s="44" t="s">
        <v>26</v>
      </c>
      <c r="F50" s="25"/>
      <c r="G50" s="110" t="s">
        <v>59</v>
      </c>
      <c r="H50" s="25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342</v>
      </c>
      <c r="C53" s="51" t="s">
        <v>272</v>
      </c>
      <c r="D53" s="51" t="s">
        <v>391</v>
      </c>
      <c r="E53" s="51" t="s">
        <v>315</v>
      </c>
      <c r="F53" s="51" t="s">
        <v>293</v>
      </c>
      <c r="G53" s="51" t="s">
        <v>343</v>
      </c>
      <c r="H53" s="51" t="s">
        <v>268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13 Jul</v>
      </c>
      <c r="C54" s="107" t="str">
        <f>C58</f>
        <v>Tues 14 Jul</v>
      </c>
      <c r="D54" s="107" t="str">
        <f t="shared" ref="D54:H54" si="11">D58</f>
        <v>Wed 15 Jul</v>
      </c>
      <c r="E54" s="107" t="str">
        <f t="shared" si="11"/>
        <v>Thu 16 Jul</v>
      </c>
      <c r="F54" s="107" t="str">
        <f t="shared" si="11"/>
        <v>Fri 17 Jul</v>
      </c>
      <c r="G54" s="107" t="str">
        <f t="shared" si="11"/>
        <v>Sat 18 Jul</v>
      </c>
      <c r="H54" s="107" t="str">
        <f t="shared" si="11"/>
        <v>Sun 19 Jul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109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22" t="s">
        <v>429</v>
      </c>
      <c r="B57" s="25"/>
      <c r="C57" s="25"/>
      <c r="D57" s="25"/>
      <c r="E57" s="25"/>
      <c r="F57" s="25"/>
      <c r="G57" s="25"/>
      <c r="H57" s="25"/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106" t="s">
        <v>113</v>
      </c>
      <c r="B58" s="107" t="s">
        <v>438</v>
      </c>
      <c r="C58" s="107" t="s">
        <v>439</v>
      </c>
      <c r="D58" s="107" t="s">
        <v>440</v>
      </c>
      <c r="E58" s="107" t="s">
        <v>441</v>
      </c>
      <c r="F58" s="107" t="s">
        <v>442</v>
      </c>
      <c r="G58" s="107" t="s">
        <v>443</v>
      </c>
      <c r="H58" s="107" t="s">
        <v>444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28" t="s">
        <v>115</v>
      </c>
      <c r="C59" s="120" t="s">
        <v>116</v>
      </c>
      <c r="D59" s="25"/>
      <c r="E59" s="25"/>
      <c r="F59" s="25"/>
      <c r="G59" s="28" t="s">
        <v>115</v>
      </c>
      <c r="H59" s="121" t="s">
        <v>116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8" t="s">
        <v>119</v>
      </c>
      <c r="D60" s="120" t="s">
        <v>118</v>
      </c>
      <c r="E60" s="121" t="s">
        <v>116</v>
      </c>
      <c r="F60" s="28" t="s">
        <v>115</v>
      </c>
      <c r="G60" s="25"/>
      <c r="H60" s="25"/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0" t="s">
        <v>116</v>
      </c>
      <c r="C62" s="28" t="s">
        <v>115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2">colorindex(E62)</f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3">ShiftIndex(E62)</f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13 Jul</v>
      </c>
      <c r="C63" s="107" t="str">
        <f t="shared" ref="C63:H63" si="14">C58</f>
        <v>Tues 14 Jul</v>
      </c>
      <c r="D63" s="107" t="str">
        <f t="shared" si="14"/>
        <v>Wed 15 Jul</v>
      </c>
      <c r="E63" s="107" t="str">
        <f t="shared" si="14"/>
        <v>Thu 16 Jul</v>
      </c>
      <c r="F63" s="107" t="str">
        <f t="shared" si="14"/>
        <v>Fri 17 Jul</v>
      </c>
      <c r="G63" s="107" t="str">
        <f t="shared" si="14"/>
        <v>Sat 18 Jul</v>
      </c>
      <c r="H63" s="107" t="str">
        <f t="shared" si="14"/>
        <v>Sun 19 Jul</v>
      </c>
      <c r="J63" t="e">
        <f t="shared" ref="J63:P101" ca="1" si="15">colorindex(B63)</f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ref="R63:X101" ca="1" si="16">ShiftIndex(B63)</f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1" t="s">
        <v>118</v>
      </c>
      <c r="F64" s="25"/>
      <c r="G64" s="120" t="s">
        <v>118</v>
      </c>
      <c r="H64" s="28" t="s">
        <v>119</v>
      </c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1</v>
      </c>
    </row>
    <row r="65" spans="1:26" ht="15" customHeight="1">
      <c r="A65" s="22" t="s">
        <v>128</v>
      </c>
      <c r="B65" s="25"/>
      <c r="C65" s="120" t="s">
        <v>118</v>
      </c>
      <c r="D65" s="25"/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0.25</v>
      </c>
    </row>
    <row r="66" spans="1:26" ht="15" customHeight="1">
      <c r="A66" s="22" t="s">
        <v>129</v>
      </c>
      <c r="B66" s="120" t="s">
        <v>118</v>
      </c>
      <c r="C66" s="25"/>
      <c r="D66" s="121" t="s">
        <v>118</v>
      </c>
      <c r="E66" s="25"/>
      <c r="F66" s="25"/>
      <c r="G66" s="25"/>
      <c r="H66" s="25"/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15">
        <v>0.5</v>
      </c>
    </row>
    <row r="67" spans="1:26" ht="26.25">
      <c r="A67" s="106" t="s">
        <v>130</v>
      </c>
      <c r="B67" s="108" t="str">
        <f>B58</f>
        <v>Mon 13 Jul</v>
      </c>
      <c r="C67" s="107" t="str">
        <f t="shared" ref="C67:H67" si="17">C58</f>
        <v>Tues 14 Jul</v>
      </c>
      <c r="D67" s="108" t="s">
        <v>445</v>
      </c>
      <c r="E67" s="107" t="str">
        <f t="shared" si="17"/>
        <v>Thu 16 Jul</v>
      </c>
      <c r="F67" s="107" t="str">
        <f t="shared" si="17"/>
        <v>Fri 17 Jul</v>
      </c>
      <c r="G67" s="107" t="str">
        <f t="shared" si="17"/>
        <v>Sat 18 Jul</v>
      </c>
      <c r="H67" s="107" t="str">
        <f t="shared" si="17"/>
        <v>Sun 19 Jul</v>
      </c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25" t="s">
        <v>141</v>
      </c>
      <c r="E68" s="25"/>
      <c r="F68" s="25"/>
      <c r="G68" s="28" t="s">
        <v>119</v>
      </c>
      <c r="H68" s="25"/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135</v>
      </c>
      <c r="B69" s="25"/>
      <c r="C69" s="25"/>
      <c r="D69" s="25" t="s">
        <v>141</v>
      </c>
      <c r="E69" s="25"/>
      <c r="F69" s="121" t="s">
        <v>116</v>
      </c>
      <c r="G69" s="110" t="s">
        <v>139</v>
      </c>
      <c r="H69" s="25"/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136</v>
      </c>
      <c r="B70" s="25"/>
      <c r="C70" s="25"/>
      <c r="D70" s="28" t="s">
        <v>115</v>
      </c>
      <c r="E70" s="121" t="s">
        <v>116</v>
      </c>
      <c r="F70" s="28" t="s">
        <v>115</v>
      </c>
      <c r="G70" s="25"/>
      <c r="H70" s="25" t="s">
        <v>123</v>
      </c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137</v>
      </c>
      <c r="B71" s="121" t="s">
        <v>118</v>
      </c>
      <c r="C71" s="25"/>
      <c r="D71" s="25" t="s">
        <v>141</v>
      </c>
      <c r="E71" s="110" t="s">
        <v>142</v>
      </c>
      <c r="F71" s="120" t="s">
        <v>118</v>
      </c>
      <c r="G71" s="25"/>
      <c r="H71" s="25"/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140</v>
      </c>
      <c r="B72" s="25"/>
      <c r="C72" s="121" t="s">
        <v>116</v>
      </c>
      <c r="D72" s="121" t="s">
        <v>116</v>
      </c>
      <c r="E72" s="28" t="s">
        <v>115</v>
      </c>
      <c r="F72" s="25"/>
      <c r="G72" s="110" t="s">
        <v>142</v>
      </c>
      <c r="H72" s="120" t="s">
        <v>118</v>
      </c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2"/>
        <v>#NAME?</v>
      </c>
      <c r="N72" t="e">
        <f t="shared" ca="1" si="12"/>
        <v>#NAME?</v>
      </c>
      <c r="O72" t="e">
        <f t="shared" ca="1" si="12"/>
        <v>#NAME?</v>
      </c>
      <c r="P72" t="e">
        <f t="shared" ca="1" si="12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143</v>
      </c>
      <c r="B73" s="25" t="s">
        <v>123</v>
      </c>
      <c r="C73" s="25" t="s">
        <v>123</v>
      </c>
      <c r="D73" s="25" t="s">
        <v>123</v>
      </c>
      <c r="E73" s="25" t="s">
        <v>123</v>
      </c>
      <c r="F73" s="25"/>
      <c r="G73" s="25"/>
      <c r="H73" s="25"/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123</v>
      </c>
      <c r="G74" s="25" t="s">
        <v>123</v>
      </c>
      <c r="H74" s="25" t="s">
        <v>152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24">
        <v>1</v>
      </c>
    </row>
    <row r="75" spans="1:26" ht="26.25">
      <c r="A75" s="106" t="s">
        <v>146</v>
      </c>
      <c r="B75" s="108" t="str">
        <f>B58</f>
        <v>Mon 13 Jul</v>
      </c>
      <c r="C75" s="107" t="str">
        <f>C67</f>
        <v>Tues 14 Jul</v>
      </c>
      <c r="D75" s="108" t="s">
        <v>437</v>
      </c>
      <c r="E75" s="107" t="str">
        <f>E67</f>
        <v>Thu 16 Jul</v>
      </c>
      <c r="F75" s="107" t="str">
        <f>F67</f>
        <v>Fri 17 Jul</v>
      </c>
      <c r="G75" s="107" t="str">
        <f>G67</f>
        <v>Sat 18 Jul</v>
      </c>
      <c r="H75" s="107" t="str">
        <f>H67</f>
        <v>Sun 19 Jul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53">
        <f>SUM(Z68:Z74)</f>
        <v>6</v>
      </c>
    </row>
    <row r="76" spans="1:26" ht="15" customHeight="1">
      <c r="A76" s="22" t="s">
        <v>147</v>
      </c>
      <c r="B76" s="25"/>
      <c r="C76" s="121" t="s">
        <v>116</v>
      </c>
      <c r="D76" s="120" t="s">
        <v>116</v>
      </c>
      <c r="E76" s="25"/>
      <c r="F76" s="110" t="s">
        <v>142</v>
      </c>
      <c r="G76" s="25"/>
      <c r="H76" s="110" t="s">
        <v>142</v>
      </c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24">
        <v>1</v>
      </c>
    </row>
    <row r="77" spans="1:26" ht="15" customHeight="1">
      <c r="A77" s="22" t="s">
        <v>151</v>
      </c>
      <c r="B77" s="110" t="s">
        <v>142</v>
      </c>
      <c r="C77" s="25"/>
      <c r="D77" s="25" t="s">
        <v>141</v>
      </c>
      <c r="E77" s="25" t="s">
        <v>152</v>
      </c>
      <c r="F77" s="25" t="s">
        <v>152</v>
      </c>
      <c r="G77" s="25" t="s">
        <v>152</v>
      </c>
      <c r="H77" s="25"/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1</v>
      </c>
    </row>
    <row r="78" spans="1:26" ht="15" customHeight="1">
      <c r="A78" s="22" t="s">
        <v>153</v>
      </c>
      <c r="B78" s="121" t="s">
        <v>116</v>
      </c>
      <c r="C78" s="25"/>
      <c r="D78" s="25" t="s">
        <v>141</v>
      </c>
      <c r="E78" s="25"/>
      <c r="F78" s="121" t="s">
        <v>118</v>
      </c>
      <c r="G78" s="25"/>
      <c r="H78" s="25"/>
      <c r="J78" t="e">
        <f t="shared" ca="1" si="15"/>
        <v>#NAME?</v>
      </c>
      <c r="K78" t="e">
        <f t="shared" ca="1" si="15"/>
        <v>#NAME?</v>
      </c>
      <c r="L78" t="e">
        <f t="shared" ca="1" si="15"/>
        <v>#NAME?</v>
      </c>
      <c r="M78" t="e">
        <f t="shared" ca="1" si="15"/>
        <v>#NAME?</v>
      </c>
      <c r="N78" t="e">
        <f t="shared" ca="1" si="15"/>
        <v>#NAME?</v>
      </c>
      <c r="O78" t="e">
        <f t="shared" ca="1" si="15"/>
        <v>#NAME?</v>
      </c>
      <c r="P78" t="e">
        <f t="shared" ca="1" si="15"/>
        <v>#NAME?</v>
      </c>
      <c r="R78" t="e">
        <f t="shared" ca="1" si="16"/>
        <v>#NAME?</v>
      </c>
      <c r="S78" t="e">
        <f t="shared" ca="1" si="16"/>
        <v>#NAME?</v>
      </c>
      <c r="T78" t="e">
        <f t="shared" ca="1" si="16"/>
        <v>#NAME?</v>
      </c>
      <c r="U78" t="e">
        <f t="shared" ca="1" si="16"/>
        <v>#NAME?</v>
      </c>
      <c r="V78" t="e">
        <f t="shared" ca="1" si="16"/>
        <v>#NAME?</v>
      </c>
      <c r="W78" t="e">
        <f t="shared" ca="1" si="16"/>
        <v>#NAME?</v>
      </c>
      <c r="X78" t="e">
        <f t="shared" ca="1" si="16"/>
        <v>#NAME?</v>
      </c>
      <c r="Z78" s="15">
        <v>0.5</v>
      </c>
    </row>
    <row r="79" spans="1:26">
      <c r="A79" s="22" t="s">
        <v>154</v>
      </c>
      <c r="B79" s="121" t="s">
        <v>118</v>
      </c>
      <c r="C79" s="25"/>
      <c r="D79" s="25" t="s">
        <v>141</v>
      </c>
      <c r="E79" s="25"/>
      <c r="F79" s="121" t="s">
        <v>118</v>
      </c>
      <c r="G79" s="28" t="s">
        <v>119</v>
      </c>
      <c r="H79" s="121" t="s">
        <v>118</v>
      </c>
      <c r="J79" t="e">
        <f t="shared" ref="J79:P97" ca="1" si="18">colorindex(B79)</f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ref="R79:X97" ca="1" si="19">ShiftIndex(B79)</f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1</v>
      </c>
    </row>
    <row r="80" spans="1:26">
      <c r="A80" s="22" t="s">
        <v>155</v>
      </c>
      <c r="B80" s="25"/>
      <c r="C80" s="121" t="s">
        <v>118</v>
      </c>
      <c r="D80" s="25" t="s">
        <v>141</v>
      </c>
      <c r="E80" s="25"/>
      <c r="F80" s="25"/>
      <c r="G80" s="25"/>
      <c r="H80" s="121" t="s">
        <v>116</v>
      </c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0.5</v>
      </c>
    </row>
    <row r="81" spans="1:26" ht="15" customHeight="1">
      <c r="A81" s="22" t="s">
        <v>156</v>
      </c>
      <c r="B81" s="28" t="s">
        <v>119</v>
      </c>
      <c r="C81" s="25"/>
      <c r="D81" s="121" t="s">
        <v>116</v>
      </c>
      <c r="E81" s="28" t="s">
        <v>115</v>
      </c>
      <c r="F81" s="25"/>
      <c r="G81" s="25"/>
      <c r="H81" s="25"/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158</v>
      </c>
      <c r="B82" s="25"/>
      <c r="C82" s="110" t="s">
        <v>139</v>
      </c>
      <c r="D82" s="28" t="s">
        <v>115</v>
      </c>
      <c r="E82" s="120" t="s">
        <v>116</v>
      </c>
      <c r="F82" s="25"/>
      <c r="G82" s="25"/>
      <c r="H82" s="25"/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159</v>
      </c>
      <c r="B83" s="25"/>
      <c r="C83" s="28" t="s">
        <v>115</v>
      </c>
      <c r="D83" s="110" t="s">
        <v>139</v>
      </c>
      <c r="E83" s="120" t="s">
        <v>116</v>
      </c>
      <c r="F83" s="25"/>
      <c r="G83" s="25"/>
      <c r="H83" s="25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 ht="15" customHeight="1">
      <c r="A84" s="22" t="s">
        <v>160</v>
      </c>
      <c r="B84" s="25"/>
      <c r="C84" s="110" t="s">
        <v>142</v>
      </c>
      <c r="D84" s="25" t="s">
        <v>141</v>
      </c>
      <c r="E84" s="121" t="s">
        <v>118</v>
      </c>
      <c r="F84" s="25"/>
      <c r="G84" s="121" t="s">
        <v>118</v>
      </c>
      <c r="H84" s="25" t="s">
        <v>152</v>
      </c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1</v>
      </c>
    </row>
    <row r="85" spans="1:26">
      <c r="A85" s="22" t="s">
        <v>161</v>
      </c>
      <c r="B85" s="110" t="s">
        <v>139</v>
      </c>
      <c r="C85" s="25"/>
      <c r="D85" s="25" t="s">
        <v>141</v>
      </c>
      <c r="E85" s="25"/>
      <c r="F85" s="25"/>
      <c r="G85" s="120" t="s">
        <v>116</v>
      </c>
      <c r="H85" s="25"/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0.25</v>
      </c>
    </row>
    <row r="86" spans="1:26">
      <c r="A86" s="22" t="s">
        <v>162</v>
      </c>
      <c r="B86" s="25" t="s">
        <v>152</v>
      </c>
      <c r="C86" s="25"/>
      <c r="D86" s="25" t="s">
        <v>141</v>
      </c>
      <c r="E86" s="110" t="s">
        <v>139</v>
      </c>
      <c r="F86" s="120" t="s">
        <v>116</v>
      </c>
      <c r="G86" s="121" t="s">
        <v>116</v>
      </c>
      <c r="H86" s="25"/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163</v>
      </c>
      <c r="B87" s="25"/>
      <c r="C87" s="25"/>
      <c r="D87" s="25" t="s">
        <v>141</v>
      </c>
      <c r="E87" s="120" t="s">
        <v>118</v>
      </c>
      <c r="F87" s="121" t="s">
        <v>116</v>
      </c>
      <c r="G87" s="120" t="s">
        <v>116</v>
      </c>
      <c r="H87" s="28" t="s">
        <v>115</v>
      </c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1</v>
      </c>
    </row>
    <row r="88" spans="1:26" ht="15" customHeight="1">
      <c r="A88" s="22" t="s">
        <v>164</v>
      </c>
      <c r="B88" s="120" t="s">
        <v>116</v>
      </c>
      <c r="C88" s="25"/>
      <c r="D88" s="25" t="s">
        <v>141</v>
      </c>
      <c r="E88" s="25"/>
      <c r="F88" s="25" t="s">
        <v>152</v>
      </c>
      <c r="G88" s="25" t="s">
        <v>152</v>
      </c>
      <c r="H88" s="25"/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167</v>
      </c>
      <c r="B89" s="25"/>
      <c r="C89" s="25"/>
      <c r="D89" s="25" t="s">
        <v>141</v>
      </c>
      <c r="E89" s="25" t="s">
        <v>152</v>
      </c>
      <c r="F89" s="25" t="s">
        <v>152</v>
      </c>
      <c r="G89" s="25"/>
      <c r="H89" s="25"/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0.75</v>
      </c>
    </row>
    <row r="90" spans="1:26" ht="15" customHeight="1">
      <c r="A90" s="22" t="s">
        <v>168</v>
      </c>
      <c r="B90" s="121" t="s">
        <v>116</v>
      </c>
      <c r="C90" s="25"/>
      <c r="D90" s="25" t="s">
        <v>141</v>
      </c>
      <c r="E90" s="25"/>
      <c r="F90" s="28" t="s">
        <v>119</v>
      </c>
      <c r="G90" s="25" t="s">
        <v>152</v>
      </c>
      <c r="H90" s="25" t="s">
        <v>152</v>
      </c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169</v>
      </c>
      <c r="B91" s="25" t="s">
        <v>152</v>
      </c>
      <c r="C91" s="25" t="s">
        <v>152</v>
      </c>
      <c r="D91" s="25" t="s">
        <v>152</v>
      </c>
      <c r="E91" s="25"/>
      <c r="F91" s="25"/>
      <c r="G91" s="25"/>
      <c r="H91" s="110" t="s">
        <v>139</v>
      </c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1</v>
      </c>
    </row>
    <row r="92" spans="1:26" ht="15" customHeight="1">
      <c r="A92" s="22" t="s">
        <v>171</v>
      </c>
      <c r="B92" s="25"/>
      <c r="C92" s="25"/>
      <c r="D92" s="25" t="s">
        <v>141</v>
      </c>
      <c r="E92" s="25"/>
      <c r="F92" s="25"/>
      <c r="G92" s="25"/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174</v>
      </c>
      <c r="B93" s="127" t="s">
        <v>18</v>
      </c>
      <c r="C93" s="128"/>
      <c r="D93" s="128"/>
      <c r="E93" s="128"/>
      <c r="F93" s="128"/>
      <c r="G93" s="128"/>
      <c r="H93" s="129"/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0.75</v>
      </c>
    </row>
    <row r="94" spans="1:26">
      <c r="A94" s="22" t="s">
        <v>175</v>
      </c>
      <c r="B94" s="25" t="s">
        <v>152</v>
      </c>
      <c r="C94" s="25" t="s">
        <v>152</v>
      </c>
      <c r="D94" s="25" t="s">
        <v>152</v>
      </c>
      <c r="E94" s="25"/>
      <c r="F94" s="25"/>
      <c r="G94" s="121" t="s">
        <v>116</v>
      </c>
      <c r="H94" s="120" t="s">
        <v>116</v>
      </c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25"/>
      <c r="H95" s="28" t="s">
        <v>119</v>
      </c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0.25</v>
      </c>
    </row>
    <row r="96" spans="1:26" ht="15" customHeight="1">
      <c r="A96" s="22" t="s">
        <v>177</v>
      </c>
      <c r="B96" s="25"/>
      <c r="C96" s="25"/>
      <c r="D96" s="25" t="s">
        <v>141</v>
      </c>
      <c r="E96" s="28" t="s">
        <v>119</v>
      </c>
      <c r="F96" s="110" t="s">
        <v>139</v>
      </c>
      <c r="G96" s="25"/>
      <c r="H96" s="25"/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0.75</v>
      </c>
    </row>
    <row r="97" spans="1:26" ht="15" customHeight="1">
      <c r="A97" s="22" t="s">
        <v>178</v>
      </c>
      <c r="B97" s="25" t="s">
        <v>152</v>
      </c>
      <c r="C97" s="25" t="s">
        <v>152</v>
      </c>
      <c r="D97" s="25" t="s">
        <v>152</v>
      </c>
      <c r="E97" s="25" t="s">
        <v>152</v>
      </c>
      <c r="F97" s="25"/>
      <c r="G97" s="25"/>
      <c r="H97" s="25"/>
      <c r="J97" t="e">
        <f t="shared" ca="1" si="18"/>
        <v>#NAME?</v>
      </c>
      <c r="K97" t="e">
        <f t="shared" ca="1" si="18"/>
        <v>#NAME?</v>
      </c>
      <c r="L97" t="e">
        <f t="shared" ca="1" si="18"/>
        <v>#NAME?</v>
      </c>
      <c r="M97" t="e">
        <f t="shared" ca="1" si="18"/>
        <v>#NAME?</v>
      </c>
      <c r="N97" t="e">
        <f t="shared" ca="1" si="18"/>
        <v>#NAME?</v>
      </c>
      <c r="O97" t="e">
        <f t="shared" ca="1" si="18"/>
        <v>#NAME?</v>
      </c>
      <c r="P97" t="e">
        <f t="shared" ca="1" si="18"/>
        <v>#NAME?</v>
      </c>
      <c r="R97" t="e">
        <f t="shared" ca="1" si="19"/>
        <v>#NAME?</v>
      </c>
      <c r="S97" t="e">
        <f t="shared" ca="1" si="19"/>
        <v>#NAME?</v>
      </c>
      <c r="T97" t="e">
        <f t="shared" ca="1" si="19"/>
        <v>#NAME?</v>
      </c>
      <c r="U97" t="e">
        <f t="shared" ca="1" si="19"/>
        <v>#NAME?</v>
      </c>
      <c r="V97" t="e">
        <f t="shared" ca="1" si="19"/>
        <v>#NAME?</v>
      </c>
      <c r="W97" t="e">
        <f t="shared" ca="1" si="19"/>
        <v>#NAME?</v>
      </c>
      <c r="X97" t="e">
        <f t="shared" ca="1" si="19"/>
        <v>#NAME?</v>
      </c>
      <c r="Z97" s="15">
        <v>1</v>
      </c>
    </row>
    <row r="98" spans="1:26">
      <c r="A98" s="106" t="s">
        <v>179</v>
      </c>
      <c r="B98" s="107" t="str">
        <f t="shared" ref="B98:H98" si="20">B58</f>
        <v>Mon 13 Jul</v>
      </c>
      <c r="C98" s="107" t="str">
        <f t="shared" si="20"/>
        <v>Tues 14 Jul</v>
      </c>
      <c r="D98" s="107" t="str">
        <f t="shared" si="20"/>
        <v>Wed 15 Jul</v>
      </c>
      <c r="E98" s="107" t="str">
        <f t="shared" si="20"/>
        <v>Thu 16 Jul</v>
      </c>
      <c r="F98" s="107" t="str">
        <f t="shared" si="20"/>
        <v>Fri 17 Jul</v>
      </c>
      <c r="G98" s="107" t="str">
        <f t="shared" si="20"/>
        <v>Sat 18 Jul</v>
      </c>
      <c r="H98" s="107" t="str">
        <f t="shared" si="20"/>
        <v>Sun 19 Jul</v>
      </c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54">
        <f>SUM(Z76:Z97)</f>
        <v>18.25</v>
      </c>
    </row>
    <row r="99" spans="1:26">
      <c r="A99" s="22" t="s">
        <v>180</v>
      </c>
      <c r="B99" s="110" t="s">
        <v>116</v>
      </c>
      <c r="C99" s="110" t="s">
        <v>116</v>
      </c>
      <c r="D99" s="25"/>
      <c r="E99" s="25"/>
      <c r="F99" s="25" t="s">
        <v>152</v>
      </c>
      <c r="G99" s="25" t="s">
        <v>152</v>
      </c>
      <c r="H99" s="25" t="s">
        <v>152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22" t="s">
        <v>183</v>
      </c>
      <c r="B100" s="110" t="s">
        <v>182</v>
      </c>
      <c r="C100" s="25"/>
      <c r="D100" s="109" t="s">
        <v>404</v>
      </c>
      <c r="E100" s="110" t="s">
        <v>116</v>
      </c>
      <c r="F100" s="110" t="s">
        <v>116</v>
      </c>
      <c r="G100" s="25"/>
      <c r="H100" s="25"/>
      <c r="J100" t="e">
        <f t="shared" ca="1" si="15"/>
        <v>#NAME?</v>
      </c>
      <c r="K100" t="e">
        <f t="shared" ca="1" si="15"/>
        <v>#NAME?</v>
      </c>
      <c r="L100" t="e">
        <f t="shared" ca="1" si="15"/>
        <v>#NAME?</v>
      </c>
      <c r="M100" t="e">
        <f t="shared" ca="1" si="15"/>
        <v>#NAME?</v>
      </c>
      <c r="N100" t="e">
        <f t="shared" ca="1" si="15"/>
        <v>#NAME?</v>
      </c>
      <c r="O100" t="e">
        <f t="shared" ca="1" si="15"/>
        <v>#NAME?</v>
      </c>
      <c r="P100" t="e">
        <f t="shared" ca="1" si="15"/>
        <v>#NAME?</v>
      </c>
      <c r="R100" t="e">
        <f t="shared" ca="1" si="16"/>
        <v>#NAME?</v>
      </c>
      <c r="S100" t="e">
        <f t="shared" ca="1" si="16"/>
        <v>#NAME?</v>
      </c>
      <c r="T100" t="e">
        <f t="shared" ca="1" si="16"/>
        <v>#NAME?</v>
      </c>
      <c r="U100" t="e">
        <f t="shared" ca="1" si="16"/>
        <v>#NAME?</v>
      </c>
      <c r="V100" t="e">
        <f t="shared" ca="1" si="16"/>
        <v>#NAME?</v>
      </c>
      <c r="W100" t="e">
        <f t="shared" ca="1" si="16"/>
        <v>#NAME?</v>
      </c>
      <c r="X100" t="e">
        <f t="shared" ca="1" si="16"/>
        <v>#NAME?</v>
      </c>
      <c r="Z100" s="15">
        <v>1</v>
      </c>
    </row>
    <row r="101" spans="1:26">
      <c r="A101" s="106" t="s">
        <v>184</v>
      </c>
      <c r="B101" s="107" t="str">
        <f t="shared" ref="B101:H101" si="21">B58</f>
        <v>Mon 13 Jul</v>
      </c>
      <c r="C101" s="107" t="str">
        <f t="shared" si="21"/>
        <v>Tues 14 Jul</v>
      </c>
      <c r="D101" s="107" t="str">
        <f t="shared" si="21"/>
        <v>Wed 15 Jul</v>
      </c>
      <c r="E101" s="107" t="str">
        <f t="shared" si="21"/>
        <v>Thu 16 Jul</v>
      </c>
      <c r="F101" s="107" t="str">
        <f t="shared" si="21"/>
        <v>Fri 17 Jul</v>
      </c>
      <c r="G101" s="107" t="str">
        <f t="shared" si="21"/>
        <v>Sat 18 Jul</v>
      </c>
      <c r="H101" s="107" t="str">
        <f t="shared" si="21"/>
        <v>Sun 19 Jul</v>
      </c>
      <c r="J101" t="e">
        <f t="shared" ca="1" si="15"/>
        <v>#NAME?</v>
      </c>
      <c r="K101" t="e">
        <f t="shared" ref="K101:P137" ca="1" si="22">colorindex(C101)</f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ca="1" si="16"/>
        <v>#NAME?</v>
      </c>
      <c r="S101" t="e">
        <f t="shared" ref="S101:X137" ca="1" si="23">ShiftIndex(C101)</f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53">
        <f>SUM(Z99:Z100)</f>
        <v>2</v>
      </c>
    </row>
    <row r="102" spans="1:26">
      <c r="A102" s="22" t="s">
        <v>185</v>
      </c>
      <c r="B102" s="101" t="s">
        <v>116</v>
      </c>
      <c r="C102" s="25"/>
      <c r="D102" s="120" t="s">
        <v>118</v>
      </c>
      <c r="E102" s="121" t="s">
        <v>118</v>
      </c>
      <c r="F102" s="44" t="s">
        <v>186</v>
      </c>
      <c r="G102" s="25"/>
      <c r="H102" s="25"/>
      <c r="J102" t="e">
        <f t="shared" ref="J102:M140" ca="1" si="24">colorindex(B102)</f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ref="R102:U140" ca="1" si="25">ShiftIndex(B102)</f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187</v>
      </c>
      <c r="B103" s="121" t="s">
        <v>116</v>
      </c>
      <c r="C103" s="25"/>
      <c r="D103" s="44" t="s">
        <v>186</v>
      </c>
      <c r="E103" s="110" t="s">
        <v>142</v>
      </c>
      <c r="F103" s="120" t="s">
        <v>118</v>
      </c>
      <c r="G103" s="25"/>
      <c r="H103" s="25"/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188</v>
      </c>
      <c r="B104" s="120" t="s">
        <v>116</v>
      </c>
      <c r="C104" s="44" t="s">
        <v>189</v>
      </c>
      <c r="D104" s="25"/>
      <c r="E104" s="120" t="s">
        <v>118</v>
      </c>
      <c r="F104" s="121">
        <v>56615</v>
      </c>
      <c r="G104" s="25"/>
      <c r="H104" s="25"/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190</v>
      </c>
      <c r="B105" s="25"/>
      <c r="C105" s="25"/>
      <c r="D105" s="120" t="s">
        <v>116</v>
      </c>
      <c r="E105" s="121" t="s">
        <v>116</v>
      </c>
      <c r="F105" s="101" t="s">
        <v>116</v>
      </c>
      <c r="G105" s="25"/>
      <c r="H105" s="25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191</v>
      </c>
      <c r="B106" s="25"/>
      <c r="C106" s="25"/>
      <c r="D106" s="110" t="s">
        <v>142</v>
      </c>
      <c r="E106" s="44" t="s">
        <v>186</v>
      </c>
      <c r="F106" s="25"/>
      <c r="G106" s="101" t="s">
        <v>116</v>
      </c>
      <c r="H106" s="121" t="s">
        <v>116</v>
      </c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1</v>
      </c>
    </row>
    <row r="107" spans="1:26">
      <c r="A107" s="22" t="s">
        <v>192</v>
      </c>
      <c r="B107" s="25" t="s">
        <v>152</v>
      </c>
      <c r="C107" s="25" t="s">
        <v>152</v>
      </c>
      <c r="D107" s="25" t="s">
        <v>152</v>
      </c>
      <c r="E107" s="25" t="s">
        <v>152</v>
      </c>
      <c r="F107" s="25"/>
      <c r="G107" s="25"/>
      <c r="H107" s="25"/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0.875</v>
      </c>
    </row>
    <row r="108" spans="1:26">
      <c r="A108" s="22" t="s">
        <v>193</v>
      </c>
      <c r="B108" s="120" t="s">
        <v>118</v>
      </c>
      <c r="C108" s="101" t="s">
        <v>118</v>
      </c>
      <c r="D108" s="25"/>
      <c r="E108" s="25"/>
      <c r="F108" s="25"/>
      <c r="G108" s="121" t="s">
        <v>116</v>
      </c>
      <c r="H108" s="120" t="s">
        <v>116</v>
      </c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283</v>
      </c>
      <c r="B109" s="44" t="s">
        <v>186</v>
      </c>
      <c r="C109" s="101" t="s">
        <v>116</v>
      </c>
      <c r="D109" s="25"/>
      <c r="E109" s="25"/>
      <c r="F109" s="25" t="s">
        <v>152</v>
      </c>
      <c r="G109" s="25" t="s">
        <v>152</v>
      </c>
      <c r="H109" s="25" t="s">
        <v>152</v>
      </c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  <c r="Z109" s="15">
        <v>1</v>
      </c>
    </row>
    <row r="110" spans="1:26">
      <c r="A110" s="22" t="s">
        <v>195</v>
      </c>
      <c r="B110" s="127" t="s">
        <v>20</v>
      </c>
      <c r="C110" s="128"/>
      <c r="D110" s="128"/>
      <c r="E110" s="128"/>
      <c r="F110" s="128"/>
      <c r="G110" s="128"/>
      <c r="H110" s="129"/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15">
        <v>0.5</v>
      </c>
    </row>
    <row r="111" spans="1:26">
      <c r="A111" s="42" t="s">
        <v>196</v>
      </c>
      <c r="B111" s="25"/>
      <c r="C111" s="44" t="s">
        <v>186</v>
      </c>
      <c r="D111" s="120" t="s">
        <v>116</v>
      </c>
      <c r="E111" s="25"/>
      <c r="F111" s="25"/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  <c r="Z111" s="15">
        <v>0.5</v>
      </c>
    </row>
    <row r="112" spans="1:26">
      <c r="A112" s="22" t="s">
        <v>197</v>
      </c>
      <c r="B112" s="127" t="s">
        <v>18</v>
      </c>
      <c r="C112" s="128"/>
      <c r="D112" s="128"/>
      <c r="E112" s="128"/>
      <c r="F112" s="128"/>
      <c r="G112" s="128"/>
      <c r="H112" s="129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  <c r="Z112" s="15">
        <v>0.5</v>
      </c>
    </row>
    <row r="113" spans="1:26">
      <c r="A113" s="22" t="s">
        <v>199</v>
      </c>
      <c r="B113" s="112"/>
      <c r="C113" s="25"/>
      <c r="D113" s="112"/>
      <c r="E113" s="25"/>
      <c r="F113" s="112"/>
      <c r="G113" s="101" t="s">
        <v>118</v>
      </c>
      <c r="H113" s="44" t="s">
        <v>186</v>
      </c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  <c r="Z113" s="15">
        <v>0.5</v>
      </c>
    </row>
    <row r="114" spans="1:26">
      <c r="A114" s="22" t="s">
        <v>200</v>
      </c>
      <c r="B114" s="25"/>
      <c r="C114" s="25"/>
      <c r="D114" s="110" t="s">
        <v>139</v>
      </c>
      <c r="E114" s="28" t="s">
        <v>115</v>
      </c>
      <c r="F114" s="25"/>
      <c r="G114" s="44" t="s">
        <v>186</v>
      </c>
      <c r="H114" s="101" t="s">
        <v>118</v>
      </c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  <c r="Z114" s="15">
        <v>1</v>
      </c>
    </row>
    <row r="115" spans="1:26">
      <c r="A115" s="22" t="s">
        <v>201</v>
      </c>
      <c r="B115" s="25"/>
      <c r="C115" s="120" t="s">
        <v>118</v>
      </c>
      <c r="D115" s="120" t="s">
        <v>118</v>
      </c>
      <c r="E115" s="101" t="s">
        <v>118</v>
      </c>
      <c r="F115" s="121" t="s">
        <v>116</v>
      </c>
      <c r="G115" s="25"/>
      <c r="H115" s="25"/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  <c r="Z115" s="15">
        <v>1</v>
      </c>
    </row>
    <row r="116" spans="1:26">
      <c r="A116" s="22" t="s">
        <v>202</v>
      </c>
      <c r="B116" s="120" t="s">
        <v>118</v>
      </c>
      <c r="C116" s="120" t="s">
        <v>116</v>
      </c>
      <c r="D116" s="121" t="s">
        <v>116</v>
      </c>
      <c r="E116" s="25"/>
      <c r="F116" s="25"/>
      <c r="G116" s="25" t="s">
        <v>152</v>
      </c>
      <c r="H116" s="25" t="s">
        <v>152</v>
      </c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  <c r="Z116" s="15">
        <v>1</v>
      </c>
    </row>
    <row r="117" spans="1:26">
      <c r="A117" s="42" t="s">
        <v>203</v>
      </c>
      <c r="B117" s="25"/>
      <c r="C117" s="25"/>
      <c r="D117" s="25"/>
      <c r="E117" s="25"/>
      <c r="F117" s="121" t="s">
        <v>118</v>
      </c>
      <c r="G117" s="120" t="s">
        <v>116</v>
      </c>
      <c r="H117" s="44" t="s">
        <v>189</v>
      </c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  <c r="Z117" s="15">
        <v>1</v>
      </c>
    </row>
    <row r="118" spans="1:26">
      <c r="A118" s="22" t="s">
        <v>204</v>
      </c>
      <c r="B118" s="25"/>
      <c r="C118" s="25" t="s">
        <v>152</v>
      </c>
      <c r="D118" s="25" t="s">
        <v>152</v>
      </c>
      <c r="E118" s="25" t="s">
        <v>152</v>
      </c>
      <c r="F118" s="25" t="s">
        <v>152</v>
      </c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  <c r="Z118" s="15">
        <v>1</v>
      </c>
    </row>
    <row r="119" spans="1:26">
      <c r="A119" s="22" t="s">
        <v>205</v>
      </c>
      <c r="B119" s="28" t="s">
        <v>115</v>
      </c>
      <c r="C119" s="25"/>
      <c r="D119" s="101" t="s">
        <v>118</v>
      </c>
      <c r="E119" s="44" t="s">
        <v>189</v>
      </c>
      <c r="F119" s="120" t="s">
        <v>116</v>
      </c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  <c r="Z119" s="15">
        <v>1</v>
      </c>
    </row>
    <row r="120" spans="1:26">
      <c r="A120" s="22" t="s">
        <v>206</v>
      </c>
      <c r="B120" s="25"/>
      <c r="C120" s="25"/>
      <c r="D120" s="28" t="s">
        <v>115</v>
      </c>
      <c r="E120" s="25"/>
      <c r="F120" s="101" t="s">
        <v>118</v>
      </c>
      <c r="G120" s="120" t="s">
        <v>118</v>
      </c>
      <c r="H120" s="120" t="s">
        <v>118</v>
      </c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  <c r="Z120" s="15">
        <v>1</v>
      </c>
    </row>
    <row r="121" spans="1:26">
      <c r="A121" s="22" t="s">
        <v>207</v>
      </c>
      <c r="B121" s="25"/>
      <c r="C121" s="25"/>
      <c r="D121" s="25"/>
      <c r="E121" s="127" t="s">
        <v>446</v>
      </c>
      <c r="F121" s="128"/>
      <c r="G121" s="128"/>
      <c r="H121" s="129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  <c r="Z121" s="15">
        <v>0.5</v>
      </c>
    </row>
    <row r="122" spans="1:26">
      <c r="A122" s="22" t="s">
        <v>208</v>
      </c>
      <c r="B122" s="25"/>
      <c r="C122" s="120" t="s">
        <v>118</v>
      </c>
      <c r="D122" s="121" t="s">
        <v>118</v>
      </c>
      <c r="E122" s="112"/>
      <c r="F122" s="112"/>
      <c r="G122" s="25"/>
      <c r="H122" s="25"/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  <c r="Z122" s="15">
        <v>0.5</v>
      </c>
    </row>
    <row r="123" spans="1:26">
      <c r="A123" s="22" t="s">
        <v>209</v>
      </c>
      <c r="B123" s="25"/>
      <c r="C123" s="121" t="s">
        <v>118</v>
      </c>
      <c r="D123" s="25"/>
      <c r="E123" s="25"/>
      <c r="F123" s="44" t="s">
        <v>189</v>
      </c>
      <c r="G123" s="25"/>
      <c r="H123" s="25"/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120" t="s">
        <v>116</v>
      </c>
      <c r="E124" s="25"/>
      <c r="F124" s="28" t="s">
        <v>119</v>
      </c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  <c r="Z124" s="15">
        <v>0.5</v>
      </c>
    </row>
    <row r="125" spans="1:26">
      <c r="A125" s="22" t="s">
        <v>212</v>
      </c>
      <c r="B125" s="120" t="s">
        <v>118</v>
      </c>
      <c r="C125" s="25"/>
      <c r="D125" s="121" t="s">
        <v>116</v>
      </c>
      <c r="E125" s="120" t="s">
        <v>116</v>
      </c>
      <c r="F125" s="28" t="s">
        <v>115</v>
      </c>
      <c r="G125" s="25"/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  <c r="Z125" s="15">
        <v>1</v>
      </c>
    </row>
    <row r="126" spans="1:26">
      <c r="A126" s="22" t="s">
        <v>213</v>
      </c>
      <c r="B126" s="25"/>
      <c r="C126" s="120" t="s">
        <v>116</v>
      </c>
      <c r="D126" s="25"/>
      <c r="E126" s="25"/>
      <c r="F126" s="120" t="s">
        <v>118</v>
      </c>
      <c r="G126" s="28" t="s">
        <v>115</v>
      </c>
      <c r="H126" s="101" t="s">
        <v>116</v>
      </c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  <c r="Z126" s="15">
        <v>1</v>
      </c>
    </row>
    <row r="127" spans="1:26">
      <c r="A127" s="106" t="s">
        <v>383</v>
      </c>
      <c r="B127" s="107" t="str">
        <f t="shared" ref="B127:H127" si="26">B58</f>
        <v>Mon 13 Jul</v>
      </c>
      <c r="C127" s="107" t="str">
        <f t="shared" si="26"/>
        <v>Tues 14 Jul</v>
      </c>
      <c r="D127" s="107" t="str">
        <f t="shared" si="26"/>
        <v>Wed 15 Jul</v>
      </c>
      <c r="E127" s="107" t="str">
        <f t="shared" si="26"/>
        <v>Thu 16 Jul</v>
      </c>
      <c r="F127" s="107" t="str">
        <f t="shared" si="26"/>
        <v>Fri 17 Jul</v>
      </c>
      <c r="G127" s="107" t="str">
        <f t="shared" si="26"/>
        <v>Sat 18 Jul</v>
      </c>
      <c r="H127" s="107" t="str">
        <f t="shared" si="26"/>
        <v>Sun 19 Jul</v>
      </c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  <c r="Z127" s="53"/>
    </row>
    <row r="128" spans="1:26">
      <c r="A128" s="22" t="s">
        <v>358</v>
      </c>
      <c r="B128" s="44" t="s">
        <v>189</v>
      </c>
      <c r="C128" s="120" t="s">
        <v>116</v>
      </c>
      <c r="D128" s="25"/>
      <c r="E128" s="120" t="s">
        <v>118</v>
      </c>
      <c r="F128" s="110" t="s">
        <v>142</v>
      </c>
      <c r="G128" s="25"/>
      <c r="H128" s="25"/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  <c r="Z128" s="15">
        <v>1</v>
      </c>
    </row>
    <row r="129" spans="1:34">
      <c r="A129" s="22" t="s">
        <v>359</v>
      </c>
      <c r="B129" s="121" t="s">
        <v>118</v>
      </c>
      <c r="C129" s="110" t="s">
        <v>142</v>
      </c>
      <c r="D129" s="101" t="s">
        <v>116</v>
      </c>
      <c r="E129" s="120" t="s">
        <v>116</v>
      </c>
      <c r="F129" s="25"/>
      <c r="G129" s="25"/>
      <c r="H129" s="25" t="s">
        <v>152</v>
      </c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  <c r="Z129" s="15">
        <v>1</v>
      </c>
    </row>
    <row r="130" spans="1:34">
      <c r="A130" s="22" t="s">
        <v>360</v>
      </c>
      <c r="B130" s="127" t="s">
        <v>18</v>
      </c>
      <c r="C130" s="128"/>
      <c r="D130" s="128"/>
      <c r="E130" s="128"/>
      <c r="F130" s="128"/>
      <c r="G130" s="128"/>
      <c r="H130" s="129"/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  <c r="Z130" s="15">
        <v>1</v>
      </c>
    </row>
    <row r="131" spans="1:34">
      <c r="A131" s="22" t="s">
        <v>361</v>
      </c>
      <c r="B131" s="120" t="s">
        <v>116</v>
      </c>
      <c r="C131" s="25"/>
      <c r="D131" s="25" t="s">
        <v>152</v>
      </c>
      <c r="E131" s="25" t="s">
        <v>152</v>
      </c>
      <c r="F131" s="25" t="s">
        <v>152</v>
      </c>
      <c r="G131" s="25" t="s">
        <v>152</v>
      </c>
      <c r="H131" s="25"/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15">
        <v>1</v>
      </c>
    </row>
    <row r="132" spans="1:34">
      <c r="A132" s="22" t="s">
        <v>362</v>
      </c>
      <c r="B132" s="25"/>
      <c r="C132" s="121" t="s">
        <v>116</v>
      </c>
      <c r="D132" s="44" t="s">
        <v>189</v>
      </c>
      <c r="E132" s="101" t="s">
        <v>116</v>
      </c>
      <c r="F132" s="120" t="s">
        <v>116</v>
      </c>
      <c r="G132" s="25"/>
      <c r="H132" s="25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363</v>
      </c>
      <c r="B133" s="25" t="s">
        <v>152</v>
      </c>
      <c r="C133" s="25" t="s">
        <v>152</v>
      </c>
      <c r="D133" s="25"/>
      <c r="E133" s="25"/>
      <c r="F133" s="25"/>
      <c r="G133" s="25"/>
      <c r="H133" s="109" t="s">
        <v>20</v>
      </c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364</v>
      </c>
      <c r="B134" s="127" t="s">
        <v>18</v>
      </c>
      <c r="C134" s="128"/>
      <c r="D134" s="128"/>
      <c r="E134" s="128"/>
      <c r="F134" s="128"/>
      <c r="G134" s="128"/>
      <c r="H134" s="129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22" t="s">
        <v>365</v>
      </c>
      <c r="B135" s="101" t="s">
        <v>118</v>
      </c>
      <c r="C135" s="121" t="s">
        <v>118</v>
      </c>
      <c r="D135" s="25"/>
      <c r="E135" s="25"/>
      <c r="F135" s="25"/>
      <c r="G135" s="44" t="s">
        <v>189</v>
      </c>
      <c r="H135" s="120" t="s">
        <v>116</v>
      </c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15">
        <v>1</v>
      </c>
    </row>
    <row r="136" spans="1:34">
      <c r="A136" s="106" t="s">
        <v>223</v>
      </c>
      <c r="B136" s="107" t="str">
        <f t="shared" ref="B136:H136" si="27">B101</f>
        <v>Mon 13 Jul</v>
      </c>
      <c r="C136" s="107" t="str">
        <f t="shared" si="27"/>
        <v>Tues 14 Jul</v>
      </c>
      <c r="D136" s="107" t="str">
        <f t="shared" si="27"/>
        <v>Wed 15 Jul</v>
      </c>
      <c r="E136" s="107" t="str">
        <f t="shared" si="27"/>
        <v>Thu 16 Jul</v>
      </c>
      <c r="F136" s="107" t="str">
        <f t="shared" si="27"/>
        <v>Fri 17 Jul</v>
      </c>
      <c r="G136" s="107" t="str">
        <f t="shared" si="27"/>
        <v>Sat 18 Jul</v>
      </c>
      <c r="H136" s="107" t="str">
        <f t="shared" si="27"/>
        <v>Sun 19 Jul</v>
      </c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ca="1" si="22"/>
        <v>#NAME?</v>
      </c>
      <c r="O136" t="e">
        <f t="shared" ca="1" si="22"/>
        <v>#NAME?</v>
      </c>
      <c r="P136" t="e">
        <f t="shared" ca="1" si="22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ca="1" si="23"/>
        <v>#NAME?</v>
      </c>
      <c r="W136" t="e">
        <f t="shared" ca="1" si="23"/>
        <v>#NAME?</v>
      </c>
      <c r="X136" t="e">
        <f t="shared" ca="1" si="23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4"/>
        <v>#NAME?</v>
      </c>
      <c r="K137" t="e">
        <f t="shared" ca="1" si="22"/>
        <v>#NAME?</v>
      </c>
      <c r="L137" t="e">
        <f t="shared" ca="1" si="22"/>
        <v>#NAME?</v>
      </c>
      <c r="M137" t="e">
        <f t="shared" ca="1" si="22"/>
        <v>#NAME?</v>
      </c>
      <c r="N137" t="e">
        <f t="shared" ref="N137:P140" ca="1" si="28">colorindex(F137)</f>
        <v>#NAME?</v>
      </c>
      <c r="O137" t="e">
        <f t="shared" ca="1" si="28"/>
        <v>#NAME?</v>
      </c>
      <c r="P137" t="e">
        <f t="shared" ca="1" si="28"/>
        <v>#NAME?</v>
      </c>
      <c r="R137" t="e">
        <f t="shared" ca="1" si="25"/>
        <v>#NAME?</v>
      </c>
      <c r="S137" t="e">
        <f t="shared" ca="1" si="23"/>
        <v>#NAME?</v>
      </c>
      <c r="T137" t="e">
        <f t="shared" ca="1" si="23"/>
        <v>#NAME?</v>
      </c>
      <c r="U137" t="e">
        <f t="shared" ca="1" si="23"/>
        <v>#NAME?</v>
      </c>
      <c r="V137" t="e">
        <f t="shared" ref="V137:X140" ca="1" si="29">ShiftIndex(F137)</f>
        <v>#NAME?</v>
      </c>
      <c r="W137" t="e">
        <f t="shared" ca="1" si="29"/>
        <v>#NAME?</v>
      </c>
      <c r="X137" t="e">
        <f t="shared" ca="1" si="29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4"/>
        <v>#NAME?</v>
      </c>
      <c r="K138" t="e">
        <f t="shared" ca="1" si="24"/>
        <v>#NAME?</v>
      </c>
      <c r="L138" t="e">
        <f t="shared" ca="1" si="24"/>
        <v>#NAME?</v>
      </c>
      <c r="M138" t="e">
        <f t="shared" ca="1" si="24"/>
        <v>#NAME?</v>
      </c>
      <c r="N138" t="e">
        <f t="shared" ca="1" si="28"/>
        <v>#NAME?</v>
      </c>
      <c r="O138" t="e">
        <f t="shared" ca="1" si="28"/>
        <v>#NAME?</v>
      </c>
      <c r="P138" t="e">
        <f t="shared" ca="1" si="28"/>
        <v>#NAME?</v>
      </c>
      <c r="R138" t="e">
        <f t="shared" ca="1" si="25"/>
        <v>#NAME?</v>
      </c>
      <c r="S138" t="e">
        <f t="shared" ca="1" si="25"/>
        <v>#NAME?</v>
      </c>
      <c r="T138" t="e">
        <f t="shared" ca="1" si="25"/>
        <v>#NAME?</v>
      </c>
      <c r="U138" t="e">
        <f t="shared" ca="1" si="25"/>
        <v>#NAME?</v>
      </c>
      <c r="V138" t="e">
        <f t="shared" ca="1" si="29"/>
        <v>#NAME?</v>
      </c>
      <c r="W138" t="e">
        <f t="shared" ca="1" si="29"/>
        <v>#NAME?</v>
      </c>
      <c r="X138" t="e">
        <f t="shared" ca="1" si="29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0">B136</f>
        <v>Mon 13 Jul</v>
      </c>
      <c r="C139" s="107" t="str">
        <f t="shared" si="30"/>
        <v>Tues 14 Jul</v>
      </c>
      <c r="D139" s="107" t="str">
        <f t="shared" si="30"/>
        <v>Wed 15 Jul</v>
      </c>
      <c r="E139" s="107" t="str">
        <f t="shared" si="30"/>
        <v>Thu 16 Jul</v>
      </c>
      <c r="F139" s="107" t="str">
        <f t="shared" si="30"/>
        <v>Fri 17 Jul</v>
      </c>
      <c r="G139" s="107" t="str">
        <f t="shared" si="30"/>
        <v>Sat 18 Jul</v>
      </c>
      <c r="H139" s="107" t="str">
        <f t="shared" si="30"/>
        <v>Sun 19 Jul</v>
      </c>
      <c r="J139" t="e">
        <f t="shared" ca="1" si="24"/>
        <v>#NAME?</v>
      </c>
      <c r="K139" t="e">
        <f t="shared" ca="1" si="24"/>
        <v>#NAME?</v>
      </c>
      <c r="L139" t="e">
        <f t="shared" ca="1" si="24"/>
        <v>#NAME?</v>
      </c>
      <c r="M139" t="e">
        <f t="shared" ca="1" si="24"/>
        <v>#NAME?</v>
      </c>
      <c r="N139" t="e">
        <f t="shared" ca="1" si="28"/>
        <v>#NAME?</v>
      </c>
      <c r="O139" t="e">
        <f t="shared" ca="1" si="28"/>
        <v>#NAME?</v>
      </c>
      <c r="P139" t="e">
        <f t="shared" ca="1" si="28"/>
        <v>#NAME?</v>
      </c>
      <c r="Q139"/>
      <c r="R139" t="e">
        <f t="shared" ca="1" si="25"/>
        <v>#NAME?</v>
      </c>
      <c r="S139" t="e">
        <f t="shared" ca="1" si="25"/>
        <v>#NAME?</v>
      </c>
      <c r="T139" t="e">
        <f t="shared" ca="1" si="25"/>
        <v>#NAME?</v>
      </c>
      <c r="U139" t="e">
        <f t="shared" ca="1" si="25"/>
        <v>#NAME?</v>
      </c>
      <c r="V139" t="e">
        <f t="shared" ca="1" si="29"/>
        <v>#NAME?</v>
      </c>
      <c r="W139" t="e">
        <f t="shared" ca="1" si="29"/>
        <v>#NAME?</v>
      </c>
      <c r="X139" t="e">
        <f t="shared" ca="1" si="29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4"/>
        <v>#NAME?</v>
      </c>
      <c r="K140" t="e">
        <f t="shared" ca="1" si="24"/>
        <v>#NAME?</v>
      </c>
      <c r="L140" t="e">
        <f t="shared" ca="1" si="24"/>
        <v>#NAME?</v>
      </c>
      <c r="M140" t="e">
        <f t="shared" ca="1" si="24"/>
        <v>#NAME?</v>
      </c>
      <c r="N140" t="e">
        <f t="shared" ca="1" si="28"/>
        <v>#NAME?</v>
      </c>
      <c r="O140" t="e">
        <f t="shared" ca="1" si="28"/>
        <v>#NAME?</v>
      </c>
      <c r="P140" t="e">
        <f t="shared" ca="1" si="28"/>
        <v>#NAME?</v>
      </c>
      <c r="Q140"/>
      <c r="R140" t="e">
        <f t="shared" ca="1" si="25"/>
        <v>#NAME?</v>
      </c>
      <c r="S140" t="e">
        <f t="shared" ca="1" si="25"/>
        <v>#NAME?</v>
      </c>
      <c r="T140" t="e">
        <f t="shared" ca="1" si="25"/>
        <v>#NAME?</v>
      </c>
      <c r="U140" t="e">
        <f t="shared" ca="1" si="25"/>
        <v>#NAME?</v>
      </c>
      <c r="V140" t="e">
        <f t="shared" ca="1" si="29"/>
        <v>#NAME?</v>
      </c>
      <c r="W140" t="e">
        <f t="shared" ca="1" si="29"/>
        <v>#NAME?</v>
      </c>
      <c r="X140" t="e">
        <f t="shared" ca="1" si="29"/>
        <v>#NAME?</v>
      </c>
      <c r="Z140" s="12"/>
      <c r="AA140"/>
    </row>
    <row r="141" spans="1:34">
      <c r="A141" s="106" t="s">
        <v>242</v>
      </c>
      <c r="B141" s="107" t="str">
        <f t="shared" ref="B141:H141" si="31">B58</f>
        <v>Mon 13 Jul</v>
      </c>
      <c r="C141" s="107" t="str">
        <f t="shared" si="31"/>
        <v>Tues 14 Jul</v>
      </c>
      <c r="D141" s="107" t="str">
        <f t="shared" si="31"/>
        <v>Wed 15 Jul</v>
      </c>
      <c r="E141" s="107" t="str">
        <f t="shared" si="31"/>
        <v>Thu 16 Jul</v>
      </c>
      <c r="F141" s="107" t="str">
        <f t="shared" si="31"/>
        <v>Fri 17 Jul</v>
      </c>
      <c r="G141" s="107" t="str">
        <f t="shared" si="31"/>
        <v>Sat 18 Jul</v>
      </c>
      <c r="H141" s="107" t="str">
        <f t="shared" si="31"/>
        <v>Sun 19 Jul</v>
      </c>
    </row>
    <row r="142" spans="1:34">
      <c r="A142" s="27" t="s">
        <v>243</v>
      </c>
      <c r="B142" s="17">
        <f t="shared" ref="B142:H142" ca="1" si="32">COUNTIFS(J:J,"Red",R:R,"AM")</f>
        <v>0</v>
      </c>
      <c r="C142" s="17">
        <f t="shared" ca="1" si="32"/>
        <v>0</v>
      </c>
      <c r="D142" s="17">
        <f t="shared" ca="1" si="32"/>
        <v>0</v>
      </c>
      <c r="E142" s="17">
        <f t="shared" ca="1" si="32"/>
        <v>0</v>
      </c>
      <c r="F142" s="17">
        <f t="shared" ca="1" si="32"/>
        <v>0</v>
      </c>
      <c r="G142" s="17">
        <f t="shared" ca="1" si="32"/>
        <v>0</v>
      </c>
      <c r="H142" s="17">
        <f t="shared" ca="1" si="32"/>
        <v>0</v>
      </c>
    </row>
    <row r="143" spans="1:34">
      <c r="A143" s="2" t="s">
        <v>244</v>
      </c>
      <c r="B143" s="17">
        <f t="shared" ref="B143:H143" ca="1" si="33">COUNTIFS(J:J,"Green",R:R,"AM")</f>
        <v>0</v>
      </c>
      <c r="C143" s="17">
        <f t="shared" ca="1" si="33"/>
        <v>0</v>
      </c>
      <c r="D143" s="17">
        <f t="shared" ca="1" si="33"/>
        <v>0</v>
      </c>
      <c r="E143" s="17">
        <f t="shared" ca="1" si="33"/>
        <v>0</v>
      </c>
      <c r="F143" s="17">
        <f t="shared" ca="1" si="33"/>
        <v>0</v>
      </c>
      <c r="G143" s="17">
        <f t="shared" ca="1" si="33"/>
        <v>0</v>
      </c>
      <c r="H143" s="17">
        <f t="shared" ca="1" si="33"/>
        <v>0</v>
      </c>
    </row>
    <row r="144" spans="1:34">
      <c r="A144" s="26" t="s">
        <v>245</v>
      </c>
      <c r="B144" s="17">
        <f t="shared" ref="B144:H144" ca="1" si="34">COUNTIFS(J:J,"Gold",R:R,"AM")</f>
        <v>0</v>
      </c>
      <c r="C144" s="17">
        <f t="shared" ca="1" si="34"/>
        <v>0</v>
      </c>
      <c r="D144" s="17">
        <f t="shared" ca="1" si="34"/>
        <v>0</v>
      </c>
      <c r="E144" s="17">
        <f t="shared" ca="1" si="34"/>
        <v>0</v>
      </c>
      <c r="F144" s="17">
        <f t="shared" ca="1" si="34"/>
        <v>0</v>
      </c>
      <c r="G144" s="17">
        <f t="shared" ca="1" si="34"/>
        <v>0</v>
      </c>
      <c r="H144" s="17">
        <f t="shared" ca="1" si="34"/>
        <v>0</v>
      </c>
    </row>
    <row r="145" spans="1:26">
      <c r="A145" s="29" t="s">
        <v>246</v>
      </c>
      <c r="B145" s="17">
        <f t="shared" ref="B145:H145" ca="1" si="35">COUNTIFS(J:J,"LGreen",R:R,"AM")</f>
        <v>0</v>
      </c>
      <c r="C145" s="17">
        <f t="shared" ca="1" si="35"/>
        <v>0</v>
      </c>
      <c r="D145" s="17">
        <f t="shared" ca="1" si="35"/>
        <v>0</v>
      </c>
      <c r="E145" s="17">
        <f t="shared" ca="1" si="35"/>
        <v>0</v>
      </c>
      <c r="F145" s="17">
        <f t="shared" ca="1" si="35"/>
        <v>0</v>
      </c>
      <c r="G145" s="17">
        <f t="shared" ca="1" si="35"/>
        <v>0</v>
      </c>
      <c r="H145" s="17">
        <f t="shared" ca="1" si="35"/>
        <v>0</v>
      </c>
    </row>
    <row r="146" spans="1:26">
      <c r="A146" s="43" t="s">
        <v>26</v>
      </c>
      <c r="B146" s="17">
        <f t="shared" ref="B146:H146" ca="1" si="36">COUNTIFS(J:J,"Blue",R:R,"AM")</f>
        <v>0</v>
      </c>
      <c r="C146" s="17">
        <f t="shared" ca="1" si="36"/>
        <v>0</v>
      </c>
      <c r="D146" s="17">
        <f t="shared" ca="1" si="36"/>
        <v>0</v>
      </c>
      <c r="E146" s="17">
        <f t="shared" ca="1" si="36"/>
        <v>0</v>
      </c>
      <c r="F146" s="17">
        <f t="shared" ca="1" si="36"/>
        <v>0</v>
      </c>
      <c r="G146" s="17">
        <f t="shared" ca="1" si="36"/>
        <v>0</v>
      </c>
      <c r="H146" s="17">
        <f t="shared" ca="1" si="36"/>
        <v>0</v>
      </c>
    </row>
    <row r="147" spans="1:26">
      <c r="A147" s="3" t="s">
        <v>16</v>
      </c>
      <c r="B147" s="17">
        <f t="shared" ref="B147:H147" ca="1" si="37">COUNTIFS(J:J,"Pink",R:R,"AM")</f>
        <v>0</v>
      </c>
      <c r="C147" s="17">
        <f t="shared" ca="1" si="37"/>
        <v>0</v>
      </c>
      <c r="D147" s="17">
        <f t="shared" ca="1" si="37"/>
        <v>0</v>
      </c>
      <c r="E147" s="17">
        <f t="shared" ca="1" si="37"/>
        <v>0</v>
      </c>
      <c r="F147" s="17">
        <f t="shared" ca="1" si="37"/>
        <v>0</v>
      </c>
      <c r="G147" s="17">
        <f t="shared" ca="1" si="37"/>
        <v>0</v>
      </c>
      <c r="H147" s="17">
        <f t="shared" ca="1" si="37"/>
        <v>0</v>
      </c>
    </row>
    <row r="148" spans="1:26">
      <c r="A148" s="5" t="s">
        <v>247</v>
      </c>
      <c r="B148" s="17">
        <f t="shared" ref="B148:H148" ca="1" si="38">COUNTIFS(R:R,"AM") - B142-B143-B144-B145-B146-B147</f>
        <v>0</v>
      </c>
      <c r="C148" s="17">
        <f t="shared" ca="1" si="38"/>
        <v>0</v>
      </c>
      <c r="D148" s="17">
        <f t="shared" ca="1" si="38"/>
        <v>0</v>
      </c>
      <c r="E148" s="17">
        <f t="shared" ca="1" si="38"/>
        <v>0</v>
      </c>
      <c r="F148" s="17">
        <f t="shared" ca="1" si="38"/>
        <v>0</v>
      </c>
      <c r="G148" s="17">
        <f t="shared" ca="1" si="38"/>
        <v>0</v>
      </c>
      <c r="H148" s="17">
        <f t="shared" ca="1" si="38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39">SUM(C142:C147)</f>
        <v>0</v>
      </c>
      <c r="D149" s="47">
        <f t="shared" ca="1" si="39"/>
        <v>0</v>
      </c>
      <c r="E149" s="47">
        <f t="shared" ca="1" si="39"/>
        <v>0</v>
      </c>
      <c r="F149" s="47">
        <f t="shared" ca="1" si="39"/>
        <v>0</v>
      </c>
      <c r="G149" s="47">
        <f t="shared" ca="1" si="39"/>
        <v>0</v>
      </c>
      <c r="H149" s="47">
        <f t="shared" ca="1" si="39"/>
        <v>0</v>
      </c>
      <c r="Z149" s="48"/>
    </row>
    <row r="150" spans="1:26">
      <c r="A150" s="27" t="s">
        <v>249</v>
      </c>
      <c r="B150" s="17">
        <f t="shared" ref="B150:H150" ca="1" si="40">COUNTIFS(J:J,"Red",R:R,"PM")</f>
        <v>0</v>
      </c>
      <c r="C150" s="17">
        <f t="shared" ca="1" si="40"/>
        <v>0</v>
      </c>
      <c r="D150" s="17">
        <f t="shared" ca="1" si="40"/>
        <v>0</v>
      </c>
      <c r="E150" s="17">
        <f t="shared" ca="1" si="40"/>
        <v>0</v>
      </c>
      <c r="F150" s="17">
        <f t="shared" ca="1" si="40"/>
        <v>0</v>
      </c>
      <c r="G150" s="17">
        <f t="shared" ca="1" si="40"/>
        <v>0</v>
      </c>
      <c r="H150" s="17">
        <f t="shared" ca="1" si="40"/>
        <v>0</v>
      </c>
    </row>
    <row r="151" spans="1:26">
      <c r="A151" s="2" t="s">
        <v>250</v>
      </c>
      <c r="B151" s="17">
        <f t="shared" ref="B151:H151" ca="1" si="41">COUNTIFS(J:J,"Green",R:R,"PM")</f>
        <v>0</v>
      </c>
      <c r="C151" s="17">
        <f t="shared" ca="1" si="41"/>
        <v>0</v>
      </c>
      <c r="D151" s="17">
        <f t="shared" ca="1" si="41"/>
        <v>0</v>
      </c>
      <c r="E151" s="17">
        <f t="shared" ca="1" si="41"/>
        <v>0</v>
      </c>
      <c r="F151" s="17">
        <f t="shared" ca="1" si="41"/>
        <v>0</v>
      </c>
      <c r="G151" s="17">
        <f t="shared" ca="1" si="41"/>
        <v>0</v>
      </c>
      <c r="H151" s="17">
        <f t="shared" ca="1" si="41"/>
        <v>0</v>
      </c>
    </row>
    <row r="152" spans="1:26">
      <c r="A152" s="26" t="s">
        <v>251</v>
      </c>
      <c r="B152" s="17">
        <f t="shared" ref="B152:H152" ca="1" si="42">COUNTIFS(J:J,"Gold",R:R,"PM")</f>
        <v>0</v>
      </c>
      <c r="C152" s="17">
        <f t="shared" ca="1" si="42"/>
        <v>0</v>
      </c>
      <c r="D152" s="17">
        <f t="shared" ca="1" si="42"/>
        <v>0</v>
      </c>
      <c r="E152" s="17">
        <f t="shared" ca="1" si="42"/>
        <v>0</v>
      </c>
      <c r="F152" s="17">
        <f t="shared" ca="1" si="42"/>
        <v>0</v>
      </c>
      <c r="G152" s="17">
        <f t="shared" ca="1" si="42"/>
        <v>0</v>
      </c>
      <c r="H152" s="17">
        <f t="shared" ca="1" si="42"/>
        <v>0</v>
      </c>
    </row>
    <row r="153" spans="1:26">
      <c r="A153" s="29" t="s">
        <v>252</v>
      </c>
      <c r="B153" s="17">
        <f t="shared" ref="B153:H153" ca="1" si="43">COUNTIFS(J:J,"LGreen",R:R,"PM")</f>
        <v>0</v>
      </c>
      <c r="C153" s="17">
        <f t="shared" ca="1" si="43"/>
        <v>0</v>
      </c>
      <c r="D153" s="17">
        <f t="shared" ca="1" si="43"/>
        <v>0</v>
      </c>
      <c r="E153" s="17">
        <f t="shared" ca="1" si="43"/>
        <v>0</v>
      </c>
      <c r="F153" s="17">
        <f t="shared" ca="1" si="43"/>
        <v>0</v>
      </c>
      <c r="G153" s="17">
        <f t="shared" ca="1" si="43"/>
        <v>0</v>
      </c>
      <c r="H153" s="17">
        <f t="shared" ca="1" si="43"/>
        <v>0</v>
      </c>
    </row>
    <row r="154" spans="1:26">
      <c r="A154" s="10" t="s">
        <v>253</v>
      </c>
      <c r="B154" s="17">
        <f t="shared" ref="B154:H154" ca="1" si="44">COUNTIFS(J:J,"Blue",R:R,"PM")</f>
        <v>0</v>
      </c>
      <c r="C154" s="17">
        <f t="shared" ca="1" si="44"/>
        <v>0</v>
      </c>
      <c r="D154" s="17">
        <f t="shared" ca="1" si="44"/>
        <v>0</v>
      </c>
      <c r="E154" s="17">
        <f t="shared" ca="1" si="44"/>
        <v>0</v>
      </c>
      <c r="F154" s="17">
        <f t="shared" ca="1" si="44"/>
        <v>0</v>
      </c>
      <c r="G154" s="17">
        <f t="shared" ca="1" si="44"/>
        <v>0</v>
      </c>
      <c r="H154" s="17">
        <f t="shared" ca="1" si="44"/>
        <v>0</v>
      </c>
    </row>
    <row r="155" spans="1:26">
      <c r="A155" s="3" t="s">
        <v>59</v>
      </c>
      <c r="B155" s="17">
        <f t="shared" ref="B155:H155" ca="1" si="45">COUNTIFS(J:J,"Pink",R:R,"PM")</f>
        <v>0</v>
      </c>
      <c r="C155" s="17">
        <f t="shared" ca="1" si="45"/>
        <v>0</v>
      </c>
      <c r="D155" s="17">
        <f t="shared" ca="1" si="45"/>
        <v>0</v>
      </c>
      <c r="E155" s="17">
        <f t="shared" ca="1" si="45"/>
        <v>0</v>
      </c>
      <c r="F155" s="17">
        <f t="shared" ca="1" si="45"/>
        <v>0</v>
      </c>
      <c r="G155" s="17">
        <f t="shared" ca="1" si="45"/>
        <v>0</v>
      </c>
      <c r="H155" s="17">
        <f t="shared" ca="1" si="45"/>
        <v>0</v>
      </c>
    </row>
    <row r="156" spans="1:26">
      <c r="A156" s="5" t="s">
        <v>254</v>
      </c>
      <c r="B156" s="17">
        <f t="shared" ref="B156:H156" ca="1" si="46">COUNTIFS(R:R,"PM") -B151-B152-B155-B154-B150-B153</f>
        <v>0</v>
      </c>
      <c r="C156" s="17">
        <f t="shared" ca="1" si="46"/>
        <v>0</v>
      </c>
      <c r="D156" s="17">
        <f t="shared" ca="1" si="46"/>
        <v>0</v>
      </c>
      <c r="E156" s="17">
        <f t="shared" ca="1" si="46"/>
        <v>0</v>
      </c>
      <c r="F156" s="17">
        <f t="shared" ca="1" si="46"/>
        <v>0</v>
      </c>
      <c r="G156" s="17">
        <f t="shared" ca="1" si="46"/>
        <v>0</v>
      </c>
      <c r="H156" s="17">
        <f t="shared" ca="1" si="46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7">SUM(C150:C155)</f>
        <v>0</v>
      </c>
      <c r="D157" s="47">
        <f t="shared" ca="1" si="47"/>
        <v>0</v>
      </c>
      <c r="E157" s="47">
        <f t="shared" ca="1" si="47"/>
        <v>0</v>
      </c>
      <c r="F157" s="47">
        <f t="shared" ca="1" si="47"/>
        <v>0</v>
      </c>
      <c r="G157" s="47">
        <f t="shared" ca="1" si="47"/>
        <v>0</v>
      </c>
      <c r="H157" s="47">
        <f t="shared" ca="1" si="47"/>
        <v>0</v>
      </c>
      <c r="Z157" s="48"/>
    </row>
    <row r="158" spans="1:26">
      <c r="A158" s="4" t="s">
        <v>256</v>
      </c>
      <c r="B158" s="17">
        <f t="shared" ref="B158:H158" ca="1" si="48">COUNTIFS(R:R,"ND")</f>
        <v>0</v>
      </c>
      <c r="C158" s="17">
        <f t="shared" ca="1" si="48"/>
        <v>0</v>
      </c>
      <c r="D158" s="17">
        <f t="shared" ca="1" si="48"/>
        <v>0</v>
      </c>
      <c r="E158" s="17">
        <f t="shared" ca="1" si="48"/>
        <v>0</v>
      </c>
      <c r="F158" s="17">
        <f t="shared" ca="1" si="48"/>
        <v>0</v>
      </c>
      <c r="G158" s="17">
        <f t="shared" ca="1" si="48"/>
        <v>0</v>
      </c>
      <c r="H158" s="17">
        <f t="shared" ca="1" si="48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92:A99">
    <sortCondition ref="A92"/>
  </sortState>
  <mergeCells count="21">
    <mergeCell ref="B134:H134"/>
    <mergeCell ref="B6:H6"/>
    <mergeCell ref="B12:H12"/>
    <mergeCell ref="B16:H16"/>
    <mergeCell ref="B13:H13"/>
    <mergeCell ref="B14:H14"/>
    <mergeCell ref="B21:H21"/>
    <mergeCell ref="B39:H39"/>
    <mergeCell ref="B42:H42"/>
    <mergeCell ref="B36:H36"/>
    <mergeCell ref="B31:H31"/>
    <mergeCell ref="B30:H30"/>
    <mergeCell ref="B93:H93"/>
    <mergeCell ref="B112:H112"/>
    <mergeCell ref="B110:H110"/>
    <mergeCell ref="E121:H121"/>
    <mergeCell ref="B28:H28"/>
    <mergeCell ref="B27:H27"/>
    <mergeCell ref="B48:H48"/>
    <mergeCell ref="B5:H5"/>
    <mergeCell ref="B130:H130"/>
  </mergeCells>
  <phoneticPr fontId="12" type="noConversion"/>
  <conditionalFormatting sqref="B145:H145 B147:H147 B153:H153 B155:H155">
    <cfRule type="cellIs" dxfId="17" priority="4" operator="lessThan">
      <formula>2</formula>
    </cfRule>
  </conditionalFormatting>
  <conditionalFormatting sqref="B146:H146">
    <cfRule type="cellIs" dxfId="16" priority="2" operator="lessThan">
      <formula>2</formula>
    </cfRule>
  </conditionalFormatting>
  <conditionalFormatting sqref="B143:H144 B151:H152">
    <cfRule type="cellIs" dxfId="15" priority="5" operator="lessThan">
      <formula>4</formula>
    </cfRule>
  </conditionalFormatting>
  <conditionalFormatting sqref="B142:H142 B150:H150">
    <cfRule type="cellIs" dxfId="14" priority="6" operator="lessThan">
      <formula>2</formula>
    </cfRule>
  </conditionalFormatting>
  <conditionalFormatting sqref="B158:H158">
    <cfRule type="cellIs" dxfId="13" priority="3" operator="lessThan">
      <formula>7</formula>
    </cfRule>
  </conditionalFormatting>
  <conditionalFormatting sqref="B154:H154">
    <cfRule type="cellIs" dxfId="12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4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6">
    <tabColor theme="0"/>
    <pageSetUpPr fitToPage="1"/>
  </sheetPr>
  <dimension ref="A1:AH161"/>
  <sheetViews>
    <sheetView topLeftCell="A91" zoomScaleNormal="100" workbookViewId="0">
      <selection activeCell="D122" sqref="D122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22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46223</v>
      </c>
      <c r="C2" s="105">
        <f>B2+1</f>
        <v>46224</v>
      </c>
      <c r="D2" s="105">
        <f t="shared" ref="D2:H2" si="0">C2+1</f>
        <v>46225</v>
      </c>
      <c r="E2" s="105">
        <f t="shared" si="0"/>
        <v>46226</v>
      </c>
      <c r="F2" s="105">
        <f t="shared" si="0"/>
        <v>46227</v>
      </c>
      <c r="G2" s="105">
        <f t="shared" si="0"/>
        <v>46228</v>
      </c>
      <c r="H2" s="105">
        <f t="shared" si="0"/>
        <v>46229</v>
      </c>
    </row>
    <row r="3" spans="1:26" ht="14.45" customHeight="1">
      <c r="A3" s="21" t="s">
        <v>15</v>
      </c>
      <c r="B3" s="25"/>
      <c r="C3" s="110" t="s">
        <v>16</v>
      </c>
      <c r="D3" s="25"/>
      <c r="E3" s="25"/>
      <c r="F3" s="25"/>
      <c r="G3" s="25"/>
      <c r="H3" s="25"/>
      <c r="J3" t="e">
        <f t="shared" ref="J3:P18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18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116" t="s">
        <v>32</v>
      </c>
      <c r="F4" s="25"/>
      <c r="G4" s="25"/>
      <c r="H4" s="25"/>
      <c r="J4" t="e">
        <f t="shared" ca="1" si="1"/>
        <v>#NAME?</v>
      </c>
      <c r="K4" t="e">
        <f t="shared" ca="1" si="1"/>
        <v>#NAME?</v>
      </c>
      <c r="L4" t="e">
        <f t="shared" ca="1" si="1"/>
        <v>#NAME?</v>
      </c>
      <c r="M4" t="e">
        <f t="shared" ca="1" si="1"/>
        <v>#NAME?</v>
      </c>
      <c r="N4" t="e">
        <f t="shared" ca="1" si="1"/>
        <v>#NAME?</v>
      </c>
      <c r="O4" t="e">
        <f t="shared" ca="1" si="1"/>
        <v>#NAME?</v>
      </c>
      <c r="P4" t="e">
        <f t="shared" ca="1" si="1"/>
        <v>#NAME?</v>
      </c>
      <c r="R4" t="e">
        <f t="shared" ca="1" si="2"/>
        <v>#NAME?</v>
      </c>
      <c r="S4" t="e">
        <f t="shared" ca="1" si="2"/>
        <v>#NAME?</v>
      </c>
      <c r="T4" t="e">
        <f t="shared" ca="1" si="2"/>
        <v>#NAME?</v>
      </c>
      <c r="U4" t="e">
        <f t="shared" ca="1" si="2"/>
        <v>#NAME?</v>
      </c>
      <c r="V4" t="e">
        <f t="shared" ca="1" si="2"/>
        <v>#NAME?</v>
      </c>
      <c r="W4" t="e">
        <f t="shared" ca="1" si="2"/>
        <v>#NAME?</v>
      </c>
      <c r="X4" t="e">
        <f t="shared" ca="1" si="2"/>
        <v>#NAME?</v>
      </c>
      <c r="Z4" s="15">
        <v>0.25</v>
      </c>
    </row>
    <row r="5" spans="1:26" ht="14.45" customHeight="1">
      <c r="A5" s="21" t="s">
        <v>19</v>
      </c>
      <c r="B5" s="25"/>
      <c r="C5" s="25"/>
      <c r="D5" s="116" t="s">
        <v>32</v>
      </c>
      <c r="E5" s="110" t="s">
        <v>59</v>
      </c>
      <c r="F5" s="25"/>
      <c r="G5" s="25"/>
      <c r="H5" s="25"/>
      <c r="J5" t="e">
        <f t="shared" ca="1" si="1"/>
        <v>#NAME?</v>
      </c>
      <c r="K5" t="e">
        <f t="shared" ca="1" si="1"/>
        <v>#NAME?</v>
      </c>
      <c r="L5" t="e">
        <f t="shared" ca="1" si="1"/>
        <v>#NAME?</v>
      </c>
      <c r="M5" t="e">
        <f t="shared" ca="1" si="1"/>
        <v>#NAME?</v>
      </c>
      <c r="N5" t="e">
        <f t="shared" ca="1" si="1"/>
        <v>#NAME?</v>
      </c>
      <c r="O5" t="e">
        <f t="shared" ca="1" si="1"/>
        <v>#NAME?</v>
      </c>
      <c r="P5" t="e">
        <f t="shared" ca="1" si="1"/>
        <v>#NAME?</v>
      </c>
      <c r="R5" t="e">
        <f t="shared" ca="1" si="2"/>
        <v>#NAME?</v>
      </c>
      <c r="S5" t="e">
        <f t="shared" ca="1" si="2"/>
        <v>#NAME?</v>
      </c>
      <c r="T5" t="e">
        <f t="shared" ca="1" si="2"/>
        <v>#NAME?</v>
      </c>
      <c r="U5" t="e">
        <f t="shared" ca="1" si="2"/>
        <v>#NAME?</v>
      </c>
      <c r="V5" t="e">
        <f t="shared" ca="1" si="2"/>
        <v>#NAME?</v>
      </c>
      <c r="W5" t="e">
        <f t="shared" ca="1" si="2"/>
        <v>#NAME?</v>
      </c>
      <c r="X5" t="e">
        <f t="shared" ca="1" si="2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1"/>
        <v>#NAME?</v>
      </c>
      <c r="K6" t="e">
        <f t="shared" ca="1" si="1"/>
        <v>#NAME?</v>
      </c>
      <c r="L6" t="e">
        <f t="shared" ca="1" si="1"/>
        <v>#NAME?</v>
      </c>
      <c r="M6" t="e">
        <f t="shared" ca="1" si="1"/>
        <v>#NAME?</v>
      </c>
      <c r="N6" t="e">
        <f t="shared" ca="1" si="1"/>
        <v>#NAME?</v>
      </c>
      <c r="O6" t="e">
        <f t="shared" ca="1" si="1"/>
        <v>#NAME?</v>
      </c>
      <c r="P6" t="e">
        <f t="shared" ca="1" si="1"/>
        <v>#NAME?</v>
      </c>
      <c r="R6" t="e">
        <f t="shared" ca="1" si="2"/>
        <v>#NAME?</v>
      </c>
      <c r="S6" t="e">
        <f t="shared" ca="1" si="2"/>
        <v>#NAME?</v>
      </c>
      <c r="T6" t="e">
        <f t="shared" ca="1" si="2"/>
        <v>#NAME?</v>
      </c>
      <c r="U6" t="e">
        <f t="shared" ca="1" si="2"/>
        <v>#NAME?</v>
      </c>
      <c r="V6" t="e">
        <f t="shared" ca="1" si="2"/>
        <v>#NAME?</v>
      </c>
      <c r="W6" t="e">
        <f t="shared" ca="1" si="2"/>
        <v>#NAME?</v>
      </c>
      <c r="X6" t="e">
        <f t="shared" ca="1" si="2"/>
        <v>#NAME?</v>
      </c>
    </row>
    <row r="7" spans="1:26" ht="14.45" customHeight="1">
      <c r="A7" s="21" t="s">
        <v>22</v>
      </c>
      <c r="B7" s="117" t="s">
        <v>31</v>
      </c>
      <c r="C7" s="115" t="s">
        <v>287</v>
      </c>
      <c r="D7" s="118" t="s">
        <v>36</v>
      </c>
      <c r="E7" s="25" t="s">
        <v>24</v>
      </c>
      <c r="F7" s="25"/>
      <c r="G7" s="25"/>
      <c r="H7" s="25"/>
      <c r="J7" t="e">
        <f t="shared" ca="1" si="1"/>
        <v>#NAME?</v>
      </c>
      <c r="K7" t="e">
        <f t="shared" ca="1" si="1"/>
        <v>#NAME?</v>
      </c>
      <c r="L7" t="e">
        <f t="shared" ca="1" si="1"/>
        <v>#NAME?</v>
      </c>
      <c r="M7" t="e">
        <f t="shared" ca="1" si="1"/>
        <v>#NAME?</v>
      </c>
      <c r="N7" t="e">
        <f t="shared" ca="1" si="1"/>
        <v>#NAME?</v>
      </c>
      <c r="O7" t="e">
        <f t="shared" ca="1" si="1"/>
        <v>#NAME?</v>
      </c>
      <c r="P7" t="e">
        <f t="shared" ca="1" si="1"/>
        <v>#NAME?</v>
      </c>
      <c r="R7" t="e">
        <f t="shared" ca="1" si="2"/>
        <v>#NAME?</v>
      </c>
      <c r="S7" t="e">
        <f t="shared" ca="1" si="2"/>
        <v>#NAME?</v>
      </c>
      <c r="T7" t="e">
        <f t="shared" ca="1" si="2"/>
        <v>#NAME?</v>
      </c>
      <c r="U7" t="e">
        <f t="shared" ca="1" si="2"/>
        <v>#NAME?</v>
      </c>
      <c r="V7" t="e">
        <f t="shared" ca="1" si="2"/>
        <v>#NAME?</v>
      </c>
      <c r="W7" t="e">
        <f t="shared" ca="1" si="2"/>
        <v>#NAME?</v>
      </c>
      <c r="X7" t="e">
        <f t="shared" ca="1" si="2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/>
      <c r="F8" s="116" t="s">
        <v>32</v>
      </c>
      <c r="G8" s="117" t="s">
        <v>36</v>
      </c>
      <c r="H8" s="25"/>
      <c r="J8" t="e">
        <f t="shared" ca="1" si="1"/>
        <v>#NAME?</v>
      </c>
      <c r="K8" t="e">
        <f t="shared" ca="1" si="1"/>
        <v>#NAME?</v>
      </c>
      <c r="L8" t="e">
        <f t="shared" ca="1" si="1"/>
        <v>#NAME?</v>
      </c>
      <c r="M8" t="e">
        <f t="shared" ca="1" si="1"/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R8" t="e">
        <f t="shared" ca="1" si="2"/>
        <v>#NAME?</v>
      </c>
      <c r="S8" t="e">
        <f t="shared" ca="1" si="2"/>
        <v>#NAME?</v>
      </c>
      <c r="T8" t="e">
        <f t="shared" ca="1" si="2"/>
        <v>#NAME?</v>
      </c>
      <c r="U8" t="e">
        <f t="shared" ca="1" si="2"/>
        <v>#NAME?</v>
      </c>
      <c r="V8" t="e">
        <f t="shared" ca="1" si="2"/>
        <v>#NAME?</v>
      </c>
      <c r="W8" t="e">
        <f t="shared" ca="1" si="2"/>
        <v>#NAME?</v>
      </c>
      <c r="X8" t="e">
        <f t="shared" ca="1" si="2"/>
        <v>#NAME?</v>
      </c>
      <c r="Z8" s="15">
        <v>0.5</v>
      </c>
    </row>
    <row r="9" spans="1:26" ht="15" customHeight="1">
      <c r="A9" s="21" t="s">
        <v>28</v>
      </c>
      <c r="B9" s="117" t="s">
        <v>36</v>
      </c>
      <c r="C9" s="25"/>
      <c r="D9" s="25"/>
      <c r="E9" s="115" t="s">
        <v>287</v>
      </c>
      <c r="F9" s="117" t="s">
        <v>31</v>
      </c>
      <c r="G9" s="25"/>
      <c r="H9" s="25"/>
      <c r="J9" t="e">
        <f t="shared" ca="1" si="1"/>
        <v>#NAME?</v>
      </c>
      <c r="K9" t="e">
        <f t="shared" ca="1" si="1"/>
        <v>#NAME?</v>
      </c>
      <c r="L9" t="e">
        <f t="shared" ca="1" si="1"/>
        <v>#NAME?</v>
      </c>
      <c r="M9" t="e">
        <f t="shared" ca="1" si="1"/>
        <v>#NAME?</v>
      </c>
      <c r="N9" t="e">
        <f t="shared" ca="1" si="1"/>
        <v>#NAME?</v>
      </c>
      <c r="O9" t="e">
        <f t="shared" ca="1" si="1"/>
        <v>#NAME?</v>
      </c>
      <c r="P9" t="e">
        <f t="shared" ca="1" si="1"/>
        <v>#NAME?</v>
      </c>
      <c r="R9" t="e">
        <f t="shared" ca="1" si="2"/>
        <v>#NAME?</v>
      </c>
      <c r="S9" t="e">
        <f t="shared" ca="1" si="2"/>
        <v>#NAME?</v>
      </c>
      <c r="T9" t="e">
        <f t="shared" ca="1" si="2"/>
        <v>#NAME?</v>
      </c>
      <c r="U9" t="e">
        <f t="shared" ca="1" si="2"/>
        <v>#NAME?</v>
      </c>
      <c r="V9" t="e">
        <f t="shared" ca="1" si="2"/>
        <v>#NAME?</v>
      </c>
      <c r="W9" t="e">
        <f t="shared" ca="1" si="2"/>
        <v>#NAME?</v>
      </c>
      <c r="X9" t="e">
        <f t="shared" ca="1" si="2"/>
        <v>#NAME?</v>
      </c>
      <c r="Z9" s="15">
        <v>0.75</v>
      </c>
    </row>
    <row r="10" spans="1:26" ht="14.45" customHeight="1">
      <c r="A10" s="21" t="s">
        <v>30</v>
      </c>
      <c r="B10" s="25" t="s">
        <v>24</v>
      </c>
      <c r="C10" s="25"/>
      <c r="D10" s="117" t="s">
        <v>31</v>
      </c>
      <c r="E10" s="25"/>
      <c r="F10" s="25"/>
      <c r="G10" s="25"/>
      <c r="H10" s="25"/>
      <c r="J10" t="e">
        <f t="shared" ca="1" si="1"/>
        <v>#NAME?</v>
      </c>
      <c r="K10" t="e">
        <f t="shared" ca="1" si="1"/>
        <v>#NAME?</v>
      </c>
      <c r="L10" t="e">
        <f t="shared" ca="1" si="1"/>
        <v>#NAME?</v>
      </c>
      <c r="M10" t="e">
        <f t="shared" ca="1" si="1"/>
        <v>#NAME?</v>
      </c>
      <c r="N10" t="e">
        <f t="shared" ca="1" si="1"/>
        <v>#NAME?</v>
      </c>
      <c r="O10" t="e">
        <f t="shared" ca="1" si="1"/>
        <v>#NAME?</v>
      </c>
      <c r="P10" t="e">
        <f t="shared" ca="1" si="1"/>
        <v>#NAME?</v>
      </c>
      <c r="R10" t="e">
        <f t="shared" ca="1" si="2"/>
        <v>#NAME?</v>
      </c>
      <c r="S10" t="e">
        <f t="shared" ca="1" si="2"/>
        <v>#NAME?</v>
      </c>
      <c r="T10" t="e">
        <f t="shared" ca="1" si="2"/>
        <v>#NAME?</v>
      </c>
      <c r="U10" t="e">
        <f t="shared" ca="1" si="2"/>
        <v>#NAME?</v>
      </c>
      <c r="V10" t="e">
        <f t="shared" ca="1" si="2"/>
        <v>#NAME?</v>
      </c>
      <c r="W10" t="e">
        <f t="shared" ca="1" si="2"/>
        <v>#NAME?</v>
      </c>
      <c r="X10" t="e">
        <f t="shared" ca="1" si="2"/>
        <v>#NAME?</v>
      </c>
      <c r="Z10" s="15">
        <v>0.75</v>
      </c>
    </row>
    <row r="11" spans="1:26" ht="14.45" customHeight="1">
      <c r="A11" s="21" t="s">
        <v>33</v>
      </c>
      <c r="B11" s="44" t="s">
        <v>26</v>
      </c>
      <c r="C11" s="115" t="s">
        <v>287</v>
      </c>
      <c r="D11" s="25"/>
      <c r="E11" s="25"/>
      <c r="F11" s="28" t="s">
        <v>25</v>
      </c>
      <c r="G11" s="117" t="s">
        <v>31</v>
      </c>
      <c r="H11" s="25"/>
      <c r="J11" t="e">
        <f t="shared" ca="1" si="1"/>
        <v>#NAME?</v>
      </c>
      <c r="K11" t="e">
        <f t="shared" ca="1" si="1"/>
        <v>#NAME?</v>
      </c>
      <c r="L11" t="e">
        <f t="shared" ca="1" si="1"/>
        <v>#NAME?</v>
      </c>
      <c r="M11" t="e">
        <f t="shared" ca="1" si="1"/>
        <v>#NAME?</v>
      </c>
      <c r="N11" t="e">
        <f t="shared" ca="1" si="1"/>
        <v>#NAME?</v>
      </c>
      <c r="O11" t="e">
        <f t="shared" ca="1" si="1"/>
        <v>#NAME?</v>
      </c>
      <c r="P11" t="e">
        <f t="shared" ca="1" si="1"/>
        <v>#NAME?</v>
      </c>
      <c r="R11" t="e">
        <f t="shared" ca="1" si="2"/>
        <v>#NAME?</v>
      </c>
      <c r="S11" t="e">
        <f t="shared" ca="1" si="2"/>
        <v>#NAME?</v>
      </c>
      <c r="T11" t="e">
        <f t="shared" ca="1" si="2"/>
        <v>#NAME?</v>
      </c>
      <c r="U11" t="e">
        <f t="shared" ca="1" si="2"/>
        <v>#NAME?</v>
      </c>
      <c r="V11" t="e">
        <f t="shared" ca="1" si="2"/>
        <v>#NAME?</v>
      </c>
      <c r="W11" t="e">
        <f t="shared" ca="1" si="2"/>
        <v>#NAME?</v>
      </c>
      <c r="X11" t="e">
        <f t="shared" ca="1" si="2"/>
        <v>#NAME?</v>
      </c>
      <c r="Z11" s="15">
        <v>1</v>
      </c>
    </row>
    <row r="12" spans="1:26" ht="15" customHeight="1">
      <c r="A12" s="22" t="s">
        <v>35</v>
      </c>
      <c r="B12" s="127" t="s">
        <v>20</v>
      </c>
      <c r="C12" s="128"/>
      <c r="D12" s="128"/>
      <c r="E12" s="128"/>
      <c r="F12" s="128"/>
      <c r="G12" s="128"/>
      <c r="H12" s="129"/>
      <c r="J12" t="e">
        <f t="shared" ca="1" si="1"/>
        <v>#NAME?</v>
      </c>
      <c r="K12" t="e">
        <f t="shared" ca="1" si="1"/>
        <v>#NAME?</v>
      </c>
      <c r="L12" t="e">
        <f t="shared" ca="1" si="1"/>
        <v>#NAME?</v>
      </c>
      <c r="M12" t="e">
        <f t="shared" ca="1" si="1"/>
        <v>#NAME?</v>
      </c>
      <c r="N12" t="e">
        <f t="shared" ca="1" si="1"/>
        <v>#NAME?</v>
      </c>
      <c r="O12" t="e">
        <f t="shared" ca="1" si="1"/>
        <v>#NAME?</v>
      </c>
      <c r="P12" t="e">
        <f t="shared" ca="1" si="1"/>
        <v>#NAME?</v>
      </c>
      <c r="R12" t="e">
        <f t="shared" ca="1" si="2"/>
        <v>#NAME?</v>
      </c>
      <c r="S12" t="e">
        <f t="shared" ca="1" si="2"/>
        <v>#NAME?</v>
      </c>
      <c r="T12" t="e">
        <f t="shared" ca="1" si="2"/>
        <v>#NAME?</v>
      </c>
      <c r="U12" t="e">
        <f t="shared" ca="1" si="2"/>
        <v>#NAME?</v>
      </c>
      <c r="V12" t="e">
        <f t="shared" ca="1" si="2"/>
        <v>#NAME?</v>
      </c>
      <c r="W12" t="e">
        <f t="shared" ca="1" si="2"/>
        <v>#NAME?</v>
      </c>
      <c r="X12" t="e">
        <f t="shared" ca="1" si="2"/>
        <v>#NAME?</v>
      </c>
      <c r="Z12" s="15">
        <v>0.5</v>
      </c>
    </row>
    <row r="13" spans="1:26" ht="15" customHeight="1">
      <c r="A13" s="22" t="s">
        <v>37</v>
      </c>
      <c r="B13" s="25"/>
      <c r="C13" s="25"/>
      <c r="D13" s="25"/>
      <c r="E13" s="44" t="s">
        <v>26</v>
      </c>
      <c r="F13" s="110" t="s">
        <v>16</v>
      </c>
      <c r="G13" s="25"/>
      <c r="H13" s="25"/>
      <c r="J13" t="e">
        <f t="shared" ca="1" si="1"/>
        <v>#NAME?</v>
      </c>
      <c r="K13" t="e">
        <f t="shared" ca="1" si="1"/>
        <v>#NAME?</v>
      </c>
      <c r="L13" t="e">
        <f t="shared" ca="1" si="1"/>
        <v>#NAME?</v>
      </c>
      <c r="M13" t="e">
        <f t="shared" ca="1" si="1"/>
        <v>#NAME?</v>
      </c>
      <c r="N13" t="e">
        <f t="shared" ca="1" si="1"/>
        <v>#NAME?</v>
      </c>
      <c r="O13" t="e">
        <f t="shared" ca="1" si="1"/>
        <v>#NAME?</v>
      </c>
      <c r="P13" t="e">
        <f t="shared" ca="1" si="1"/>
        <v>#NAME?</v>
      </c>
      <c r="R13" t="e">
        <f t="shared" ca="1" si="2"/>
        <v>#NAME?</v>
      </c>
      <c r="S13" t="e">
        <f t="shared" ca="1" si="2"/>
        <v>#NAME?</v>
      </c>
      <c r="T13" t="e">
        <f t="shared" ca="1" si="2"/>
        <v>#NAME?</v>
      </c>
      <c r="U13" t="e">
        <f t="shared" ca="1" si="2"/>
        <v>#NAME?</v>
      </c>
      <c r="V13" t="e">
        <f t="shared" ca="1" si="2"/>
        <v>#NAME?</v>
      </c>
      <c r="W13" t="e">
        <f t="shared" ca="1" si="2"/>
        <v>#NAME?</v>
      </c>
      <c r="X13" t="e">
        <f t="shared" ca="1" si="2"/>
        <v>#NAME?</v>
      </c>
      <c r="Z13" s="15">
        <v>0.25</v>
      </c>
    </row>
    <row r="14" spans="1:26" ht="14.45" customHeight="1">
      <c r="A14" s="21" t="s">
        <v>39</v>
      </c>
      <c r="B14" s="127" t="s">
        <v>260</v>
      </c>
      <c r="C14" s="128"/>
      <c r="D14" s="128"/>
      <c r="E14" s="128"/>
      <c r="F14" s="128"/>
      <c r="G14" s="128"/>
      <c r="H14" s="129"/>
      <c r="J14" t="e">
        <f t="shared" ca="1" si="1"/>
        <v>#NAME?</v>
      </c>
      <c r="K14" t="e">
        <f t="shared" ca="1" si="1"/>
        <v>#NAME?</v>
      </c>
      <c r="L14" t="e">
        <f t="shared" ca="1" si="1"/>
        <v>#NAME?</v>
      </c>
      <c r="M14" t="e">
        <f t="shared" ca="1" si="1"/>
        <v>#NAME?</v>
      </c>
      <c r="N14" t="e">
        <f t="shared" ca="1" si="1"/>
        <v>#NAME?</v>
      </c>
      <c r="O14" t="e">
        <f t="shared" ca="1" si="1"/>
        <v>#NAME?</v>
      </c>
      <c r="P14" t="e">
        <f t="shared" ca="1" si="1"/>
        <v>#NAME?</v>
      </c>
      <c r="R14" t="e">
        <f t="shared" ca="1" si="2"/>
        <v>#NAME?</v>
      </c>
      <c r="S14" t="e">
        <f t="shared" ca="1" si="2"/>
        <v>#NAME?</v>
      </c>
      <c r="T14" t="e">
        <f t="shared" ca="1" si="2"/>
        <v>#NAME?</v>
      </c>
      <c r="U14" t="e">
        <f t="shared" ca="1" si="2"/>
        <v>#NAME?</v>
      </c>
      <c r="V14" t="e">
        <f t="shared" ca="1" si="2"/>
        <v>#NAME?</v>
      </c>
      <c r="W14" t="e">
        <f t="shared" ca="1" si="2"/>
        <v>#NAME?</v>
      </c>
      <c r="X14" t="e">
        <f t="shared" ca="1" si="2"/>
        <v>#NAME?</v>
      </c>
      <c r="Z14" s="15">
        <v>0.25</v>
      </c>
    </row>
    <row r="15" spans="1:26">
      <c r="A15" s="21" t="s">
        <v>41</v>
      </c>
      <c r="B15" s="25" t="s">
        <v>24</v>
      </c>
      <c r="C15" s="118" t="s">
        <v>31</v>
      </c>
      <c r="D15" s="110" t="s">
        <v>59</v>
      </c>
      <c r="E15" s="25"/>
      <c r="F15" s="44" t="s">
        <v>26</v>
      </c>
      <c r="G15" s="25"/>
      <c r="H15" s="25"/>
      <c r="J15" t="e">
        <f t="shared" ca="1" si="1"/>
        <v>#NAME?</v>
      </c>
      <c r="K15" t="e">
        <f t="shared" ca="1" si="1"/>
        <v>#NAME?</v>
      </c>
      <c r="L15" t="e">
        <f t="shared" ca="1" si="1"/>
        <v>#NAME?</v>
      </c>
      <c r="M15" t="e">
        <f t="shared" ca="1" si="1"/>
        <v>#NAME?</v>
      </c>
      <c r="N15" t="e">
        <f t="shared" ca="1" si="1"/>
        <v>#NAME?</v>
      </c>
      <c r="O15" t="e">
        <f t="shared" ca="1" si="1"/>
        <v>#NAME?</v>
      </c>
      <c r="P15" t="e">
        <f t="shared" ca="1" si="1"/>
        <v>#NAME?</v>
      </c>
      <c r="R15" t="e">
        <f t="shared" ca="1" si="2"/>
        <v>#NAME?</v>
      </c>
      <c r="S15" t="e">
        <f t="shared" ca="1" si="2"/>
        <v>#NAME?</v>
      </c>
      <c r="T15" t="e">
        <f t="shared" ca="1" si="2"/>
        <v>#NAME?</v>
      </c>
      <c r="U15" t="e">
        <f t="shared" ca="1" si="2"/>
        <v>#NAME?</v>
      </c>
      <c r="V15" t="e">
        <f t="shared" ca="1" si="2"/>
        <v>#NAME?</v>
      </c>
      <c r="W15" t="e">
        <f t="shared" ca="1" si="2"/>
        <v>#NAME?</v>
      </c>
      <c r="X15" t="e">
        <f t="shared" ca="1" si="2"/>
        <v>#NAME?</v>
      </c>
      <c r="Z15" s="15">
        <v>1</v>
      </c>
    </row>
    <row r="16" spans="1:26">
      <c r="A16" s="21" t="s">
        <v>43</v>
      </c>
      <c r="B16" s="25"/>
      <c r="C16" s="25"/>
      <c r="D16" s="115" t="s">
        <v>287</v>
      </c>
      <c r="E16" s="25"/>
      <c r="F16" s="25"/>
      <c r="G16" s="118" t="s">
        <v>36</v>
      </c>
      <c r="H16" s="25"/>
      <c r="J16" t="e">
        <f t="shared" ca="1" si="1"/>
        <v>#NAME?</v>
      </c>
      <c r="K16" t="e">
        <f t="shared" ca="1" si="1"/>
        <v>#NAME?</v>
      </c>
      <c r="L16" t="e">
        <f t="shared" ca="1" si="1"/>
        <v>#NAME?</v>
      </c>
      <c r="M16" t="e">
        <f t="shared" ca="1" si="1"/>
        <v>#NAME?</v>
      </c>
      <c r="N16" t="e">
        <f t="shared" ca="1" si="1"/>
        <v>#NAME?</v>
      </c>
      <c r="O16" t="e">
        <f t="shared" ca="1" si="1"/>
        <v>#NAME?</v>
      </c>
      <c r="P16" t="e">
        <f t="shared" ca="1" si="1"/>
        <v>#NAME?</v>
      </c>
      <c r="R16" t="e">
        <f t="shared" ca="1" si="2"/>
        <v>#NAME?</v>
      </c>
      <c r="S16" t="e">
        <f t="shared" ca="1" si="2"/>
        <v>#NAME?</v>
      </c>
      <c r="T16" t="e">
        <f t="shared" ca="1" si="2"/>
        <v>#NAME?</v>
      </c>
      <c r="U16" t="e">
        <f t="shared" ca="1" si="2"/>
        <v>#NAME?</v>
      </c>
      <c r="V16" t="e">
        <f t="shared" ca="1" si="2"/>
        <v>#NAME?</v>
      </c>
      <c r="W16" t="e">
        <f t="shared" ca="1" si="2"/>
        <v>#NAME?</v>
      </c>
      <c r="X16" t="e">
        <f t="shared" ca="1" si="2"/>
        <v>#NAME?</v>
      </c>
      <c r="Z16" s="15">
        <v>0.5</v>
      </c>
    </row>
    <row r="17" spans="1:26">
      <c r="A17" s="21" t="s">
        <v>44</v>
      </c>
      <c r="B17" s="110" t="s">
        <v>59</v>
      </c>
      <c r="C17" s="116" t="s">
        <v>32</v>
      </c>
      <c r="D17" s="25" t="s">
        <v>24</v>
      </c>
      <c r="E17" s="25"/>
      <c r="F17" s="25" t="s">
        <v>24</v>
      </c>
      <c r="G17" s="25"/>
      <c r="H17" s="25"/>
      <c r="J17" t="e">
        <f t="shared" ca="1" si="1"/>
        <v>#NAME?</v>
      </c>
      <c r="K17" t="e">
        <f t="shared" ca="1" si="1"/>
        <v>#NAME?</v>
      </c>
      <c r="L17" t="e">
        <f t="shared" ca="1" si="1"/>
        <v>#NAME?</v>
      </c>
      <c r="M17" t="e">
        <f t="shared" ca="1" si="1"/>
        <v>#NAME?</v>
      </c>
      <c r="N17" t="e">
        <f t="shared" ca="1" si="1"/>
        <v>#NAME?</v>
      </c>
      <c r="O17" t="e">
        <f t="shared" ca="1" si="1"/>
        <v>#NAME?</v>
      </c>
      <c r="P17" t="e">
        <f t="shared" ca="1" si="1"/>
        <v>#NAME?</v>
      </c>
      <c r="R17" t="e">
        <f t="shared" ca="1" si="2"/>
        <v>#NAME?</v>
      </c>
      <c r="S17" t="e">
        <f t="shared" ca="1" si="2"/>
        <v>#NAME?</v>
      </c>
      <c r="T17" t="e">
        <f t="shared" ca="1" si="2"/>
        <v>#NAME?</v>
      </c>
      <c r="U17" t="e">
        <f t="shared" ca="1" si="2"/>
        <v>#NAME?</v>
      </c>
      <c r="V17" t="e">
        <f t="shared" ca="1" si="2"/>
        <v>#NAME?</v>
      </c>
      <c r="W17" t="e">
        <f t="shared" ca="1" si="2"/>
        <v>#NAME?</v>
      </c>
      <c r="X17" t="e">
        <f t="shared" ca="1" si="2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25"/>
      <c r="F18" s="25"/>
      <c r="G18" s="25"/>
      <c r="H18" s="110" t="s">
        <v>59</v>
      </c>
      <c r="J18" t="e">
        <f t="shared" ca="1" si="1"/>
        <v>#NAME?</v>
      </c>
      <c r="K18" t="e">
        <f t="shared" ca="1" si="1"/>
        <v>#NAME?</v>
      </c>
      <c r="L18" t="e">
        <f t="shared" ca="1" si="1"/>
        <v>#NAME?</v>
      </c>
      <c r="M18" t="e">
        <f t="shared" ca="1" si="1"/>
        <v>#NAME?</v>
      </c>
      <c r="N18" t="e">
        <f t="shared" ca="1" si="1"/>
        <v>#NAME?</v>
      </c>
      <c r="O18" t="e">
        <f t="shared" ca="1" si="1"/>
        <v>#NAME?</v>
      </c>
      <c r="P18" t="e">
        <f t="shared" ca="1" si="1"/>
        <v>#NAME?</v>
      </c>
      <c r="R18" t="e">
        <f t="shared" ca="1" si="2"/>
        <v>#NAME?</v>
      </c>
      <c r="S18" t="e">
        <f t="shared" ca="1" si="2"/>
        <v>#NAME?</v>
      </c>
      <c r="T18" t="e">
        <f t="shared" ca="1" si="2"/>
        <v>#NAME?</v>
      </c>
      <c r="U18" t="e">
        <f t="shared" ca="1" si="2"/>
        <v>#NAME?</v>
      </c>
      <c r="V18" t="e">
        <f t="shared" ca="1" si="2"/>
        <v>#NAME?</v>
      </c>
      <c r="W18" t="e">
        <f t="shared" ca="1" si="2"/>
        <v>#NAME?</v>
      </c>
      <c r="X18" t="e">
        <f t="shared" ca="1" si="2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25" t="s">
        <v>24</v>
      </c>
      <c r="G19" s="25"/>
      <c r="H19" s="44" t="s">
        <v>26</v>
      </c>
      <c r="J19" t="e">
        <f t="shared" ref="J19:P62" ca="1" si="3">colorindex(B19)</f>
        <v>#NAME?</v>
      </c>
      <c r="K19" t="e">
        <f t="shared" ca="1" si="3"/>
        <v>#NAME?</v>
      </c>
      <c r="L19" t="e">
        <f t="shared" ca="1" si="3"/>
        <v>#NAME?</v>
      </c>
      <c r="M19" t="e">
        <f t="shared" ca="1" si="3"/>
        <v>#NAME?</v>
      </c>
      <c r="N19" t="e">
        <f t="shared" ca="1" si="3"/>
        <v>#NAME?</v>
      </c>
      <c r="O19" t="e">
        <f t="shared" ca="1" si="3"/>
        <v>#NAME?</v>
      </c>
      <c r="P19" t="e">
        <f t="shared" ca="1" si="3"/>
        <v>#NAME?</v>
      </c>
      <c r="R19" t="e">
        <f t="shared" ref="R19:X62" ca="1" si="4">ShiftIndex(B19)</f>
        <v>#NAME?</v>
      </c>
      <c r="S19" t="e">
        <f t="shared" ca="1" si="4"/>
        <v>#NAME?</v>
      </c>
      <c r="T19" t="e">
        <f t="shared" ca="1" si="4"/>
        <v>#NAME?</v>
      </c>
      <c r="U19" t="e">
        <f t="shared" ca="1" si="4"/>
        <v>#NAME?</v>
      </c>
      <c r="V19" t="e">
        <f t="shared" ca="1" si="4"/>
        <v>#NAME?</v>
      </c>
      <c r="W19" t="e">
        <f t="shared" ca="1" si="4"/>
        <v>#NAME?</v>
      </c>
      <c r="X19" t="e">
        <f t="shared" ca="1" si="4"/>
        <v>#NAME?</v>
      </c>
      <c r="Z19" s="15">
        <v>0.5</v>
      </c>
    </row>
    <row r="20" spans="1:26" ht="15" customHeight="1">
      <c r="A20" s="21" t="s">
        <v>50</v>
      </c>
      <c r="B20" s="127" t="s">
        <v>38</v>
      </c>
      <c r="C20" s="128"/>
      <c r="D20" s="128"/>
      <c r="E20" s="128"/>
      <c r="F20" s="128"/>
      <c r="G20" s="128"/>
      <c r="H20" s="129"/>
      <c r="J20" t="e">
        <f t="shared" ca="1" si="3"/>
        <v>#NAME?</v>
      </c>
      <c r="K20" t="e">
        <f t="shared" ca="1" si="3"/>
        <v>#NAME?</v>
      </c>
      <c r="L20" t="e">
        <f t="shared" ca="1" si="3"/>
        <v>#NAME?</v>
      </c>
      <c r="M20" t="e">
        <f t="shared" ca="1" si="3"/>
        <v>#NAME?</v>
      </c>
      <c r="N20" t="e">
        <f t="shared" ca="1" si="3"/>
        <v>#NAME?</v>
      </c>
      <c r="O20" t="e">
        <f t="shared" ca="1" si="3"/>
        <v>#NAME?</v>
      </c>
      <c r="P20" t="e">
        <f t="shared" ca="1" si="3"/>
        <v>#NAME?</v>
      </c>
      <c r="R20" t="e">
        <f t="shared" ca="1" si="4"/>
        <v>#NAME?</v>
      </c>
      <c r="S20" t="e">
        <f t="shared" ca="1" si="4"/>
        <v>#NAME?</v>
      </c>
      <c r="T20" t="e">
        <f t="shared" ca="1" si="4"/>
        <v>#NAME?</v>
      </c>
      <c r="U20" t="e">
        <f t="shared" ca="1" si="4"/>
        <v>#NAME?</v>
      </c>
      <c r="V20" t="e">
        <f t="shared" ca="1" si="4"/>
        <v>#NAME?</v>
      </c>
      <c r="W20" t="e">
        <f t="shared" ca="1" si="4"/>
        <v>#NAME?</v>
      </c>
      <c r="X20" t="e">
        <f t="shared" ca="1" si="4"/>
        <v>#NAME?</v>
      </c>
      <c r="Z20" s="15">
        <v>0.375</v>
      </c>
    </row>
    <row r="21" spans="1:26">
      <c r="A21" s="21" t="s">
        <v>51</v>
      </c>
      <c r="B21" s="116" t="s">
        <v>32</v>
      </c>
      <c r="C21" s="25"/>
      <c r="D21" s="25"/>
      <c r="E21" s="25"/>
      <c r="F21" s="25" t="s">
        <v>24</v>
      </c>
      <c r="G21" s="118" t="s">
        <v>31</v>
      </c>
      <c r="H21" s="116" t="s">
        <v>45</v>
      </c>
      <c r="J21" t="e">
        <f t="shared" ca="1" si="3"/>
        <v>#NAME?</v>
      </c>
      <c r="K21" t="e">
        <f t="shared" ca="1" si="3"/>
        <v>#NAME?</v>
      </c>
      <c r="L21" t="e">
        <f t="shared" ca="1" si="3"/>
        <v>#NAME?</v>
      </c>
      <c r="M21" t="e">
        <f t="shared" ca="1" si="3"/>
        <v>#NAME?</v>
      </c>
      <c r="N21" t="e">
        <f t="shared" ca="1" si="3"/>
        <v>#NAME?</v>
      </c>
      <c r="O21" t="e">
        <f t="shared" ca="1" si="3"/>
        <v>#NAME?</v>
      </c>
      <c r="P21" t="e">
        <f t="shared" ca="1" si="3"/>
        <v>#NAME?</v>
      </c>
      <c r="R21" t="e">
        <f t="shared" ca="1" si="4"/>
        <v>#NAME?</v>
      </c>
      <c r="S21" t="e">
        <f t="shared" ca="1" si="4"/>
        <v>#NAME?</v>
      </c>
      <c r="T21" t="e">
        <f t="shared" ca="1" si="4"/>
        <v>#NAME?</v>
      </c>
      <c r="U21" t="e">
        <f t="shared" ca="1" si="4"/>
        <v>#NAME?</v>
      </c>
      <c r="V21" t="e">
        <f t="shared" ca="1" si="4"/>
        <v>#NAME?</v>
      </c>
      <c r="W21" t="e">
        <f t="shared" ca="1" si="4"/>
        <v>#NAME?</v>
      </c>
      <c r="X21" t="e">
        <f t="shared" ca="1" si="4"/>
        <v>#NAME?</v>
      </c>
      <c r="Z21" s="15">
        <v>0.5</v>
      </c>
    </row>
    <row r="22" spans="1:26">
      <c r="A22" s="21" t="s">
        <v>52</v>
      </c>
      <c r="B22" s="110" t="s">
        <v>16</v>
      </c>
      <c r="C22" s="25"/>
      <c r="D22" s="25" t="s">
        <v>24</v>
      </c>
      <c r="E22" s="118" t="s">
        <v>36</v>
      </c>
      <c r="F22" s="110" t="s">
        <v>59</v>
      </c>
      <c r="G22" s="25"/>
      <c r="H22" s="25"/>
      <c r="J22" t="e">
        <f t="shared" ca="1" si="3"/>
        <v>#NAME?</v>
      </c>
      <c r="K22" t="e">
        <f t="shared" ca="1" si="3"/>
        <v>#NAME?</v>
      </c>
      <c r="L22" t="e">
        <f t="shared" ca="1" si="3"/>
        <v>#NAME?</v>
      </c>
      <c r="M22" t="e">
        <f t="shared" ca="1" si="3"/>
        <v>#NAME?</v>
      </c>
      <c r="N22" t="e">
        <f t="shared" ca="1" si="3"/>
        <v>#NAME?</v>
      </c>
      <c r="O22" t="e">
        <f t="shared" ca="1" si="3"/>
        <v>#NAME?</v>
      </c>
      <c r="P22" t="e">
        <f t="shared" ca="1" si="3"/>
        <v>#NAME?</v>
      </c>
      <c r="R22" t="e">
        <f t="shared" ca="1" si="4"/>
        <v>#NAME?</v>
      </c>
      <c r="S22" t="e">
        <f t="shared" ca="1" si="4"/>
        <v>#NAME?</v>
      </c>
      <c r="T22" t="e">
        <f t="shared" ca="1" si="4"/>
        <v>#NAME?</v>
      </c>
      <c r="U22" t="e">
        <f t="shared" ca="1" si="4"/>
        <v>#NAME?</v>
      </c>
      <c r="V22" t="e">
        <f t="shared" ca="1" si="4"/>
        <v>#NAME?</v>
      </c>
      <c r="W22" t="e">
        <f t="shared" ca="1" si="4"/>
        <v>#NAME?</v>
      </c>
      <c r="X22" t="e">
        <f t="shared" ca="1" si="4"/>
        <v>#NAME?</v>
      </c>
      <c r="Z22" s="15">
        <v>0.875</v>
      </c>
    </row>
    <row r="23" spans="1:26">
      <c r="A23" s="21" t="s">
        <v>53</v>
      </c>
      <c r="B23" s="127" t="s">
        <v>20</v>
      </c>
      <c r="C23" s="128"/>
      <c r="D23" s="128"/>
      <c r="E23" s="128"/>
      <c r="F23" s="128"/>
      <c r="G23" s="128"/>
      <c r="H23" s="129"/>
      <c r="J23" t="e">
        <f t="shared" ca="1" si="3"/>
        <v>#NAME?</v>
      </c>
      <c r="K23" t="e">
        <f t="shared" ca="1" si="3"/>
        <v>#NAME?</v>
      </c>
      <c r="L23" t="e">
        <f t="shared" ca="1" si="3"/>
        <v>#NAME?</v>
      </c>
      <c r="M23" t="e">
        <f t="shared" ca="1" si="3"/>
        <v>#NAME?</v>
      </c>
      <c r="N23" t="e">
        <f t="shared" ca="1" si="3"/>
        <v>#NAME?</v>
      </c>
      <c r="O23" t="e">
        <f t="shared" ca="1" si="3"/>
        <v>#NAME?</v>
      </c>
      <c r="P23" t="e">
        <f t="shared" ca="1" si="3"/>
        <v>#NAME?</v>
      </c>
      <c r="R23" t="e">
        <f t="shared" ca="1" si="4"/>
        <v>#NAME?</v>
      </c>
      <c r="S23" t="e">
        <f t="shared" ca="1" si="4"/>
        <v>#NAME?</v>
      </c>
      <c r="T23" t="e">
        <f t="shared" ca="1" si="4"/>
        <v>#NAME?</v>
      </c>
      <c r="U23" t="e">
        <f t="shared" ca="1" si="4"/>
        <v>#NAME?</v>
      </c>
      <c r="V23" t="e">
        <f t="shared" ca="1" si="4"/>
        <v>#NAME?</v>
      </c>
      <c r="W23" t="e">
        <f t="shared" ca="1" si="4"/>
        <v>#NAME?</v>
      </c>
      <c r="X23" t="e">
        <f t="shared" ca="1" si="4"/>
        <v>#NAME?</v>
      </c>
      <c r="Z23" s="15">
        <v>0.5</v>
      </c>
    </row>
    <row r="24" spans="1:26">
      <c r="A24" s="21" t="s">
        <v>54</v>
      </c>
      <c r="B24" s="25"/>
      <c r="C24" s="25"/>
      <c r="D24" s="116" t="s">
        <v>45</v>
      </c>
      <c r="E24" s="25"/>
      <c r="F24" s="118" t="s">
        <v>36</v>
      </c>
      <c r="G24" s="25"/>
      <c r="H24" s="110" t="s">
        <v>16</v>
      </c>
      <c r="J24" t="e">
        <f t="shared" ca="1" si="3"/>
        <v>#NAME?</v>
      </c>
      <c r="K24" t="e">
        <f t="shared" ca="1" si="3"/>
        <v>#NAME?</v>
      </c>
      <c r="L24" t="e">
        <f t="shared" ca="1" si="3"/>
        <v>#NAME?</v>
      </c>
      <c r="M24" t="e">
        <f t="shared" ca="1" si="3"/>
        <v>#NAME?</v>
      </c>
      <c r="N24" t="e">
        <f t="shared" ca="1" si="3"/>
        <v>#NAME?</v>
      </c>
      <c r="O24" t="e">
        <f t="shared" ca="1" si="3"/>
        <v>#NAME?</v>
      </c>
      <c r="P24" t="e">
        <f t="shared" ca="1" si="3"/>
        <v>#NAME?</v>
      </c>
      <c r="R24" t="e">
        <f t="shared" ca="1" si="4"/>
        <v>#NAME?</v>
      </c>
      <c r="S24" t="e">
        <f t="shared" ca="1" si="4"/>
        <v>#NAME?</v>
      </c>
      <c r="T24" t="e">
        <f t="shared" ca="1" si="4"/>
        <v>#NAME?</v>
      </c>
      <c r="U24" t="e">
        <f t="shared" ca="1" si="4"/>
        <v>#NAME?</v>
      </c>
      <c r="V24" t="e">
        <f t="shared" ca="1" si="4"/>
        <v>#NAME?</v>
      </c>
      <c r="W24" t="e">
        <f t="shared" ca="1" si="4"/>
        <v>#NAME?</v>
      </c>
      <c r="X24" t="e">
        <f t="shared" ca="1" si="4"/>
        <v>#NAME?</v>
      </c>
      <c r="Z24" s="15">
        <v>0.75</v>
      </c>
    </row>
    <row r="25" spans="1:26">
      <c r="A25" s="21" t="s">
        <v>55</v>
      </c>
      <c r="B25" s="25"/>
      <c r="C25" s="25"/>
      <c r="D25" s="118" t="s">
        <v>31</v>
      </c>
      <c r="E25" s="117" t="s">
        <v>36</v>
      </c>
      <c r="F25" s="25"/>
      <c r="G25" s="25"/>
      <c r="H25" s="25"/>
      <c r="J25" t="e">
        <f t="shared" ca="1" si="3"/>
        <v>#NAME?</v>
      </c>
      <c r="K25" t="e">
        <f t="shared" ca="1" si="3"/>
        <v>#NAME?</v>
      </c>
      <c r="L25" t="e">
        <f t="shared" ca="1" si="3"/>
        <v>#NAME?</v>
      </c>
      <c r="M25" t="e">
        <f t="shared" ca="1" si="3"/>
        <v>#NAME?</v>
      </c>
      <c r="N25" t="e">
        <f t="shared" ca="1" si="3"/>
        <v>#NAME?</v>
      </c>
      <c r="O25" t="e">
        <f t="shared" ca="1" si="3"/>
        <v>#NAME?</v>
      </c>
      <c r="P25" t="e">
        <f t="shared" ca="1" si="3"/>
        <v>#NAME?</v>
      </c>
      <c r="R25" t="e">
        <f t="shared" ca="1" si="4"/>
        <v>#NAME?</v>
      </c>
      <c r="S25" t="e">
        <f t="shared" ca="1" si="4"/>
        <v>#NAME?</v>
      </c>
      <c r="T25" t="e">
        <f t="shared" ca="1" si="4"/>
        <v>#NAME?</v>
      </c>
      <c r="U25" t="e">
        <f t="shared" ca="1" si="4"/>
        <v>#NAME?</v>
      </c>
      <c r="V25" t="e">
        <f t="shared" ca="1" si="4"/>
        <v>#NAME?</v>
      </c>
      <c r="W25" t="e">
        <f t="shared" ca="1" si="4"/>
        <v>#NAME?</v>
      </c>
      <c r="X25" t="e">
        <f t="shared" ca="1" si="4"/>
        <v>#NAME?</v>
      </c>
      <c r="Z25" s="15">
        <v>0.5</v>
      </c>
    </row>
    <row r="26" spans="1:26">
      <c r="A26" s="21" t="s">
        <v>56</v>
      </c>
      <c r="B26" s="127" t="s">
        <v>447</v>
      </c>
      <c r="C26" s="128"/>
      <c r="D26" s="128"/>
      <c r="E26" s="128"/>
      <c r="F26" s="128"/>
      <c r="G26" s="128"/>
      <c r="H26" s="129"/>
      <c r="J26" t="e">
        <f t="shared" ca="1" si="3"/>
        <v>#NAME?</v>
      </c>
      <c r="K26" t="e">
        <f t="shared" ca="1" si="3"/>
        <v>#NAME?</v>
      </c>
      <c r="L26" t="e">
        <f t="shared" ca="1" si="3"/>
        <v>#NAME?</v>
      </c>
      <c r="M26" t="e">
        <f t="shared" ca="1" si="3"/>
        <v>#NAME?</v>
      </c>
      <c r="N26" t="e">
        <f t="shared" ca="1" si="3"/>
        <v>#NAME?</v>
      </c>
      <c r="O26" t="e">
        <f t="shared" ca="1" si="3"/>
        <v>#NAME?</v>
      </c>
      <c r="P26" t="e">
        <f t="shared" ca="1" si="3"/>
        <v>#NAME?</v>
      </c>
      <c r="R26" t="e">
        <f t="shared" ca="1" si="4"/>
        <v>#NAME?</v>
      </c>
      <c r="S26" t="e">
        <f t="shared" ca="1" si="4"/>
        <v>#NAME?</v>
      </c>
      <c r="T26" t="e">
        <f t="shared" ca="1" si="4"/>
        <v>#NAME?</v>
      </c>
      <c r="U26" t="e">
        <f t="shared" ca="1" si="4"/>
        <v>#NAME?</v>
      </c>
      <c r="V26" t="e">
        <f t="shared" ca="1" si="4"/>
        <v>#NAME?</v>
      </c>
      <c r="W26" t="e">
        <f t="shared" ca="1" si="4"/>
        <v>#NAME?</v>
      </c>
      <c r="X26" t="e">
        <f t="shared" ca="1" si="4"/>
        <v>#NAME?</v>
      </c>
      <c r="Z26" s="15">
        <v>0.5</v>
      </c>
    </row>
    <row r="27" spans="1:26">
      <c r="A27" s="21" t="s">
        <v>58</v>
      </c>
      <c r="B27" s="127" t="s">
        <v>18</v>
      </c>
      <c r="C27" s="128"/>
      <c r="D27" s="128"/>
      <c r="E27" s="128"/>
      <c r="F27" s="128"/>
      <c r="G27" s="128"/>
      <c r="H27" s="129"/>
      <c r="J27" t="e">
        <f t="shared" ca="1" si="3"/>
        <v>#NAME?</v>
      </c>
      <c r="K27" t="e">
        <f t="shared" ca="1" si="3"/>
        <v>#NAME?</v>
      </c>
      <c r="L27" t="e">
        <f t="shared" ca="1" si="3"/>
        <v>#NAME?</v>
      </c>
      <c r="M27" t="e">
        <f t="shared" ca="1" si="3"/>
        <v>#NAME?</v>
      </c>
      <c r="N27" t="e">
        <f t="shared" ca="1" si="3"/>
        <v>#NAME?</v>
      </c>
      <c r="O27" t="e">
        <f t="shared" ca="1" si="3"/>
        <v>#NAME?</v>
      </c>
      <c r="P27" t="e">
        <f t="shared" ca="1" si="3"/>
        <v>#NAME?</v>
      </c>
      <c r="R27" t="e">
        <f t="shared" ca="1" si="4"/>
        <v>#NAME?</v>
      </c>
      <c r="S27" t="e">
        <f t="shared" ca="1" si="4"/>
        <v>#NAME?</v>
      </c>
      <c r="T27" t="e">
        <f t="shared" ca="1" si="4"/>
        <v>#NAME?</v>
      </c>
      <c r="U27" t="e">
        <f t="shared" ca="1" si="4"/>
        <v>#NAME?</v>
      </c>
      <c r="V27" t="e">
        <f t="shared" ca="1" si="4"/>
        <v>#NAME?</v>
      </c>
      <c r="W27" t="e">
        <f t="shared" ca="1" si="4"/>
        <v>#NAME?</v>
      </c>
      <c r="X27" t="e">
        <f t="shared" ca="1" si="4"/>
        <v>#NAME?</v>
      </c>
      <c r="Z27" s="15">
        <v>0.75</v>
      </c>
    </row>
    <row r="28" spans="1:26">
      <c r="A28" s="21" t="s">
        <v>60</v>
      </c>
      <c r="B28" s="127" t="s">
        <v>260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3"/>
        <v>#NAME?</v>
      </c>
      <c r="L28" t="e">
        <f t="shared" ca="1" si="3"/>
        <v>#NAME?</v>
      </c>
      <c r="M28" t="e">
        <f t="shared" ca="1" si="3"/>
        <v>#NAME?</v>
      </c>
      <c r="N28" t="e">
        <f t="shared" ca="1" si="3"/>
        <v>#NAME?</v>
      </c>
      <c r="O28" t="e">
        <f t="shared" ca="1" si="3"/>
        <v>#NAME?</v>
      </c>
      <c r="P28" t="e">
        <f t="shared" ca="1" si="3"/>
        <v>#NAME?</v>
      </c>
      <c r="R28" t="e">
        <f t="shared" ca="1" si="4"/>
        <v>#NAME?</v>
      </c>
      <c r="S28" t="e">
        <f t="shared" ca="1" si="4"/>
        <v>#NAME?</v>
      </c>
      <c r="T28" t="e">
        <f t="shared" ca="1" si="4"/>
        <v>#NAME?</v>
      </c>
      <c r="U28" t="e">
        <f t="shared" ca="1" si="4"/>
        <v>#NAME?</v>
      </c>
      <c r="V28" t="e">
        <f t="shared" ca="1" si="4"/>
        <v>#NAME?</v>
      </c>
      <c r="W28" t="e">
        <f t="shared" ca="1" si="4"/>
        <v>#NAME?</v>
      </c>
      <c r="X28" t="e">
        <f t="shared" ca="1" si="4"/>
        <v>#NAME?</v>
      </c>
      <c r="Z28" s="15">
        <v>1</v>
      </c>
    </row>
    <row r="29" spans="1:26">
      <c r="A29" s="21" t="s">
        <v>61</v>
      </c>
      <c r="B29" s="25"/>
      <c r="C29" s="118" t="s">
        <v>36</v>
      </c>
      <c r="D29" s="25"/>
      <c r="E29" s="25"/>
      <c r="F29" s="25"/>
      <c r="G29" s="44" t="s">
        <v>26</v>
      </c>
      <c r="H29" s="28" t="s">
        <v>34</v>
      </c>
      <c r="J29" t="e">
        <f t="shared" ca="1" si="3"/>
        <v>#NAME?</v>
      </c>
      <c r="K29" t="e">
        <f t="shared" ca="1" si="3"/>
        <v>#NAME?</v>
      </c>
      <c r="L29" t="e">
        <f t="shared" ca="1" si="3"/>
        <v>#NAME?</v>
      </c>
      <c r="M29" t="e">
        <f t="shared" ca="1" si="3"/>
        <v>#NAME?</v>
      </c>
      <c r="N29" t="e">
        <f t="shared" ca="1" si="3"/>
        <v>#NAME?</v>
      </c>
      <c r="O29" t="e">
        <f t="shared" ca="1" si="3"/>
        <v>#NAME?</v>
      </c>
      <c r="P29" t="e">
        <f t="shared" ca="1" si="3"/>
        <v>#NAME?</v>
      </c>
      <c r="R29" t="e">
        <f t="shared" ca="1" si="4"/>
        <v>#NAME?</v>
      </c>
      <c r="S29" t="e">
        <f t="shared" ca="1" si="4"/>
        <v>#NAME?</v>
      </c>
      <c r="T29" t="e">
        <f t="shared" ca="1" si="4"/>
        <v>#NAME?</v>
      </c>
      <c r="U29" t="e">
        <f t="shared" ca="1" si="4"/>
        <v>#NAME?</v>
      </c>
      <c r="V29" t="e">
        <f t="shared" ca="1" si="4"/>
        <v>#NAME?</v>
      </c>
      <c r="W29" t="e">
        <f t="shared" ca="1" si="4"/>
        <v>#NAME?</v>
      </c>
      <c r="X29" t="e">
        <f t="shared" ca="1" si="4"/>
        <v>#NAME?</v>
      </c>
      <c r="Z29" s="15">
        <v>1</v>
      </c>
    </row>
    <row r="30" spans="1:26">
      <c r="A30" s="21" t="s">
        <v>62</v>
      </c>
      <c r="B30" s="25"/>
      <c r="C30" s="28" t="s">
        <v>25</v>
      </c>
      <c r="D30" s="117" t="s">
        <v>36</v>
      </c>
      <c r="E30" s="25"/>
      <c r="F30" s="115" t="s">
        <v>287</v>
      </c>
      <c r="G30" s="25"/>
      <c r="H30" s="118" t="s">
        <v>36</v>
      </c>
      <c r="J30" t="e">
        <f t="shared" ca="1" si="3"/>
        <v>#NAME?</v>
      </c>
      <c r="K30" t="e">
        <f t="shared" ca="1" si="3"/>
        <v>#NAME?</v>
      </c>
      <c r="L30" t="e">
        <f t="shared" ca="1" si="3"/>
        <v>#NAME?</v>
      </c>
      <c r="M30" t="e">
        <f t="shared" ca="1" si="3"/>
        <v>#NAME?</v>
      </c>
      <c r="N30" t="e">
        <f t="shared" ca="1" si="3"/>
        <v>#NAME?</v>
      </c>
      <c r="O30" t="e">
        <f t="shared" ca="1" si="3"/>
        <v>#NAME?</v>
      </c>
      <c r="P30" t="e">
        <f t="shared" ca="1" si="3"/>
        <v>#NAME?</v>
      </c>
      <c r="R30" t="e">
        <f t="shared" ca="1" si="4"/>
        <v>#NAME?</v>
      </c>
      <c r="S30" t="e">
        <f t="shared" ca="1" si="4"/>
        <v>#NAME?</v>
      </c>
      <c r="T30" t="e">
        <f t="shared" ca="1" si="4"/>
        <v>#NAME?</v>
      </c>
      <c r="U30" t="e">
        <f t="shared" ca="1" si="4"/>
        <v>#NAME?</v>
      </c>
      <c r="V30" t="e">
        <f t="shared" ca="1" si="4"/>
        <v>#NAME?</v>
      </c>
      <c r="W30" t="e">
        <f t="shared" ca="1" si="4"/>
        <v>#NAME?</v>
      </c>
      <c r="X30" t="e">
        <f t="shared" ca="1" si="4"/>
        <v>#NAME?</v>
      </c>
      <c r="Z30" s="15">
        <v>1</v>
      </c>
    </row>
    <row r="31" spans="1:26">
      <c r="A31" s="21" t="s">
        <v>63</v>
      </c>
      <c r="B31" s="25"/>
      <c r="C31" s="116" t="s">
        <v>45</v>
      </c>
      <c r="D31" s="25"/>
      <c r="E31" s="25" t="s">
        <v>24</v>
      </c>
      <c r="F31" s="28" t="s">
        <v>34</v>
      </c>
      <c r="G31" s="25"/>
      <c r="H31" s="118" t="s">
        <v>31</v>
      </c>
      <c r="J31" t="e">
        <f t="shared" ca="1" si="3"/>
        <v>#NAME?</v>
      </c>
      <c r="K31" t="e">
        <f t="shared" ca="1" si="3"/>
        <v>#NAME?</v>
      </c>
      <c r="L31" t="e">
        <f t="shared" ca="1" si="3"/>
        <v>#NAME?</v>
      </c>
      <c r="M31" t="e">
        <f t="shared" ca="1" si="3"/>
        <v>#NAME?</v>
      </c>
      <c r="N31" t="e">
        <f t="shared" ca="1" si="3"/>
        <v>#NAME?</v>
      </c>
      <c r="O31" t="e">
        <f t="shared" ca="1" si="3"/>
        <v>#NAME?</v>
      </c>
      <c r="P31" t="e">
        <f t="shared" ca="1" si="3"/>
        <v>#NAME?</v>
      </c>
      <c r="R31" t="e">
        <f t="shared" ca="1" si="4"/>
        <v>#NAME?</v>
      </c>
      <c r="S31" t="e">
        <f t="shared" ca="1" si="4"/>
        <v>#NAME?</v>
      </c>
      <c r="T31" t="e">
        <f t="shared" ca="1" si="4"/>
        <v>#NAME?</v>
      </c>
      <c r="U31" t="e">
        <f t="shared" ca="1" si="4"/>
        <v>#NAME?</v>
      </c>
      <c r="V31" t="e">
        <f t="shared" ca="1" si="4"/>
        <v>#NAME?</v>
      </c>
      <c r="W31" t="e">
        <f t="shared" ca="1" si="4"/>
        <v>#NAME?</v>
      </c>
      <c r="X31" t="e">
        <f t="shared" ca="1" si="4"/>
        <v>#NAME?</v>
      </c>
      <c r="Z31" s="15">
        <v>0.5</v>
      </c>
    </row>
    <row r="32" spans="1:26" ht="14.45" customHeight="1">
      <c r="A32" s="21" t="s">
        <v>64</v>
      </c>
      <c r="B32" s="25"/>
      <c r="C32" s="25"/>
      <c r="D32" s="25" t="s">
        <v>24</v>
      </c>
      <c r="E32" s="118" t="s">
        <v>31</v>
      </c>
      <c r="F32" s="25"/>
      <c r="G32" s="110" t="s">
        <v>59</v>
      </c>
      <c r="H32" s="25"/>
      <c r="J32" t="e">
        <f t="shared" ca="1" si="3"/>
        <v>#NAME?</v>
      </c>
      <c r="K32" t="e">
        <f t="shared" ca="1" si="3"/>
        <v>#NAME?</v>
      </c>
      <c r="L32" t="e">
        <f t="shared" ca="1" si="3"/>
        <v>#NAME?</v>
      </c>
      <c r="M32" t="e">
        <f t="shared" ca="1" si="3"/>
        <v>#NAME?</v>
      </c>
      <c r="N32" t="e">
        <f t="shared" ca="1" si="3"/>
        <v>#NAME?</v>
      </c>
      <c r="O32" t="e">
        <f t="shared" ca="1" si="3"/>
        <v>#NAME?</v>
      </c>
      <c r="P32" t="e">
        <f t="shared" ca="1" si="3"/>
        <v>#NAME?</v>
      </c>
      <c r="R32" t="e">
        <f t="shared" ca="1" si="4"/>
        <v>#NAME?</v>
      </c>
      <c r="S32" t="e">
        <f t="shared" ca="1" si="4"/>
        <v>#NAME?</v>
      </c>
      <c r="T32" t="e">
        <f t="shared" ca="1" si="4"/>
        <v>#NAME?</v>
      </c>
      <c r="U32" t="e">
        <f t="shared" ca="1" si="4"/>
        <v>#NAME?</v>
      </c>
      <c r="V32" t="e">
        <f t="shared" ca="1" si="4"/>
        <v>#NAME?</v>
      </c>
      <c r="W32" t="e">
        <f t="shared" ca="1" si="4"/>
        <v>#NAME?</v>
      </c>
      <c r="X32" t="e">
        <f t="shared" ca="1" si="4"/>
        <v>#NAME?</v>
      </c>
      <c r="Z32" s="15">
        <v>0.5</v>
      </c>
    </row>
    <row r="33" spans="1:26" ht="14.45" customHeight="1">
      <c r="A33" s="21" t="s">
        <v>65</v>
      </c>
      <c r="B33" s="118" t="s">
        <v>36</v>
      </c>
      <c r="C33" s="25" t="s">
        <v>24</v>
      </c>
      <c r="D33" s="25"/>
      <c r="E33" s="28" t="s">
        <v>34</v>
      </c>
      <c r="F33" s="116" t="s">
        <v>45</v>
      </c>
      <c r="G33" s="25"/>
      <c r="H33" s="25"/>
      <c r="J33" t="e">
        <f t="shared" ca="1" si="3"/>
        <v>#NAME?</v>
      </c>
      <c r="K33" t="e">
        <f t="shared" ca="1" si="3"/>
        <v>#NAME?</v>
      </c>
      <c r="L33" t="e">
        <f t="shared" ca="1" si="3"/>
        <v>#NAME?</v>
      </c>
      <c r="M33" t="e">
        <f t="shared" ca="1" si="3"/>
        <v>#NAME?</v>
      </c>
      <c r="N33" t="e">
        <f t="shared" ca="1" si="3"/>
        <v>#NAME?</v>
      </c>
      <c r="O33" t="e">
        <f t="shared" ca="1" si="3"/>
        <v>#NAME?</v>
      </c>
      <c r="P33" t="e">
        <f t="shared" ca="1" si="3"/>
        <v>#NAME?</v>
      </c>
      <c r="R33" t="e">
        <f t="shared" ca="1" si="4"/>
        <v>#NAME?</v>
      </c>
      <c r="S33" t="e">
        <f t="shared" ca="1" si="4"/>
        <v>#NAME?</v>
      </c>
      <c r="T33" t="e">
        <f t="shared" ca="1" si="4"/>
        <v>#NAME?</v>
      </c>
      <c r="U33" t="e">
        <f t="shared" ca="1" si="4"/>
        <v>#NAME?</v>
      </c>
      <c r="V33" t="e">
        <f t="shared" ca="1" si="4"/>
        <v>#NAME?</v>
      </c>
      <c r="W33" t="e">
        <f t="shared" ca="1" si="4"/>
        <v>#NAME?</v>
      </c>
      <c r="X33" t="e">
        <f t="shared" ca="1" si="4"/>
        <v>#NAME?</v>
      </c>
      <c r="Z33" s="15">
        <v>1</v>
      </c>
    </row>
    <row r="34" spans="1:26">
      <c r="A34" s="21" t="s">
        <v>66</v>
      </c>
      <c r="B34" s="127" t="s">
        <v>20</v>
      </c>
      <c r="C34" s="128"/>
      <c r="D34" s="128"/>
      <c r="E34" s="128"/>
      <c r="F34" s="128"/>
      <c r="G34" s="128"/>
      <c r="H34" s="129"/>
      <c r="J34" t="e">
        <f t="shared" ca="1" si="3"/>
        <v>#NAME?</v>
      </c>
      <c r="K34" t="e">
        <f t="shared" ca="1" si="3"/>
        <v>#NAME?</v>
      </c>
      <c r="L34" t="e">
        <f t="shared" ca="1" si="3"/>
        <v>#NAME?</v>
      </c>
      <c r="M34" t="e">
        <f t="shared" ca="1" si="3"/>
        <v>#NAME?</v>
      </c>
      <c r="N34" t="e">
        <f t="shared" ca="1" si="3"/>
        <v>#NAME?</v>
      </c>
      <c r="O34" t="e">
        <f t="shared" ca="1" si="3"/>
        <v>#NAME?</v>
      </c>
      <c r="P34" t="e">
        <f t="shared" ca="1" si="3"/>
        <v>#NAME?</v>
      </c>
      <c r="R34" t="e">
        <f t="shared" ca="1" si="4"/>
        <v>#NAME?</v>
      </c>
      <c r="S34" t="e">
        <f t="shared" ca="1" si="4"/>
        <v>#NAME?</v>
      </c>
      <c r="T34" t="e">
        <f t="shared" ca="1" si="4"/>
        <v>#NAME?</v>
      </c>
      <c r="U34" t="e">
        <f t="shared" ca="1" si="4"/>
        <v>#NAME?</v>
      </c>
      <c r="V34" t="e">
        <f t="shared" ca="1" si="4"/>
        <v>#NAME?</v>
      </c>
      <c r="W34" t="e">
        <f t="shared" ca="1" si="4"/>
        <v>#NAME?</v>
      </c>
      <c r="X34" t="e">
        <f t="shared" ca="1" si="4"/>
        <v>#NAME?</v>
      </c>
      <c r="Z34" s="15">
        <v>0.25</v>
      </c>
    </row>
    <row r="35" spans="1:26">
      <c r="A35" s="21" t="s">
        <v>68</v>
      </c>
      <c r="B35" s="25"/>
      <c r="C35" s="110" t="s">
        <v>59</v>
      </c>
      <c r="D35" s="25" t="s">
        <v>24</v>
      </c>
      <c r="E35" s="25"/>
      <c r="F35" s="25"/>
      <c r="G35" s="25"/>
      <c r="H35" s="117" t="s">
        <v>31</v>
      </c>
      <c r="J35" t="e">
        <f t="shared" ca="1" si="3"/>
        <v>#NAME?</v>
      </c>
      <c r="K35" t="e">
        <f t="shared" ca="1" si="3"/>
        <v>#NAME?</v>
      </c>
      <c r="L35" t="e">
        <f t="shared" ca="1" si="3"/>
        <v>#NAME?</v>
      </c>
      <c r="M35" t="e">
        <f t="shared" ca="1" si="3"/>
        <v>#NAME?</v>
      </c>
      <c r="N35" t="e">
        <f t="shared" ca="1" si="3"/>
        <v>#NAME?</v>
      </c>
      <c r="O35" t="e">
        <f t="shared" ca="1" si="3"/>
        <v>#NAME?</v>
      </c>
      <c r="P35" t="e">
        <f t="shared" ca="1" si="3"/>
        <v>#NAME?</v>
      </c>
      <c r="R35" t="e">
        <f t="shared" ca="1" si="4"/>
        <v>#NAME?</v>
      </c>
      <c r="S35" t="e">
        <f t="shared" ca="1" si="4"/>
        <v>#NAME?</v>
      </c>
      <c r="T35" t="e">
        <f t="shared" ca="1" si="4"/>
        <v>#NAME?</v>
      </c>
      <c r="U35" t="e">
        <f t="shared" ca="1" si="4"/>
        <v>#NAME?</v>
      </c>
      <c r="V35" t="e">
        <f t="shared" ca="1" si="4"/>
        <v>#NAME?</v>
      </c>
      <c r="W35" t="e">
        <f t="shared" ca="1" si="4"/>
        <v>#NAME?</v>
      </c>
      <c r="X35" t="e">
        <f t="shared" ca="1" si="4"/>
        <v>#NAME?</v>
      </c>
      <c r="Z35" s="15">
        <v>0.75</v>
      </c>
    </row>
    <row r="36" spans="1:26">
      <c r="A36" s="21" t="s">
        <v>69</v>
      </c>
      <c r="B36" s="25"/>
      <c r="C36" s="25"/>
      <c r="D36" s="25" t="s">
        <v>24</v>
      </c>
      <c r="E36" s="117" t="s">
        <v>31</v>
      </c>
      <c r="F36" s="25"/>
      <c r="G36" s="116" t="s">
        <v>32</v>
      </c>
      <c r="H36" s="117" t="s">
        <v>36</v>
      </c>
      <c r="J36" t="e">
        <f t="shared" ca="1" si="3"/>
        <v>#NAME?</v>
      </c>
      <c r="K36" t="e">
        <f t="shared" ca="1" si="3"/>
        <v>#NAME?</v>
      </c>
      <c r="L36" t="e">
        <f t="shared" ca="1" si="3"/>
        <v>#NAME?</v>
      </c>
      <c r="M36" t="e">
        <f t="shared" ca="1" si="3"/>
        <v>#NAME?</v>
      </c>
      <c r="N36" t="e">
        <f t="shared" ca="1" si="3"/>
        <v>#NAME?</v>
      </c>
      <c r="O36" t="e">
        <f t="shared" ca="1" si="3"/>
        <v>#NAME?</v>
      </c>
      <c r="P36" t="e">
        <f t="shared" ca="1" si="3"/>
        <v>#NAME?</v>
      </c>
      <c r="R36" t="e">
        <f t="shared" ca="1" si="4"/>
        <v>#NAME?</v>
      </c>
      <c r="S36" t="e">
        <f t="shared" ca="1" si="4"/>
        <v>#NAME?</v>
      </c>
      <c r="T36" t="e">
        <f t="shared" ca="1" si="4"/>
        <v>#NAME?</v>
      </c>
      <c r="U36" t="e">
        <f t="shared" ca="1" si="4"/>
        <v>#NAME?</v>
      </c>
      <c r="V36" t="e">
        <f t="shared" ca="1" si="4"/>
        <v>#NAME?</v>
      </c>
      <c r="W36" t="e">
        <f t="shared" ca="1" si="4"/>
        <v>#NAME?</v>
      </c>
      <c r="X36" t="e">
        <f t="shared" ca="1" si="4"/>
        <v>#NAME?</v>
      </c>
      <c r="Z36" s="15">
        <v>1</v>
      </c>
    </row>
    <row r="37" spans="1:26">
      <c r="A37" s="21" t="s">
        <v>70</v>
      </c>
      <c r="B37" s="115" t="s">
        <v>287</v>
      </c>
      <c r="C37" s="25" t="s">
        <v>24</v>
      </c>
      <c r="D37" s="44" t="s">
        <v>26</v>
      </c>
      <c r="E37" s="25"/>
      <c r="F37" s="25"/>
      <c r="G37" s="25"/>
      <c r="H37" s="116" t="s">
        <v>32</v>
      </c>
      <c r="J37" t="e">
        <f t="shared" ca="1" si="3"/>
        <v>#NAME?</v>
      </c>
      <c r="K37" t="e">
        <f t="shared" ca="1" si="3"/>
        <v>#NAME?</v>
      </c>
      <c r="L37" t="e">
        <f t="shared" ca="1" si="3"/>
        <v>#NAME?</v>
      </c>
      <c r="M37" t="e">
        <f t="shared" ca="1" si="3"/>
        <v>#NAME?</v>
      </c>
      <c r="N37" t="e">
        <f t="shared" ca="1" si="3"/>
        <v>#NAME?</v>
      </c>
      <c r="O37" t="e">
        <f t="shared" ca="1" si="3"/>
        <v>#NAME?</v>
      </c>
      <c r="P37" t="e">
        <f t="shared" ca="1" si="3"/>
        <v>#NAME?</v>
      </c>
      <c r="R37" t="e">
        <f t="shared" ca="1" si="4"/>
        <v>#NAME?</v>
      </c>
      <c r="S37" t="e">
        <f t="shared" ca="1" si="4"/>
        <v>#NAME?</v>
      </c>
      <c r="T37" t="e">
        <f t="shared" ca="1" si="4"/>
        <v>#NAME?</v>
      </c>
      <c r="U37" t="e">
        <f t="shared" ca="1" si="4"/>
        <v>#NAME?</v>
      </c>
      <c r="V37" t="e">
        <f t="shared" ca="1" si="4"/>
        <v>#NAME?</v>
      </c>
      <c r="W37" t="e">
        <f t="shared" ca="1" si="4"/>
        <v>#NAME?</v>
      </c>
      <c r="X37" t="e">
        <f t="shared" ca="1" si="4"/>
        <v>#NAME?</v>
      </c>
      <c r="Z37" s="15">
        <v>1</v>
      </c>
    </row>
    <row r="38" spans="1:26">
      <c r="A38" s="21" t="s">
        <v>71</v>
      </c>
      <c r="B38" s="25"/>
      <c r="C38" s="25"/>
      <c r="D38" s="25" t="s">
        <v>24</v>
      </c>
      <c r="E38" s="25"/>
      <c r="F38" s="25"/>
      <c r="G38" s="116" t="s">
        <v>45</v>
      </c>
      <c r="H38" s="118" t="s">
        <v>337</v>
      </c>
      <c r="J38" t="e">
        <f t="shared" ca="1" si="3"/>
        <v>#NAME?</v>
      </c>
      <c r="K38" t="e">
        <f t="shared" ca="1" si="3"/>
        <v>#NAME?</v>
      </c>
      <c r="L38" t="e">
        <f t="shared" ca="1" si="3"/>
        <v>#NAME?</v>
      </c>
      <c r="M38" t="e">
        <f t="shared" ca="1" si="3"/>
        <v>#NAME?</v>
      </c>
      <c r="N38" t="e">
        <f t="shared" ca="1" si="3"/>
        <v>#NAME?</v>
      </c>
      <c r="O38" t="e">
        <f t="shared" ca="1" si="3"/>
        <v>#NAME?</v>
      </c>
      <c r="P38" t="e">
        <f t="shared" ca="1" si="3"/>
        <v>#NAME?</v>
      </c>
      <c r="R38" t="e">
        <f t="shared" ca="1" si="4"/>
        <v>#NAME?</v>
      </c>
      <c r="S38" t="e">
        <f t="shared" ca="1" si="4"/>
        <v>#NAME?</v>
      </c>
      <c r="T38" t="e">
        <f t="shared" ca="1" si="4"/>
        <v>#NAME?</v>
      </c>
      <c r="U38" t="e">
        <f t="shared" ca="1" si="4"/>
        <v>#NAME?</v>
      </c>
      <c r="V38" t="e">
        <f t="shared" ca="1" si="4"/>
        <v>#NAME?</v>
      </c>
      <c r="W38" t="e">
        <f t="shared" ca="1" si="4"/>
        <v>#NAME?</v>
      </c>
      <c r="X38" t="e">
        <f t="shared" ca="1" si="4"/>
        <v>#NAME?</v>
      </c>
      <c r="Z38" s="15">
        <v>0.75</v>
      </c>
    </row>
    <row r="39" spans="1:26">
      <c r="A39" s="21" t="s">
        <v>72</v>
      </c>
      <c r="B39" s="25"/>
      <c r="C39" s="28" t="s">
        <v>34</v>
      </c>
      <c r="D39" s="25" t="s">
        <v>24</v>
      </c>
      <c r="E39" s="110" t="s">
        <v>16</v>
      </c>
      <c r="F39" s="117" t="s">
        <v>36</v>
      </c>
      <c r="G39" s="25"/>
      <c r="H39" s="25"/>
      <c r="J39" t="e">
        <f t="shared" ca="1" si="3"/>
        <v>#NAME?</v>
      </c>
      <c r="K39" t="e">
        <f t="shared" ca="1" si="3"/>
        <v>#NAME?</v>
      </c>
      <c r="L39" t="e">
        <f t="shared" ca="1" si="3"/>
        <v>#NAME?</v>
      </c>
      <c r="M39" t="e">
        <f t="shared" ca="1" si="3"/>
        <v>#NAME?</v>
      </c>
      <c r="N39" t="e">
        <f t="shared" ca="1" si="3"/>
        <v>#NAME?</v>
      </c>
      <c r="O39" t="e">
        <f t="shared" ca="1" si="3"/>
        <v>#NAME?</v>
      </c>
      <c r="P39" t="e">
        <f t="shared" ca="1" si="3"/>
        <v>#NAME?</v>
      </c>
      <c r="R39" t="e">
        <f t="shared" ca="1" si="4"/>
        <v>#NAME?</v>
      </c>
      <c r="S39" t="e">
        <f t="shared" ca="1" si="4"/>
        <v>#NAME?</v>
      </c>
      <c r="T39" t="e">
        <f t="shared" ca="1" si="4"/>
        <v>#NAME?</v>
      </c>
      <c r="U39" t="e">
        <f t="shared" ca="1" si="4"/>
        <v>#NAME?</v>
      </c>
      <c r="V39" t="e">
        <f t="shared" ca="1" si="4"/>
        <v>#NAME?</v>
      </c>
      <c r="W39" t="e">
        <f t="shared" ca="1" si="4"/>
        <v>#NAME?</v>
      </c>
      <c r="X39" t="e">
        <f t="shared" ca="1" si="4"/>
        <v>#NAME?</v>
      </c>
      <c r="Z39" s="15">
        <v>1</v>
      </c>
    </row>
    <row r="40" spans="1:26">
      <c r="A40" s="21" t="s">
        <v>74</v>
      </c>
      <c r="B40" s="127" t="s">
        <v>311</v>
      </c>
      <c r="C40" s="128"/>
      <c r="D40" s="128"/>
      <c r="E40" s="128"/>
      <c r="F40" s="128"/>
      <c r="G40" s="128"/>
      <c r="H40" s="129"/>
      <c r="J40" t="e">
        <f t="shared" ca="1" si="3"/>
        <v>#NAME?</v>
      </c>
      <c r="K40" t="e">
        <f t="shared" ca="1" si="3"/>
        <v>#NAME?</v>
      </c>
      <c r="L40" t="e">
        <f t="shared" ca="1" si="3"/>
        <v>#NAME?</v>
      </c>
      <c r="M40" t="e">
        <f t="shared" ca="1" si="3"/>
        <v>#NAME?</v>
      </c>
      <c r="N40" t="e">
        <f t="shared" ca="1" si="3"/>
        <v>#NAME?</v>
      </c>
      <c r="O40" t="e">
        <f t="shared" ca="1" si="3"/>
        <v>#NAME?</v>
      </c>
      <c r="P40" t="e">
        <f t="shared" ca="1" si="3"/>
        <v>#NAME?</v>
      </c>
      <c r="R40" t="e">
        <f t="shared" ca="1" si="4"/>
        <v>#NAME?</v>
      </c>
      <c r="S40" t="e">
        <f t="shared" ca="1" si="4"/>
        <v>#NAME?</v>
      </c>
      <c r="T40" t="e">
        <f t="shared" ca="1" si="4"/>
        <v>#NAME?</v>
      </c>
      <c r="U40" t="e">
        <f t="shared" ca="1" si="4"/>
        <v>#NAME?</v>
      </c>
      <c r="V40" t="e">
        <f t="shared" ca="1" si="4"/>
        <v>#NAME?</v>
      </c>
      <c r="W40" t="e">
        <f t="shared" ca="1" si="4"/>
        <v>#NAME?</v>
      </c>
      <c r="X40" t="e">
        <f t="shared" ca="1" si="4"/>
        <v>#NAME?</v>
      </c>
      <c r="Z40" s="15">
        <v>0.5</v>
      </c>
    </row>
    <row r="41" spans="1:26" ht="15" customHeight="1">
      <c r="A41" s="21" t="s">
        <v>75</v>
      </c>
      <c r="B41" s="25"/>
      <c r="C41" s="25"/>
      <c r="D41" s="28" t="s">
        <v>25</v>
      </c>
      <c r="E41" s="25"/>
      <c r="F41" s="115" t="s">
        <v>287</v>
      </c>
      <c r="G41" s="25"/>
      <c r="H41" s="25"/>
      <c r="J41" t="e">
        <f t="shared" ca="1" si="3"/>
        <v>#NAME?</v>
      </c>
      <c r="K41" t="e">
        <f t="shared" ca="1" si="3"/>
        <v>#NAME?</v>
      </c>
      <c r="L41" t="e">
        <f t="shared" ca="1" si="3"/>
        <v>#NAME?</v>
      </c>
      <c r="M41" t="e">
        <f t="shared" ca="1" si="3"/>
        <v>#NAME?</v>
      </c>
      <c r="N41" t="e">
        <f t="shared" ca="1" si="3"/>
        <v>#NAME?</v>
      </c>
      <c r="O41" t="e">
        <f t="shared" ca="1" si="3"/>
        <v>#NAME?</v>
      </c>
      <c r="P41" t="e">
        <f t="shared" ca="1" si="3"/>
        <v>#NAME?</v>
      </c>
      <c r="R41" t="e">
        <f t="shared" ca="1" si="4"/>
        <v>#NAME?</v>
      </c>
      <c r="S41" t="e">
        <f t="shared" ca="1" si="4"/>
        <v>#NAME?</v>
      </c>
      <c r="T41" t="e">
        <f t="shared" ca="1" si="4"/>
        <v>#NAME?</v>
      </c>
      <c r="U41" t="e">
        <f t="shared" ca="1" si="4"/>
        <v>#NAME?</v>
      </c>
      <c r="V41" t="e">
        <f t="shared" ca="1" si="4"/>
        <v>#NAME?</v>
      </c>
      <c r="W41" t="e">
        <f t="shared" ca="1" si="4"/>
        <v>#NAME?</v>
      </c>
      <c r="X41" t="e">
        <f t="shared" ca="1" si="4"/>
        <v>#NAME?</v>
      </c>
    </row>
    <row r="42" spans="1:26">
      <c r="A42" s="21" t="s">
        <v>76</v>
      </c>
      <c r="B42" s="28" t="s">
        <v>34</v>
      </c>
      <c r="C42" s="25"/>
      <c r="D42" s="25"/>
      <c r="E42" s="116" t="s">
        <v>45</v>
      </c>
      <c r="F42" s="118" t="s">
        <v>31</v>
      </c>
      <c r="G42" s="25"/>
      <c r="H42" s="25"/>
      <c r="J42" t="e">
        <f t="shared" ca="1" si="3"/>
        <v>#NAME?</v>
      </c>
      <c r="K42" t="e">
        <f t="shared" ca="1" si="3"/>
        <v>#NAME?</v>
      </c>
      <c r="L42" t="e">
        <f t="shared" ca="1" si="3"/>
        <v>#NAME?</v>
      </c>
      <c r="M42" t="e">
        <f t="shared" ca="1" si="3"/>
        <v>#NAME?</v>
      </c>
      <c r="N42" t="e">
        <f t="shared" ca="1" si="3"/>
        <v>#NAME?</v>
      </c>
      <c r="O42" t="e">
        <f t="shared" ca="1" si="3"/>
        <v>#NAME?</v>
      </c>
      <c r="P42" t="e">
        <f t="shared" ca="1" si="3"/>
        <v>#NAME?</v>
      </c>
      <c r="R42" t="e">
        <f t="shared" ca="1" si="4"/>
        <v>#NAME?</v>
      </c>
      <c r="S42" t="e">
        <f t="shared" ca="1" si="4"/>
        <v>#NAME?</v>
      </c>
      <c r="T42" t="e">
        <f t="shared" ca="1" si="4"/>
        <v>#NAME?</v>
      </c>
      <c r="U42" t="e">
        <f t="shared" ca="1" si="4"/>
        <v>#NAME?</v>
      </c>
      <c r="V42" t="e">
        <f t="shared" ca="1" si="4"/>
        <v>#NAME?</v>
      </c>
      <c r="W42" t="e">
        <f t="shared" ca="1" si="4"/>
        <v>#NAME?</v>
      </c>
      <c r="X42" t="e">
        <f t="shared" ca="1" si="4"/>
        <v>#NAME?</v>
      </c>
      <c r="Z42" s="15">
        <v>0.5</v>
      </c>
    </row>
    <row r="43" spans="1:26" ht="15" customHeight="1">
      <c r="A43" s="21" t="s">
        <v>77</v>
      </c>
      <c r="B43" s="25"/>
      <c r="C43" s="25"/>
      <c r="D43" s="25"/>
      <c r="E43" s="25"/>
      <c r="F43" s="25"/>
      <c r="G43" s="25"/>
      <c r="H43" s="25"/>
      <c r="J43" t="e">
        <f t="shared" ref="J43:P43" ca="1" si="5">colorindex(B43)</f>
        <v>#NAME?</v>
      </c>
      <c r="K43" t="e">
        <f t="shared" ca="1" si="5"/>
        <v>#NAME?</v>
      </c>
      <c r="L43" t="e">
        <f t="shared" ca="1" si="5"/>
        <v>#NAME?</v>
      </c>
      <c r="M43" t="e">
        <f t="shared" ca="1" si="5"/>
        <v>#NAME?</v>
      </c>
      <c r="N43" t="e">
        <f t="shared" ca="1" si="5"/>
        <v>#NAME?</v>
      </c>
      <c r="O43" t="e">
        <f t="shared" ca="1" si="5"/>
        <v>#NAME?</v>
      </c>
      <c r="P43" t="e">
        <f t="shared" ca="1" si="5"/>
        <v>#NAME?</v>
      </c>
      <c r="R43" t="e">
        <f t="shared" ref="R43:X43" ca="1" si="6">ShiftIndex(B43)</f>
        <v>#NAME?</v>
      </c>
      <c r="S43" t="e">
        <f t="shared" ca="1" si="6"/>
        <v>#NAME?</v>
      </c>
      <c r="T43" t="e">
        <f t="shared" ca="1" si="6"/>
        <v>#NAME?</v>
      </c>
      <c r="U43" t="e">
        <f t="shared" ca="1" si="6"/>
        <v>#NAME?</v>
      </c>
      <c r="V43" t="e">
        <f t="shared" ca="1" si="6"/>
        <v>#NAME?</v>
      </c>
      <c r="W43" t="e">
        <f t="shared" ca="1" si="6"/>
        <v>#NAME?</v>
      </c>
      <c r="X43" t="e">
        <f t="shared" ca="1" si="6"/>
        <v>#NAME?</v>
      </c>
    </row>
    <row r="44" spans="1:26" ht="14.45" customHeight="1">
      <c r="A44" s="21" t="s">
        <v>79</v>
      </c>
      <c r="B44" s="25" t="s">
        <v>24</v>
      </c>
      <c r="C44" s="117" t="s">
        <v>36</v>
      </c>
      <c r="D44" s="25" t="s">
        <v>24</v>
      </c>
      <c r="E44" s="25"/>
      <c r="F44" s="25"/>
      <c r="G44" s="110" t="s">
        <v>16</v>
      </c>
      <c r="H44" s="25"/>
      <c r="J44" t="e">
        <f t="shared" ref="J44:P50" ca="1" si="7">colorindex(B44)</f>
        <v>#NAME?</v>
      </c>
      <c r="K44" t="e">
        <f t="shared" ca="1" si="7"/>
        <v>#NAME?</v>
      </c>
      <c r="L44" t="e">
        <f t="shared" ca="1" si="7"/>
        <v>#NAME?</v>
      </c>
      <c r="M44" t="e">
        <f t="shared" ca="1" si="7"/>
        <v>#NAME?</v>
      </c>
      <c r="N44" t="e">
        <f t="shared" ca="1" si="7"/>
        <v>#NAME?</v>
      </c>
      <c r="O44" t="e">
        <f t="shared" ca="1" si="7"/>
        <v>#NAME?</v>
      </c>
      <c r="P44" t="e">
        <f t="shared" ca="1" si="7"/>
        <v>#NAME?</v>
      </c>
      <c r="R44" t="e">
        <f t="shared" ref="R44:X50" ca="1" si="8">ShiftIndex(B44)</f>
        <v>#NAME?</v>
      </c>
      <c r="S44" t="e">
        <f t="shared" ca="1" si="8"/>
        <v>#NAME?</v>
      </c>
      <c r="T44" t="e">
        <f t="shared" ca="1" si="8"/>
        <v>#NAME?</v>
      </c>
      <c r="U44" t="e">
        <f t="shared" ca="1" si="8"/>
        <v>#NAME?</v>
      </c>
      <c r="V44" t="e">
        <f t="shared" ca="1" si="8"/>
        <v>#NAME?</v>
      </c>
      <c r="W44" t="e">
        <f t="shared" ca="1" si="8"/>
        <v>#NAME?</v>
      </c>
      <c r="X44" t="e">
        <f t="shared" ca="1" si="8"/>
        <v>#NAME?</v>
      </c>
      <c r="Z44" s="15">
        <v>0.875</v>
      </c>
    </row>
    <row r="45" spans="1:26">
      <c r="A45" s="21" t="s">
        <v>80</v>
      </c>
      <c r="B45" s="25"/>
      <c r="C45" s="25"/>
      <c r="D45" s="110" t="s">
        <v>16</v>
      </c>
      <c r="E45" s="25"/>
      <c r="F45" s="25"/>
      <c r="G45" s="25"/>
      <c r="H45" s="25"/>
      <c r="J45" t="e">
        <f t="shared" ca="1" si="7"/>
        <v>#NAME?</v>
      </c>
      <c r="K45" t="e">
        <f t="shared" ca="1" si="7"/>
        <v>#NAME?</v>
      </c>
      <c r="L45" t="e">
        <f t="shared" ca="1" si="7"/>
        <v>#NAME?</v>
      </c>
      <c r="M45" t="e">
        <f t="shared" ca="1" si="7"/>
        <v>#NAME?</v>
      </c>
      <c r="N45" t="e">
        <f t="shared" ca="1" si="7"/>
        <v>#NAME?</v>
      </c>
      <c r="O45" t="e">
        <f t="shared" ca="1" si="7"/>
        <v>#NAME?</v>
      </c>
      <c r="P45" t="e">
        <f t="shared" ca="1" si="7"/>
        <v>#NAME?</v>
      </c>
      <c r="R45" t="e">
        <f t="shared" ca="1" si="8"/>
        <v>#NAME?</v>
      </c>
      <c r="S45" t="e">
        <f t="shared" ca="1" si="8"/>
        <v>#NAME?</v>
      </c>
      <c r="T45" t="e">
        <f t="shared" ca="1" si="8"/>
        <v>#NAME?</v>
      </c>
      <c r="U45" t="e">
        <f t="shared" ca="1" si="8"/>
        <v>#NAME?</v>
      </c>
      <c r="V45" t="e">
        <f t="shared" ca="1" si="8"/>
        <v>#NAME?</v>
      </c>
      <c r="W45" t="e">
        <f t="shared" ca="1" si="8"/>
        <v>#NAME?</v>
      </c>
      <c r="X45" t="e">
        <f t="shared" ca="1" si="8"/>
        <v>#NAME?</v>
      </c>
      <c r="Z45" s="15">
        <v>0.75</v>
      </c>
    </row>
    <row r="46" spans="1:26">
      <c r="A46" s="21" t="s">
        <v>81</v>
      </c>
      <c r="B46" s="116" t="s">
        <v>45</v>
      </c>
      <c r="C46" s="117" t="s">
        <v>31</v>
      </c>
      <c r="D46" s="25"/>
      <c r="E46" s="28" t="s">
        <v>34</v>
      </c>
      <c r="F46" s="25"/>
      <c r="G46" s="25"/>
      <c r="H46" s="25"/>
      <c r="J46" t="e">
        <f t="shared" ca="1" si="7"/>
        <v>#NAME?</v>
      </c>
      <c r="K46" t="e">
        <f t="shared" ca="1" si="7"/>
        <v>#NAME?</v>
      </c>
      <c r="L46" t="e">
        <f t="shared" ca="1" si="7"/>
        <v>#NAME?</v>
      </c>
      <c r="M46" t="e">
        <f t="shared" ca="1" si="7"/>
        <v>#NAME?</v>
      </c>
      <c r="N46" t="e">
        <f t="shared" ca="1" si="7"/>
        <v>#NAME?</v>
      </c>
      <c r="O46" t="e">
        <f t="shared" ca="1" si="7"/>
        <v>#NAME?</v>
      </c>
      <c r="P46" t="e">
        <f t="shared" ca="1" si="7"/>
        <v>#NAME?</v>
      </c>
      <c r="R46" t="e">
        <f t="shared" ca="1" si="8"/>
        <v>#NAME?</v>
      </c>
      <c r="S46" t="e">
        <f t="shared" ca="1" si="8"/>
        <v>#NAME?</v>
      </c>
      <c r="T46" t="e">
        <f t="shared" ca="1" si="8"/>
        <v>#NAME?</v>
      </c>
      <c r="U46" t="e">
        <f t="shared" ca="1" si="8"/>
        <v>#NAME?</v>
      </c>
      <c r="V46" t="e">
        <f t="shared" ca="1" si="8"/>
        <v>#NAME?</v>
      </c>
      <c r="W46" t="e">
        <f t="shared" ca="1" si="8"/>
        <v>#NAME?</v>
      </c>
      <c r="X46" t="e">
        <f t="shared" ca="1" si="8"/>
        <v>#NAME?</v>
      </c>
      <c r="Z46" s="15">
        <v>0.75</v>
      </c>
    </row>
    <row r="47" spans="1:26">
      <c r="A47" s="21" t="s">
        <v>338</v>
      </c>
      <c r="B47" s="25"/>
      <c r="C47" s="25"/>
      <c r="D47" s="25"/>
      <c r="E47" s="25" t="s">
        <v>24</v>
      </c>
      <c r="F47" s="25"/>
      <c r="G47" s="25"/>
      <c r="H47" s="25"/>
      <c r="J47" t="e">
        <f t="shared" ref="J47:P47" ca="1" si="9">colorindex(B47)</f>
        <v>#NAME?</v>
      </c>
      <c r="K47" t="e">
        <f t="shared" ca="1" si="9"/>
        <v>#NAME?</v>
      </c>
      <c r="L47" t="e">
        <f t="shared" ca="1" si="9"/>
        <v>#NAME?</v>
      </c>
      <c r="M47" t="e">
        <f t="shared" ca="1" si="9"/>
        <v>#NAME?</v>
      </c>
      <c r="N47" t="e">
        <f t="shared" ca="1" si="9"/>
        <v>#NAME?</v>
      </c>
      <c r="O47" t="e">
        <f t="shared" ca="1" si="9"/>
        <v>#NAME?</v>
      </c>
      <c r="P47" t="e">
        <f t="shared" ca="1" si="9"/>
        <v>#NAME?</v>
      </c>
      <c r="R47" t="e">
        <f t="shared" ref="R47:X47" ca="1" si="10">ShiftIndex(B47)</f>
        <v>#NAME?</v>
      </c>
      <c r="S47" t="e">
        <f t="shared" ca="1" si="10"/>
        <v>#NAME?</v>
      </c>
      <c r="T47" t="e">
        <f t="shared" ca="1" si="10"/>
        <v>#NAME?</v>
      </c>
      <c r="U47" t="e">
        <f t="shared" ca="1" si="10"/>
        <v>#NAME?</v>
      </c>
      <c r="V47" t="e">
        <f t="shared" ca="1" si="10"/>
        <v>#NAME?</v>
      </c>
      <c r="W47" t="e">
        <f t="shared" ca="1" si="10"/>
        <v>#NAME?</v>
      </c>
      <c r="X47" t="e">
        <f t="shared" ca="1" si="10"/>
        <v>#NAME?</v>
      </c>
    </row>
    <row r="48" spans="1:26">
      <c r="A48" s="21" t="s">
        <v>82</v>
      </c>
      <c r="B48" s="127" t="s">
        <v>311</v>
      </c>
      <c r="C48" s="128"/>
      <c r="D48" s="128"/>
      <c r="E48" s="128"/>
      <c r="F48" s="128"/>
      <c r="G48" s="128"/>
      <c r="H48" s="129"/>
      <c r="J48" t="e">
        <f t="shared" ca="1" si="7"/>
        <v>#NAME?</v>
      </c>
      <c r="K48" t="e">
        <f t="shared" ca="1" si="7"/>
        <v>#NAME?</v>
      </c>
      <c r="L48" t="e">
        <f t="shared" ca="1" si="7"/>
        <v>#NAME?</v>
      </c>
      <c r="M48" t="e">
        <f t="shared" ca="1" si="7"/>
        <v>#NAME?</v>
      </c>
      <c r="N48" t="e">
        <f t="shared" ca="1" si="7"/>
        <v>#NAME?</v>
      </c>
      <c r="O48" t="e">
        <f t="shared" ca="1" si="7"/>
        <v>#NAME?</v>
      </c>
      <c r="P48" t="e">
        <f t="shared" ca="1" si="7"/>
        <v>#NAME?</v>
      </c>
      <c r="R48" t="e">
        <f t="shared" ca="1" si="8"/>
        <v>#NAME?</v>
      </c>
      <c r="S48" t="e">
        <f t="shared" ca="1" si="8"/>
        <v>#NAME?</v>
      </c>
      <c r="T48" t="e">
        <f t="shared" ca="1" si="8"/>
        <v>#NAME?</v>
      </c>
      <c r="U48" t="e">
        <f t="shared" ca="1" si="8"/>
        <v>#NAME?</v>
      </c>
      <c r="V48" t="e">
        <f t="shared" ca="1" si="8"/>
        <v>#NAME?</v>
      </c>
      <c r="W48" t="e">
        <f t="shared" ca="1" si="8"/>
        <v>#NAME?</v>
      </c>
      <c r="X48" t="e">
        <f t="shared" ca="1" si="8"/>
        <v>#NAME?</v>
      </c>
      <c r="Z48" s="15">
        <v>0.5</v>
      </c>
    </row>
    <row r="49" spans="1:26">
      <c r="A49" s="21" t="s">
        <v>83</v>
      </c>
      <c r="B49" s="118" t="s">
        <v>31</v>
      </c>
      <c r="C49" s="25"/>
      <c r="D49" s="28" t="s">
        <v>34</v>
      </c>
      <c r="E49" s="25"/>
      <c r="F49" s="25"/>
      <c r="G49" s="25"/>
      <c r="H49" s="25"/>
      <c r="J49" t="e">
        <f t="shared" ca="1" si="7"/>
        <v>#NAME?</v>
      </c>
      <c r="K49" t="e">
        <f t="shared" ca="1" si="7"/>
        <v>#NAME?</v>
      </c>
      <c r="L49" t="e">
        <f t="shared" ca="1" si="7"/>
        <v>#NAME?</v>
      </c>
      <c r="M49" t="e">
        <f t="shared" ca="1" si="7"/>
        <v>#NAME?</v>
      </c>
      <c r="N49" t="e">
        <f t="shared" ca="1" si="7"/>
        <v>#NAME?</v>
      </c>
      <c r="O49" t="e">
        <f t="shared" ca="1" si="7"/>
        <v>#NAME?</v>
      </c>
      <c r="P49" t="e">
        <f t="shared" ca="1" si="7"/>
        <v>#NAME?</v>
      </c>
      <c r="R49" t="e">
        <f t="shared" ca="1" si="8"/>
        <v>#NAME?</v>
      </c>
      <c r="S49" t="e">
        <f t="shared" ca="1" si="8"/>
        <v>#NAME?</v>
      </c>
      <c r="T49" t="e">
        <f t="shared" ca="1" si="8"/>
        <v>#NAME?</v>
      </c>
      <c r="U49" t="e">
        <f t="shared" ca="1" si="8"/>
        <v>#NAME?</v>
      </c>
      <c r="V49" t="e">
        <f t="shared" ca="1" si="8"/>
        <v>#NAME?</v>
      </c>
      <c r="W49" t="e">
        <f t="shared" ca="1" si="8"/>
        <v>#NAME?</v>
      </c>
      <c r="X49" t="e">
        <f t="shared" ca="1" si="8"/>
        <v>#NAME?</v>
      </c>
      <c r="Z49" s="15">
        <v>0.625</v>
      </c>
    </row>
    <row r="50" spans="1:26" ht="15" customHeight="1">
      <c r="A50" s="21" t="s">
        <v>85</v>
      </c>
      <c r="B50" s="127" t="s">
        <v>20</v>
      </c>
      <c r="C50" s="128"/>
      <c r="D50" s="128"/>
      <c r="E50" s="128"/>
      <c r="F50" s="128"/>
      <c r="G50" s="128"/>
      <c r="H50" s="129"/>
      <c r="J50" t="e">
        <f t="shared" ca="1" si="7"/>
        <v>#NAME?</v>
      </c>
      <c r="K50" t="e">
        <f t="shared" ca="1" si="7"/>
        <v>#NAME?</v>
      </c>
      <c r="L50" t="e">
        <f t="shared" ca="1" si="7"/>
        <v>#NAME?</v>
      </c>
      <c r="M50" t="e">
        <f t="shared" ca="1" si="7"/>
        <v>#NAME?</v>
      </c>
      <c r="N50" t="e">
        <f t="shared" ca="1" si="7"/>
        <v>#NAME?</v>
      </c>
      <c r="O50" t="e">
        <f t="shared" ca="1" si="7"/>
        <v>#NAME?</v>
      </c>
      <c r="P50" t="e">
        <f t="shared" ca="1" si="7"/>
        <v>#NAME?</v>
      </c>
      <c r="R50" t="e">
        <f t="shared" ca="1" si="8"/>
        <v>#NAME?</v>
      </c>
      <c r="S50" t="e">
        <f t="shared" ca="1" si="8"/>
        <v>#NAME?</v>
      </c>
      <c r="T50" t="e">
        <f t="shared" ca="1" si="8"/>
        <v>#NAME?</v>
      </c>
      <c r="U50" t="e">
        <f t="shared" ca="1" si="8"/>
        <v>#NAME?</v>
      </c>
      <c r="V50" t="e">
        <f t="shared" ca="1" si="8"/>
        <v>#NAME?</v>
      </c>
      <c r="W50" t="e">
        <f t="shared" ca="1" si="8"/>
        <v>#NAME?</v>
      </c>
      <c r="X50" t="e">
        <f t="shared" ca="1" si="8"/>
        <v>#NAME?</v>
      </c>
      <c r="Z50" s="15">
        <v>0.5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3"/>
        <v>#NAME?</v>
      </c>
      <c r="L51" t="e">
        <f t="shared" ca="1" si="3"/>
        <v>#NAME?</v>
      </c>
      <c r="M51" t="e">
        <f t="shared" ca="1" si="3"/>
        <v>#NAME?</v>
      </c>
      <c r="N51" t="e">
        <f t="shared" ca="1" si="3"/>
        <v>#NAME?</v>
      </c>
      <c r="O51" t="e">
        <f t="shared" ca="1" si="3"/>
        <v>#NAME?</v>
      </c>
      <c r="P51" t="e">
        <f t="shared" ca="1" si="3"/>
        <v>#NAME?</v>
      </c>
      <c r="R51" t="e">
        <f t="shared" ca="1" si="4"/>
        <v>#NAME?</v>
      </c>
      <c r="S51" t="e">
        <f t="shared" ca="1" si="4"/>
        <v>#NAME?</v>
      </c>
      <c r="T51" t="e">
        <f t="shared" ca="1" si="4"/>
        <v>#NAME?</v>
      </c>
      <c r="U51" t="e">
        <f t="shared" ca="1" si="4"/>
        <v>#NAME?</v>
      </c>
      <c r="V51" t="e">
        <f t="shared" ca="1" si="4"/>
        <v>#NAME?</v>
      </c>
      <c r="W51" t="e">
        <f t="shared" ca="1" si="4"/>
        <v>#NAME?</v>
      </c>
      <c r="X51" t="e">
        <f t="shared" ca="1" si="4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3"/>
        <v>#NAME?</v>
      </c>
      <c r="L52" t="e">
        <f t="shared" ca="1" si="3"/>
        <v>#NAME?</v>
      </c>
      <c r="M52" t="e">
        <f t="shared" ca="1" si="3"/>
        <v>#NAME?</v>
      </c>
      <c r="N52" t="e">
        <f t="shared" ca="1" si="3"/>
        <v>#NAME?</v>
      </c>
      <c r="O52" t="e">
        <f t="shared" ca="1" si="3"/>
        <v>#NAME?</v>
      </c>
      <c r="P52" t="e">
        <f t="shared" ca="1" si="3"/>
        <v>#NAME?</v>
      </c>
      <c r="R52" t="e">
        <f t="shared" ca="1" si="4"/>
        <v>#NAME?</v>
      </c>
      <c r="S52" t="e">
        <f t="shared" ca="1" si="4"/>
        <v>#NAME?</v>
      </c>
      <c r="T52" t="e">
        <f t="shared" ca="1" si="4"/>
        <v>#NAME?</v>
      </c>
      <c r="U52" t="e">
        <f t="shared" ca="1" si="4"/>
        <v>#NAME?</v>
      </c>
      <c r="V52" t="e">
        <f t="shared" ca="1" si="4"/>
        <v>#NAME?</v>
      </c>
      <c r="W52" t="e">
        <f t="shared" ca="1" si="4"/>
        <v>#NAME?</v>
      </c>
      <c r="X52" t="e">
        <f t="shared" ca="1" si="4"/>
        <v>#NAME?</v>
      </c>
    </row>
    <row r="53" spans="1:26" s="52" customFormat="1">
      <c r="A53" s="50" t="s">
        <v>89</v>
      </c>
      <c r="B53" s="51" t="s">
        <v>448</v>
      </c>
      <c r="C53" s="51" t="s">
        <v>90</v>
      </c>
      <c r="D53" s="51" t="s">
        <v>372</v>
      </c>
      <c r="E53" s="51" t="s">
        <v>449</v>
      </c>
      <c r="F53" s="51" t="s">
        <v>373</v>
      </c>
      <c r="G53" s="51" t="s">
        <v>341</v>
      </c>
      <c r="H53" s="51" t="s">
        <v>316</v>
      </c>
      <c r="J53" t="e">
        <f t="shared" ca="1" si="3"/>
        <v>#NAME?</v>
      </c>
      <c r="K53" t="e">
        <f t="shared" ca="1" si="3"/>
        <v>#NAME?</v>
      </c>
      <c r="L53" t="e">
        <f t="shared" ca="1" si="3"/>
        <v>#NAME?</v>
      </c>
      <c r="M53" t="e">
        <f t="shared" ca="1" si="3"/>
        <v>#NAME?</v>
      </c>
      <c r="N53" t="e">
        <f t="shared" ca="1" si="3"/>
        <v>#NAME?</v>
      </c>
      <c r="O53" t="e">
        <f t="shared" ca="1" si="3"/>
        <v>#NAME?</v>
      </c>
      <c r="P53" t="e">
        <f t="shared" ca="1" si="3"/>
        <v>#NAME?</v>
      </c>
      <c r="Q53"/>
      <c r="R53" t="e">
        <f t="shared" ca="1" si="4"/>
        <v>#NAME?</v>
      </c>
      <c r="S53" t="e">
        <f t="shared" ca="1" si="4"/>
        <v>#NAME?</v>
      </c>
      <c r="T53" t="e">
        <f t="shared" ca="1" si="4"/>
        <v>#NAME?</v>
      </c>
      <c r="U53" t="e">
        <f t="shared" ca="1" si="4"/>
        <v>#NAME?</v>
      </c>
      <c r="V53" t="e">
        <f t="shared" ca="1" si="4"/>
        <v>#NAME?</v>
      </c>
      <c r="W53" t="e">
        <f t="shared" ca="1" si="4"/>
        <v>#NAME?</v>
      </c>
      <c r="X53" t="e">
        <f t="shared" ca="1" si="4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20 Jul</v>
      </c>
      <c r="C54" s="107" t="str">
        <f>C58</f>
        <v>Tues 21 Jul</v>
      </c>
      <c r="D54" s="107" t="str">
        <f t="shared" ref="D54:H54" si="11">D58</f>
        <v>Wed 22 Jul</v>
      </c>
      <c r="E54" s="107" t="str">
        <f t="shared" si="11"/>
        <v>Thu 23 Jul</v>
      </c>
      <c r="F54" s="107" t="str">
        <f t="shared" si="11"/>
        <v>Fri 24 Jul</v>
      </c>
      <c r="G54" s="107" t="str">
        <f t="shared" si="11"/>
        <v>Sat 25 Jul</v>
      </c>
      <c r="H54" s="107" t="str">
        <f t="shared" si="11"/>
        <v>Sun 26 Jul</v>
      </c>
      <c r="J54" t="e">
        <f t="shared" ca="1" si="3"/>
        <v>#NAME?</v>
      </c>
      <c r="K54" t="e">
        <f t="shared" ca="1" si="3"/>
        <v>#NAME?</v>
      </c>
      <c r="L54" t="e">
        <f t="shared" ca="1" si="3"/>
        <v>#NAME?</v>
      </c>
      <c r="M54" t="e">
        <f t="shared" ca="1" si="3"/>
        <v>#NAME?</v>
      </c>
      <c r="N54" t="e">
        <f t="shared" ca="1" si="3"/>
        <v>#NAME?</v>
      </c>
      <c r="O54" t="e">
        <f t="shared" ca="1" si="3"/>
        <v>#NAME?</v>
      </c>
      <c r="P54" t="e">
        <f t="shared" ca="1" si="3"/>
        <v>#NAME?</v>
      </c>
      <c r="R54" t="e">
        <f t="shared" ca="1" si="4"/>
        <v>#NAME?</v>
      </c>
      <c r="S54" t="e">
        <f t="shared" ca="1" si="4"/>
        <v>#NAME?</v>
      </c>
      <c r="T54" t="e">
        <f t="shared" ca="1" si="4"/>
        <v>#NAME?</v>
      </c>
      <c r="U54" t="e">
        <f t="shared" ca="1" si="4"/>
        <v>#NAME?</v>
      </c>
      <c r="V54" t="e">
        <f t="shared" ca="1" si="4"/>
        <v>#NAME?</v>
      </c>
      <c r="W54" t="e">
        <f t="shared" ca="1" si="4"/>
        <v>#NAME?</v>
      </c>
      <c r="X54" t="e">
        <f t="shared" ca="1" si="4"/>
        <v>#NAME?</v>
      </c>
    </row>
    <row r="55" spans="1:26" ht="15" customHeight="1">
      <c r="A55" s="22" t="s">
        <v>107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3"/>
        <v>#NAME?</v>
      </c>
      <c r="L55" t="e">
        <f t="shared" ca="1" si="3"/>
        <v>#NAME?</v>
      </c>
      <c r="M55" t="e">
        <f t="shared" ca="1" si="3"/>
        <v>#NAME?</v>
      </c>
      <c r="N55" t="e">
        <f t="shared" ca="1" si="3"/>
        <v>#NAME?</v>
      </c>
      <c r="O55" t="e">
        <f t="shared" ca="1" si="3"/>
        <v>#NAME?</v>
      </c>
      <c r="P55" t="e">
        <f t="shared" ca="1" si="3"/>
        <v>#NAME?</v>
      </c>
      <c r="R55" t="e">
        <f t="shared" ca="1" si="4"/>
        <v>#NAME?</v>
      </c>
      <c r="S55" t="e">
        <f t="shared" ca="1" si="4"/>
        <v>#NAME?</v>
      </c>
      <c r="T55" t="e">
        <f t="shared" ca="1" si="4"/>
        <v>#NAME?</v>
      </c>
      <c r="U55" t="e">
        <f t="shared" ca="1" si="4"/>
        <v>#NAME?</v>
      </c>
      <c r="V55" t="e">
        <f t="shared" ca="1" si="4"/>
        <v>#NAME?</v>
      </c>
      <c r="W55" t="e">
        <f t="shared" ca="1" si="4"/>
        <v>#NAME?</v>
      </c>
      <c r="X55" t="e">
        <f t="shared" ca="1" si="4"/>
        <v>#NAME?</v>
      </c>
    </row>
    <row r="56" spans="1:26" ht="15" customHeight="1">
      <c r="A56" s="22" t="s">
        <v>109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3"/>
        <v>#NAME?</v>
      </c>
      <c r="L56" t="e">
        <f t="shared" ca="1" si="3"/>
        <v>#NAME?</v>
      </c>
      <c r="M56" t="e">
        <f t="shared" ca="1" si="3"/>
        <v>#NAME?</v>
      </c>
      <c r="N56" t="e">
        <f t="shared" ca="1" si="3"/>
        <v>#NAME?</v>
      </c>
      <c r="O56" t="e">
        <f t="shared" ca="1" si="3"/>
        <v>#NAME?</v>
      </c>
      <c r="P56" t="e">
        <f t="shared" ca="1" si="3"/>
        <v>#NAME?</v>
      </c>
      <c r="R56" t="e">
        <f t="shared" ca="1" si="4"/>
        <v>#NAME?</v>
      </c>
      <c r="S56" t="e">
        <f t="shared" ca="1" si="4"/>
        <v>#NAME?</v>
      </c>
      <c r="T56" t="e">
        <f t="shared" ca="1" si="4"/>
        <v>#NAME?</v>
      </c>
      <c r="U56" t="e">
        <f t="shared" ca="1" si="4"/>
        <v>#NAME?</v>
      </c>
      <c r="V56" t="e">
        <f t="shared" ca="1" si="4"/>
        <v>#NAME?</v>
      </c>
      <c r="W56" t="e">
        <f t="shared" ca="1" si="4"/>
        <v>#NAME?</v>
      </c>
      <c r="X56" t="e">
        <f t="shared" ca="1" si="4"/>
        <v>#NAME?</v>
      </c>
    </row>
    <row r="57" spans="1:26" ht="15" customHeight="1">
      <c r="A57" s="22" t="s">
        <v>429</v>
      </c>
      <c r="B57" s="25"/>
      <c r="C57" s="25"/>
      <c r="D57" s="25"/>
      <c r="E57" s="25"/>
      <c r="F57" s="25"/>
      <c r="G57" s="25"/>
      <c r="H57" s="25"/>
      <c r="J57" t="e">
        <f t="shared" ca="1" si="3"/>
        <v>#NAME?</v>
      </c>
      <c r="K57" t="e">
        <f t="shared" ca="1" si="3"/>
        <v>#NAME?</v>
      </c>
      <c r="L57" t="e">
        <f t="shared" ca="1" si="3"/>
        <v>#NAME?</v>
      </c>
      <c r="M57" t="e">
        <f t="shared" ca="1" si="3"/>
        <v>#NAME?</v>
      </c>
      <c r="N57" t="e">
        <f t="shared" ca="1" si="3"/>
        <v>#NAME?</v>
      </c>
      <c r="O57" t="e">
        <f t="shared" ca="1" si="3"/>
        <v>#NAME?</v>
      </c>
      <c r="P57" t="e">
        <f t="shared" ca="1" si="3"/>
        <v>#NAME?</v>
      </c>
      <c r="R57" t="e">
        <f t="shared" ca="1" si="4"/>
        <v>#NAME?</v>
      </c>
      <c r="S57" t="e">
        <f t="shared" ca="1" si="4"/>
        <v>#NAME?</v>
      </c>
      <c r="T57" t="e">
        <f t="shared" ca="1" si="4"/>
        <v>#NAME?</v>
      </c>
      <c r="U57" t="e">
        <f t="shared" ca="1" si="4"/>
        <v>#NAME?</v>
      </c>
      <c r="V57" t="e">
        <f t="shared" ca="1" si="4"/>
        <v>#NAME?</v>
      </c>
      <c r="W57" t="e">
        <f t="shared" ca="1" si="4"/>
        <v>#NAME?</v>
      </c>
      <c r="X57" t="e">
        <f t="shared" ca="1" si="4"/>
        <v>#NAME?</v>
      </c>
    </row>
    <row r="58" spans="1:26" ht="15" customHeight="1">
      <c r="A58" s="106" t="s">
        <v>113</v>
      </c>
      <c r="B58" s="107" t="s">
        <v>450</v>
      </c>
      <c r="C58" s="107" t="s">
        <v>451</v>
      </c>
      <c r="D58" s="107" t="s">
        <v>452</v>
      </c>
      <c r="E58" s="107" t="s">
        <v>453</v>
      </c>
      <c r="F58" s="107" t="s">
        <v>454</v>
      </c>
      <c r="G58" s="107" t="s">
        <v>455</v>
      </c>
      <c r="H58" s="107" t="s">
        <v>456</v>
      </c>
      <c r="J58" t="e">
        <f t="shared" ca="1" si="3"/>
        <v>#NAME?</v>
      </c>
      <c r="K58" t="e">
        <f t="shared" ca="1" si="3"/>
        <v>#NAME?</v>
      </c>
      <c r="L58" t="e">
        <f t="shared" ca="1" si="3"/>
        <v>#NAME?</v>
      </c>
      <c r="M58" t="e">
        <f t="shared" ca="1" si="3"/>
        <v>#NAME?</v>
      </c>
      <c r="N58" t="e">
        <f t="shared" ca="1" si="3"/>
        <v>#NAME?</v>
      </c>
      <c r="O58" t="e">
        <f t="shared" ca="1" si="3"/>
        <v>#NAME?</v>
      </c>
      <c r="P58" t="e">
        <f t="shared" ca="1" si="3"/>
        <v>#NAME?</v>
      </c>
      <c r="R58" t="e">
        <f t="shared" ca="1" si="4"/>
        <v>#NAME?</v>
      </c>
      <c r="S58" t="e">
        <f t="shared" ca="1" si="4"/>
        <v>#NAME?</v>
      </c>
      <c r="T58" t="e">
        <f t="shared" ca="1" si="4"/>
        <v>#NAME?</v>
      </c>
      <c r="U58" t="e">
        <f t="shared" ca="1" si="4"/>
        <v>#NAME?</v>
      </c>
      <c r="V58" t="e">
        <f t="shared" ca="1" si="4"/>
        <v>#NAME?</v>
      </c>
      <c r="W58" t="e">
        <f t="shared" ca="1" si="4"/>
        <v>#NAME?</v>
      </c>
      <c r="X58" t="e">
        <f t="shared" ca="1" si="4"/>
        <v>#NAME?</v>
      </c>
    </row>
    <row r="59" spans="1:26" ht="15" customHeight="1">
      <c r="A59" s="22" t="s">
        <v>114</v>
      </c>
      <c r="B59" s="113" t="s">
        <v>150</v>
      </c>
      <c r="C59" s="120" t="s">
        <v>118</v>
      </c>
      <c r="D59" s="25"/>
      <c r="E59" s="25"/>
      <c r="F59" s="25"/>
      <c r="G59" s="120" t="s">
        <v>118</v>
      </c>
      <c r="H59" s="28" t="s">
        <v>119</v>
      </c>
      <c r="J59" t="e">
        <f t="shared" ca="1" si="3"/>
        <v>#NAME?</v>
      </c>
      <c r="K59" t="e">
        <f t="shared" ca="1" si="3"/>
        <v>#NAME?</v>
      </c>
      <c r="L59" t="e">
        <f t="shared" ca="1" si="3"/>
        <v>#NAME?</v>
      </c>
      <c r="M59" t="e">
        <f t="shared" ca="1" si="3"/>
        <v>#NAME?</v>
      </c>
      <c r="N59" t="e">
        <f t="shared" ca="1" si="3"/>
        <v>#NAME?</v>
      </c>
      <c r="O59" t="e">
        <f t="shared" ca="1" si="3"/>
        <v>#NAME?</v>
      </c>
      <c r="P59" t="e">
        <f t="shared" ca="1" si="3"/>
        <v>#NAME?</v>
      </c>
      <c r="R59" t="e">
        <f t="shared" ca="1" si="4"/>
        <v>#NAME?</v>
      </c>
      <c r="S59" t="e">
        <f t="shared" ca="1" si="4"/>
        <v>#NAME?</v>
      </c>
      <c r="T59" t="e">
        <f t="shared" ca="1" si="4"/>
        <v>#NAME?</v>
      </c>
      <c r="U59" t="e">
        <f t="shared" ca="1" si="4"/>
        <v>#NAME?</v>
      </c>
      <c r="V59" t="e">
        <f t="shared" ca="1" si="4"/>
        <v>#NAME?</v>
      </c>
      <c r="W59" t="e">
        <f t="shared" ca="1" si="4"/>
        <v>#NAME?</v>
      </c>
      <c r="X59" t="e">
        <f t="shared" ca="1" si="4"/>
        <v>#NAME?</v>
      </c>
      <c r="Z59" s="15">
        <v>1</v>
      </c>
    </row>
    <row r="60" spans="1:26" ht="15" customHeight="1">
      <c r="A60" s="22" t="s">
        <v>117</v>
      </c>
      <c r="B60" s="25"/>
      <c r="C60" s="25"/>
      <c r="D60" s="120" t="s">
        <v>118</v>
      </c>
      <c r="E60" s="121" t="s">
        <v>116</v>
      </c>
      <c r="F60" s="25"/>
      <c r="G60" s="28" t="s">
        <v>119</v>
      </c>
      <c r="H60" s="121" t="s">
        <v>118</v>
      </c>
      <c r="J60" t="e">
        <f t="shared" ca="1" si="3"/>
        <v>#NAME?</v>
      </c>
      <c r="K60" t="e">
        <f t="shared" ca="1" si="3"/>
        <v>#NAME?</v>
      </c>
      <c r="L60" t="e">
        <f t="shared" ca="1" si="3"/>
        <v>#NAME?</v>
      </c>
      <c r="M60" t="e">
        <f t="shared" ca="1" si="3"/>
        <v>#NAME?</v>
      </c>
      <c r="N60" t="e">
        <f t="shared" ca="1" si="3"/>
        <v>#NAME?</v>
      </c>
      <c r="O60" t="e">
        <f t="shared" ca="1" si="3"/>
        <v>#NAME?</v>
      </c>
      <c r="P60" t="e">
        <f t="shared" ca="1" si="3"/>
        <v>#NAME?</v>
      </c>
      <c r="R60" t="e">
        <f t="shared" ca="1" si="4"/>
        <v>#NAME?</v>
      </c>
      <c r="S60" t="e">
        <f t="shared" ca="1" si="4"/>
        <v>#NAME?</v>
      </c>
      <c r="T60" t="e">
        <f t="shared" ca="1" si="4"/>
        <v>#NAME?</v>
      </c>
      <c r="U60" t="e">
        <f t="shared" ca="1" si="4"/>
        <v>#NAME?</v>
      </c>
      <c r="V60" t="e">
        <f t="shared" ca="1" si="4"/>
        <v>#NAME?</v>
      </c>
      <c r="W60" t="e">
        <f t="shared" ca="1" si="4"/>
        <v>#NAME?</v>
      </c>
      <c r="X60" t="e">
        <f t="shared" ca="1" si="4"/>
        <v>#NAME?</v>
      </c>
      <c r="Z60" s="15">
        <v>1</v>
      </c>
    </row>
    <row r="61" spans="1:26" ht="15" customHeight="1">
      <c r="A61" s="22" t="s">
        <v>120</v>
      </c>
      <c r="B61" s="25" t="s">
        <v>123</v>
      </c>
      <c r="C61" s="25" t="s">
        <v>123</v>
      </c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3"/>
        <v>#NAME?</v>
      </c>
      <c r="L61" t="e">
        <f t="shared" ca="1" si="3"/>
        <v>#NAME?</v>
      </c>
      <c r="M61" t="e">
        <f t="shared" ca="1" si="3"/>
        <v>#NAME?</v>
      </c>
      <c r="N61" t="e">
        <f t="shared" ca="1" si="3"/>
        <v>#NAME?</v>
      </c>
      <c r="O61" t="e">
        <f t="shared" ca="1" si="3"/>
        <v>#NAME?</v>
      </c>
      <c r="P61" t="e">
        <f t="shared" ca="1" si="3"/>
        <v>#NAME?</v>
      </c>
      <c r="R61" t="e">
        <f t="shared" ca="1" si="4"/>
        <v>#NAME?</v>
      </c>
      <c r="S61" t="e">
        <f t="shared" ca="1" si="4"/>
        <v>#NAME?</v>
      </c>
      <c r="T61" t="e">
        <f t="shared" ca="1" si="4"/>
        <v>#NAME?</v>
      </c>
      <c r="U61" t="e">
        <f t="shared" ca="1" si="4"/>
        <v>#NAME?</v>
      </c>
      <c r="V61" t="e">
        <f t="shared" ca="1" si="4"/>
        <v>#NAME?</v>
      </c>
      <c r="W61" t="e">
        <f t="shared" ca="1" si="4"/>
        <v>#NAME?</v>
      </c>
      <c r="X61" t="e">
        <f t="shared" ca="1" si="4"/>
        <v>#NAME?</v>
      </c>
      <c r="Z61" s="15">
        <v>0.25</v>
      </c>
    </row>
    <row r="62" spans="1:26" ht="15" customHeight="1">
      <c r="A62" s="22" t="s">
        <v>121</v>
      </c>
      <c r="B62" s="121" t="s">
        <v>122</v>
      </c>
      <c r="C62" s="28" t="s">
        <v>351</v>
      </c>
      <c r="D62" s="25"/>
      <c r="E62" s="25"/>
      <c r="F62" s="25"/>
      <c r="G62" s="25"/>
      <c r="H62" s="25"/>
      <c r="J62" t="e">
        <f t="shared" ca="1" si="3"/>
        <v>#NAME?</v>
      </c>
      <c r="K62" t="e">
        <f t="shared" ca="1" si="3"/>
        <v>#NAME?</v>
      </c>
      <c r="L62" t="e">
        <f t="shared" ca="1" si="3"/>
        <v>#NAME?</v>
      </c>
      <c r="M62" t="e">
        <f t="shared" ref="M62:P72" ca="1" si="12">colorindex(E62)</f>
        <v>#NAME?</v>
      </c>
      <c r="N62" t="e">
        <f t="shared" ca="1" si="12"/>
        <v>#NAME?</v>
      </c>
      <c r="O62" t="e">
        <f t="shared" ca="1" si="12"/>
        <v>#NAME?</v>
      </c>
      <c r="P62" t="e">
        <f t="shared" ca="1" si="12"/>
        <v>#NAME?</v>
      </c>
      <c r="R62" t="e">
        <f t="shared" ca="1" si="4"/>
        <v>#NAME?</v>
      </c>
      <c r="S62" t="e">
        <f t="shared" ca="1" si="4"/>
        <v>#NAME?</v>
      </c>
      <c r="T62" t="e">
        <f t="shared" ca="1" si="4"/>
        <v>#NAME?</v>
      </c>
      <c r="U62" t="e">
        <f t="shared" ref="U62:X72" ca="1" si="13">ShiftIndex(E62)</f>
        <v>#NAME?</v>
      </c>
      <c r="V62" t="e">
        <f t="shared" ca="1" si="13"/>
        <v>#NAME?</v>
      </c>
      <c r="W62" t="e">
        <f t="shared" ca="1" si="13"/>
        <v>#NAME?</v>
      </c>
      <c r="X62" t="e">
        <f t="shared" ca="1" si="13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20 Jul</v>
      </c>
      <c r="C63" s="107" t="str">
        <f t="shared" ref="C63:H63" si="14">C58</f>
        <v>Tues 21 Jul</v>
      </c>
      <c r="D63" s="107" t="str">
        <f t="shared" si="14"/>
        <v>Wed 22 Jul</v>
      </c>
      <c r="E63" s="107" t="str">
        <f t="shared" si="14"/>
        <v>Thu 23 Jul</v>
      </c>
      <c r="F63" s="107" t="str">
        <f t="shared" si="14"/>
        <v>Fri 24 Jul</v>
      </c>
      <c r="G63" s="107" t="str">
        <f t="shared" si="14"/>
        <v>Sat 25 Jul</v>
      </c>
      <c r="H63" s="107" t="str">
        <f t="shared" si="14"/>
        <v>Sun 26 Jul</v>
      </c>
      <c r="J63" t="e">
        <f t="shared" ref="J63:P101" ca="1" si="15">colorindex(B63)</f>
        <v>#NAME?</v>
      </c>
      <c r="K63" t="e">
        <f t="shared" ca="1" si="15"/>
        <v>#NAME?</v>
      </c>
      <c r="L63" t="e">
        <f t="shared" ca="1" si="15"/>
        <v>#NAME?</v>
      </c>
      <c r="M63" t="e">
        <f t="shared" ca="1" si="12"/>
        <v>#NAME?</v>
      </c>
      <c r="N63" t="e">
        <f t="shared" ca="1" si="12"/>
        <v>#NAME?</v>
      </c>
      <c r="O63" t="e">
        <f t="shared" ca="1" si="12"/>
        <v>#NAME?</v>
      </c>
      <c r="P63" t="e">
        <f t="shared" ca="1" si="12"/>
        <v>#NAME?</v>
      </c>
      <c r="R63" t="e">
        <f t="shared" ref="R63:X101" ca="1" si="16">ShiftIndex(B63)</f>
        <v>#NAME?</v>
      </c>
      <c r="S63" t="e">
        <f t="shared" ca="1" si="16"/>
        <v>#NAME?</v>
      </c>
      <c r="T63" t="e">
        <f t="shared" ca="1" si="16"/>
        <v>#NAME?</v>
      </c>
      <c r="U63" t="e">
        <f t="shared" ca="1" si="13"/>
        <v>#NAME?</v>
      </c>
      <c r="V63" t="e">
        <f t="shared" ca="1" si="13"/>
        <v>#NAME?</v>
      </c>
      <c r="W63" t="e">
        <f t="shared" ca="1" si="13"/>
        <v>#NAME?</v>
      </c>
      <c r="X63" t="e">
        <f t="shared" ca="1" si="13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0" t="s">
        <v>118</v>
      </c>
      <c r="F64" s="25"/>
      <c r="G64" s="28" t="s">
        <v>119</v>
      </c>
      <c r="H64" s="120" t="s">
        <v>118</v>
      </c>
      <c r="J64" t="e">
        <f t="shared" ca="1" si="15"/>
        <v>#NAME?</v>
      </c>
      <c r="K64" t="e">
        <f t="shared" ca="1" si="15"/>
        <v>#NAME?</v>
      </c>
      <c r="L64" t="e">
        <f t="shared" ca="1" si="15"/>
        <v>#NAME?</v>
      </c>
      <c r="M64" t="e">
        <f t="shared" ca="1" si="12"/>
        <v>#NAME?</v>
      </c>
      <c r="N64" t="e">
        <f t="shared" ca="1" si="12"/>
        <v>#NAME?</v>
      </c>
      <c r="O64" t="e">
        <f t="shared" ca="1" si="12"/>
        <v>#NAME?</v>
      </c>
      <c r="P64" t="e">
        <f t="shared" ca="1" si="12"/>
        <v>#NAME?</v>
      </c>
      <c r="R64" t="e">
        <f t="shared" ca="1" si="16"/>
        <v>#NAME?</v>
      </c>
      <c r="S64" t="e">
        <f t="shared" ca="1" si="16"/>
        <v>#NAME?</v>
      </c>
      <c r="T64" t="e">
        <f t="shared" ca="1" si="16"/>
        <v>#NAME?</v>
      </c>
      <c r="U64" t="e">
        <f t="shared" ca="1" si="13"/>
        <v>#NAME?</v>
      </c>
      <c r="V64" t="e">
        <f t="shared" ca="1" si="13"/>
        <v>#NAME?</v>
      </c>
      <c r="W64" t="e">
        <f t="shared" ca="1" si="13"/>
        <v>#NAME?</v>
      </c>
      <c r="X64" t="e">
        <f t="shared" ca="1" si="13"/>
        <v>#NAME?</v>
      </c>
      <c r="Z64" s="15">
        <v>1</v>
      </c>
    </row>
    <row r="65" spans="1:26" ht="15" customHeight="1">
      <c r="A65" s="22" t="s">
        <v>128</v>
      </c>
      <c r="B65" s="25"/>
      <c r="C65" s="121" t="s">
        <v>118</v>
      </c>
      <c r="D65" s="25"/>
      <c r="E65" s="25"/>
      <c r="F65" s="25"/>
      <c r="G65" s="25"/>
      <c r="H65" s="25"/>
      <c r="J65" t="e">
        <f t="shared" ca="1" si="15"/>
        <v>#NAME?</v>
      </c>
      <c r="K65" t="e">
        <f t="shared" ca="1" si="15"/>
        <v>#NAME?</v>
      </c>
      <c r="L65" t="e">
        <f t="shared" ca="1" si="15"/>
        <v>#NAME?</v>
      </c>
      <c r="M65" t="e">
        <f t="shared" ca="1" si="12"/>
        <v>#NAME?</v>
      </c>
      <c r="N65" t="e">
        <f t="shared" ca="1" si="12"/>
        <v>#NAME?</v>
      </c>
      <c r="O65" t="e">
        <f t="shared" ca="1" si="12"/>
        <v>#NAME?</v>
      </c>
      <c r="P65" t="e">
        <f t="shared" ca="1" si="12"/>
        <v>#NAME?</v>
      </c>
      <c r="R65" t="e">
        <f t="shared" ca="1" si="16"/>
        <v>#NAME?</v>
      </c>
      <c r="S65" t="e">
        <f t="shared" ca="1" si="16"/>
        <v>#NAME?</v>
      </c>
      <c r="T65" t="e">
        <f t="shared" ca="1" si="16"/>
        <v>#NAME?</v>
      </c>
      <c r="U65" t="e">
        <f t="shared" ca="1" si="13"/>
        <v>#NAME?</v>
      </c>
      <c r="V65" t="e">
        <f t="shared" ca="1" si="13"/>
        <v>#NAME?</v>
      </c>
      <c r="W65" t="e">
        <f t="shared" ca="1" si="13"/>
        <v>#NAME?</v>
      </c>
      <c r="X65" t="e">
        <f t="shared" ca="1" si="13"/>
        <v>#NAME?</v>
      </c>
      <c r="Z65" s="15">
        <v>0.25</v>
      </c>
    </row>
    <row r="66" spans="1:26" ht="15" customHeight="1">
      <c r="A66" s="22" t="s">
        <v>129</v>
      </c>
      <c r="B66" s="120" t="s">
        <v>118</v>
      </c>
      <c r="C66" s="25"/>
      <c r="D66" s="121" t="s">
        <v>118</v>
      </c>
      <c r="E66" s="25"/>
      <c r="F66" s="25"/>
      <c r="G66" s="25"/>
      <c r="H66" s="25"/>
      <c r="J66" t="e">
        <f t="shared" ca="1" si="15"/>
        <v>#NAME?</v>
      </c>
      <c r="K66" t="e">
        <f t="shared" ca="1" si="15"/>
        <v>#NAME?</v>
      </c>
      <c r="L66" t="e">
        <f t="shared" ca="1" si="15"/>
        <v>#NAME?</v>
      </c>
      <c r="M66" t="e">
        <f t="shared" ca="1" si="12"/>
        <v>#NAME?</v>
      </c>
      <c r="N66" t="e">
        <f t="shared" ca="1" si="12"/>
        <v>#NAME?</v>
      </c>
      <c r="O66" t="e">
        <f t="shared" ca="1" si="12"/>
        <v>#NAME?</v>
      </c>
      <c r="P66" t="e">
        <f t="shared" ca="1" si="12"/>
        <v>#NAME?</v>
      </c>
      <c r="R66" t="e">
        <f t="shared" ca="1" si="16"/>
        <v>#NAME?</v>
      </c>
      <c r="S66" t="e">
        <f t="shared" ca="1" si="16"/>
        <v>#NAME?</v>
      </c>
      <c r="T66" t="e">
        <f t="shared" ca="1" si="16"/>
        <v>#NAME?</v>
      </c>
      <c r="U66" t="e">
        <f t="shared" ca="1" si="13"/>
        <v>#NAME?</v>
      </c>
      <c r="V66" t="e">
        <f t="shared" ca="1" si="13"/>
        <v>#NAME?</v>
      </c>
      <c r="W66" t="e">
        <f t="shared" ca="1" si="13"/>
        <v>#NAME?</v>
      </c>
      <c r="X66" t="e">
        <f t="shared" ca="1" si="13"/>
        <v>#NAME?</v>
      </c>
      <c r="Z66" s="15">
        <v>0.5</v>
      </c>
    </row>
    <row r="67" spans="1:26" ht="26.25">
      <c r="A67" s="106" t="s">
        <v>130</v>
      </c>
      <c r="B67" s="108" t="str">
        <f>B58</f>
        <v>Mon 20 Jul</v>
      </c>
      <c r="C67" s="107" t="str">
        <f t="shared" ref="C67:H67" si="17">C58</f>
        <v>Tues 21 Jul</v>
      </c>
      <c r="D67" s="108" t="s">
        <v>457</v>
      </c>
      <c r="E67" s="107" t="str">
        <f t="shared" si="17"/>
        <v>Thu 23 Jul</v>
      </c>
      <c r="F67" s="107" t="str">
        <f t="shared" si="17"/>
        <v>Fri 24 Jul</v>
      </c>
      <c r="G67" s="107" t="str">
        <f t="shared" si="17"/>
        <v>Sat 25 Jul</v>
      </c>
      <c r="H67" s="107" t="str">
        <f t="shared" si="17"/>
        <v>Sun 26 Jul</v>
      </c>
      <c r="J67" t="e">
        <f t="shared" ca="1" si="15"/>
        <v>#NAME?</v>
      </c>
      <c r="K67" t="e">
        <f t="shared" ca="1" si="15"/>
        <v>#NAME?</v>
      </c>
      <c r="L67" t="e">
        <f t="shared" ca="1" si="15"/>
        <v>#NAME?</v>
      </c>
      <c r="M67" t="e">
        <f t="shared" ca="1" si="12"/>
        <v>#NAME?</v>
      </c>
      <c r="N67" t="e">
        <f t="shared" ca="1" si="12"/>
        <v>#NAME?</v>
      </c>
      <c r="O67" t="e">
        <f t="shared" ca="1" si="12"/>
        <v>#NAME?</v>
      </c>
      <c r="P67" t="e">
        <f t="shared" ca="1" si="12"/>
        <v>#NAME?</v>
      </c>
      <c r="R67" t="e">
        <f t="shared" ca="1" si="16"/>
        <v>#NAME?</v>
      </c>
      <c r="S67" t="e">
        <f t="shared" ca="1" si="16"/>
        <v>#NAME?</v>
      </c>
      <c r="T67" t="e">
        <f t="shared" ca="1" si="16"/>
        <v>#NAME?</v>
      </c>
      <c r="U67" t="e">
        <f t="shared" ca="1" si="13"/>
        <v>#NAME?</v>
      </c>
      <c r="V67" t="e">
        <f t="shared" ca="1" si="13"/>
        <v>#NAME?</v>
      </c>
      <c r="W67" t="e">
        <f t="shared" ca="1" si="13"/>
        <v>#NAME?</v>
      </c>
      <c r="X67" t="e">
        <f t="shared" ca="1" si="13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 t="s">
        <v>152</v>
      </c>
      <c r="D68" s="25" t="s">
        <v>123</v>
      </c>
      <c r="E68" s="25" t="s">
        <v>123</v>
      </c>
      <c r="F68" s="25"/>
      <c r="G68" s="25"/>
      <c r="H68" s="25"/>
      <c r="J68" t="e">
        <f t="shared" ca="1" si="15"/>
        <v>#NAME?</v>
      </c>
      <c r="K68" t="e">
        <f t="shared" ca="1" si="15"/>
        <v>#NAME?</v>
      </c>
      <c r="L68" t="e">
        <f t="shared" ca="1" si="15"/>
        <v>#NAME?</v>
      </c>
      <c r="M68" t="e">
        <f t="shared" ca="1" si="12"/>
        <v>#NAME?</v>
      </c>
      <c r="N68" t="e">
        <f t="shared" ca="1" si="12"/>
        <v>#NAME?</v>
      </c>
      <c r="O68" t="e">
        <f t="shared" ca="1" si="12"/>
        <v>#NAME?</v>
      </c>
      <c r="P68" t="e">
        <f t="shared" ca="1" si="12"/>
        <v>#NAME?</v>
      </c>
      <c r="R68" t="e">
        <f t="shared" ca="1" si="16"/>
        <v>#NAME?</v>
      </c>
      <c r="S68" t="e">
        <f t="shared" ca="1" si="16"/>
        <v>#NAME?</v>
      </c>
      <c r="T68" t="e">
        <f t="shared" ca="1" si="16"/>
        <v>#NAME?</v>
      </c>
      <c r="U68" t="e">
        <f t="shared" ca="1" si="13"/>
        <v>#NAME?</v>
      </c>
      <c r="V68" t="e">
        <f t="shared" ca="1" si="13"/>
        <v>#NAME?</v>
      </c>
      <c r="W68" t="e">
        <f t="shared" ca="1" si="13"/>
        <v>#NAME?</v>
      </c>
      <c r="X68" t="e">
        <f t="shared" ca="1" si="13"/>
        <v>#NAME?</v>
      </c>
      <c r="Z68" s="15">
        <v>0.5</v>
      </c>
    </row>
    <row r="69" spans="1:26" ht="14.45" customHeight="1">
      <c r="A69" s="22" t="s">
        <v>135</v>
      </c>
      <c r="B69" s="25"/>
      <c r="C69" s="25"/>
      <c r="D69" s="25" t="s">
        <v>141</v>
      </c>
      <c r="E69" s="25"/>
      <c r="F69" s="25"/>
      <c r="G69" s="25"/>
      <c r="H69" s="25"/>
      <c r="J69" t="e">
        <f t="shared" ca="1" si="15"/>
        <v>#NAME?</v>
      </c>
      <c r="K69" t="e">
        <f t="shared" ca="1" si="15"/>
        <v>#NAME?</v>
      </c>
      <c r="L69" t="e">
        <f t="shared" ca="1" si="15"/>
        <v>#NAME?</v>
      </c>
      <c r="M69" t="e">
        <f t="shared" ca="1" si="12"/>
        <v>#NAME?</v>
      </c>
      <c r="N69" t="e">
        <f t="shared" ca="1" si="12"/>
        <v>#NAME?</v>
      </c>
      <c r="O69" t="e">
        <f t="shared" ca="1" si="12"/>
        <v>#NAME?</v>
      </c>
      <c r="P69" t="e">
        <f t="shared" ca="1" si="12"/>
        <v>#NAME?</v>
      </c>
      <c r="R69" t="e">
        <f t="shared" ca="1" si="16"/>
        <v>#NAME?</v>
      </c>
      <c r="S69" t="e">
        <f t="shared" ca="1" si="16"/>
        <v>#NAME?</v>
      </c>
      <c r="T69" t="e">
        <f t="shared" ca="1" si="16"/>
        <v>#NAME?</v>
      </c>
      <c r="U69" t="e">
        <f t="shared" ca="1" si="13"/>
        <v>#NAME?</v>
      </c>
      <c r="V69" t="e">
        <f t="shared" ca="1" si="13"/>
        <v>#NAME?</v>
      </c>
      <c r="W69" t="e">
        <f t="shared" ca="1" si="13"/>
        <v>#NAME?</v>
      </c>
      <c r="X69" t="e">
        <f t="shared" ca="1" si="13"/>
        <v>#NAME?</v>
      </c>
      <c r="Z69" s="15">
        <v>0.5</v>
      </c>
    </row>
    <row r="70" spans="1:26" ht="15" customHeight="1">
      <c r="A70" s="22" t="s">
        <v>136</v>
      </c>
      <c r="B70" s="25" t="s">
        <v>152</v>
      </c>
      <c r="C70" s="25"/>
      <c r="D70" s="25" t="s">
        <v>141</v>
      </c>
      <c r="E70" s="120" t="s">
        <v>116</v>
      </c>
      <c r="F70" s="25"/>
      <c r="G70" s="28" t="s">
        <v>115</v>
      </c>
      <c r="H70" s="121" t="s">
        <v>116</v>
      </c>
      <c r="J70" t="e">
        <f t="shared" ca="1" si="15"/>
        <v>#NAME?</v>
      </c>
      <c r="K70" t="e">
        <f t="shared" ca="1" si="15"/>
        <v>#NAME?</v>
      </c>
      <c r="L70" t="e">
        <f t="shared" ca="1" si="15"/>
        <v>#NAME?</v>
      </c>
      <c r="M70" t="e">
        <f t="shared" ca="1" si="12"/>
        <v>#NAME?</v>
      </c>
      <c r="N70" t="e">
        <f t="shared" ca="1" si="12"/>
        <v>#NAME?</v>
      </c>
      <c r="O70" t="e">
        <f t="shared" ca="1" si="12"/>
        <v>#NAME?</v>
      </c>
      <c r="P70" t="e">
        <f t="shared" ca="1" si="12"/>
        <v>#NAME?</v>
      </c>
      <c r="R70" t="e">
        <f t="shared" ca="1" si="16"/>
        <v>#NAME?</v>
      </c>
      <c r="S70" t="e">
        <f t="shared" ca="1" si="16"/>
        <v>#NAME?</v>
      </c>
      <c r="T70" t="e">
        <f t="shared" ca="1" si="16"/>
        <v>#NAME?</v>
      </c>
      <c r="U70" t="e">
        <f t="shared" ca="1" si="13"/>
        <v>#NAME?</v>
      </c>
      <c r="V70" t="e">
        <f t="shared" ca="1" si="13"/>
        <v>#NAME?</v>
      </c>
      <c r="W70" t="e">
        <f t="shared" ca="1" si="13"/>
        <v>#NAME?</v>
      </c>
      <c r="X70" t="e">
        <f t="shared" ca="1" si="13"/>
        <v>#NAME?</v>
      </c>
      <c r="Z70" s="24">
        <v>1</v>
      </c>
    </row>
    <row r="71" spans="1:26" ht="15" customHeight="1">
      <c r="A71" s="22" t="s">
        <v>137</v>
      </c>
      <c r="B71" s="120" t="s">
        <v>118</v>
      </c>
      <c r="C71" s="25"/>
      <c r="D71" s="25" t="s">
        <v>141</v>
      </c>
      <c r="E71" s="25"/>
      <c r="F71" s="121" t="s">
        <v>116</v>
      </c>
      <c r="G71" s="110" t="s">
        <v>139</v>
      </c>
      <c r="H71" s="25"/>
      <c r="J71" t="e">
        <f t="shared" ca="1" si="15"/>
        <v>#NAME?</v>
      </c>
      <c r="K71" t="e">
        <f t="shared" ca="1" si="15"/>
        <v>#NAME?</v>
      </c>
      <c r="L71" t="e">
        <f t="shared" ca="1" si="15"/>
        <v>#NAME?</v>
      </c>
      <c r="M71" t="e">
        <f t="shared" ca="1" si="12"/>
        <v>#NAME?</v>
      </c>
      <c r="N71" t="e">
        <f t="shared" ca="1" si="12"/>
        <v>#NAME?</v>
      </c>
      <c r="O71" t="e">
        <f t="shared" ca="1" si="12"/>
        <v>#NAME?</v>
      </c>
      <c r="P71" t="e">
        <f t="shared" ca="1" si="12"/>
        <v>#NAME?</v>
      </c>
      <c r="R71" t="e">
        <f t="shared" ca="1" si="16"/>
        <v>#NAME?</v>
      </c>
      <c r="S71" t="e">
        <f t="shared" ca="1" si="16"/>
        <v>#NAME?</v>
      </c>
      <c r="T71" t="e">
        <f t="shared" ca="1" si="16"/>
        <v>#NAME?</v>
      </c>
      <c r="U71" t="e">
        <f t="shared" ca="1" si="13"/>
        <v>#NAME?</v>
      </c>
      <c r="V71" t="e">
        <f t="shared" ca="1" si="13"/>
        <v>#NAME?</v>
      </c>
      <c r="W71" t="e">
        <f t="shared" ca="1" si="13"/>
        <v>#NAME?</v>
      </c>
      <c r="X71" t="e">
        <f t="shared" ca="1" si="13"/>
        <v>#NAME?</v>
      </c>
      <c r="Z71" s="24">
        <v>1</v>
      </c>
    </row>
    <row r="72" spans="1:26" ht="15" customHeight="1">
      <c r="A72" s="22" t="s">
        <v>140</v>
      </c>
      <c r="B72" s="121" t="s">
        <v>116</v>
      </c>
      <c r="C72" s="25"/>
      <c r="D72" s="25" t="s">
        <v>141</v>
      </c>
      <c r="E72" s="121" t="s">
        <v>118</v>
      </c>
      <c r="F72" s="120" t="s">
        <v>118</v>
      </c>
      <c r="G72" s="25"/>
      <c r="H72" s="25"/>
      <c r="J72" t="e">
        <f t="shared" ca="1" si="15"/>
        <v>#NAME?</v>
      </c>
      <c r="K72" t="e">
        <f t="shared" ca="1" si="15"/>
        <v>#NAME?</v>
      </c>
      <c r="L72" t="e">
        <f t="shared" ca="1" si="15"/>
        <v>#NAME?</v>
      </c>
      <c r="M72" t="e">
        <f t="shared" ca="1" si="12"/>
        <v>#NAME?</v>
      </c>
      <c r="N72" t="e">
        <f t="shared" ca="1" si="12"/>
        <v>#NAME?</v>
      </c>
      <c r="O72" t="e">
        <f t="shared" ca="1" si="12"/>
        <v>#NAME?</v>
      </c>
      <c r="P72" t="e">
        <f t="shared" ca="1" si="12"/>
        <v>#NAME?</v>
      </c>
      <c r="R72" t="e">
        <f t="shared" ca="1" si="16"/>
        <v>#NAME?</v>
      </c>
      <c r="S72" t="e">
        <f t="shared" ca="1" si="16"/>
        <v>#NAME?</v>
      </c>
      <c r="T72" t="e">
        <f t="shared" ca="1" si="16"/>
        <v>#NAME?</v>
      </c>
      <c r="U72" t="e">
        <f t="shared" ca="1" si="13"/>
        <v>#NAME?</v>
      </c>
      <c r="V72" t="e">
        <f t="shared" ca="1" si="13"/>
        <v>#NAME?</v>
      </c>
      <c r="W72" t="e">
        <f t="shared" ca="1" si="13"/>
        <v>#NAME?</v>
      </c>
      <c r="X72" t="e">
        <f t="shared" ca="1" si="13"/>
        <v>#NAME?</v>
      </c>
      <c r="Z72" s="24">
        <v>1</v>
      </c>
    </row>
    <row r="73" spans="1:26" ht="15" customHeight="1">
      <c r="A73" s="22" t="s">
        <v>143</v>
      </c>
      <c r="B73" s="28" t="s">
        <v>119</v>
      </c>
      <c r="C73" s="44" t="s">
        <v>186</v>
      </c>
      <c r="D73" s="25" t="s">
        <v>141</v>
      </c>
      <c r="E73" s="28" t="s">
        <v>119</v>
      </c>
      <c r="F73" s="25"/>
      <c r="G73" s="25"/>
      <c r="H73" s="25"/>
      <c r="J73" t="e">
        <f t="shared" ca="1" si="15"/>
        <v>#NAME?</v>
      </c>
      <c r="K73" t="e">
        <f t="shared" ca="1" si="15"/>
        <v>#NAME?</v>
      </c>
      <c r="L73" t="e">
        <f t="shared" ca="1" si="15"/>
        <v>#NAME?</v>
      </c>
      <c r="M73" t="e">
        <f t="shared" ca="1" si="15"/>
        <v>#NAME?</v>
      </c>
      <c r="N73" t="e">
        <f t="shared" ca="1" si="15"/>
        <v>#NAME?</v>
      </c>
      <c r="O73" t="e">
        <f t="shared" ca="1" si="15"/>
        <v>#NAME?</v>
      </c>
      <c r="P73" t="e">
        <f t="shared" ca="1" si="15"/>
        <v>#NAME?</v>
      </c>
      <c r="R73" t="e">
        <f t="shared" ca="1" si="16"/>
        <v>#NAME?</v>
      </c>
      <c r="S73" t="e">
        <f t="shared" ca="1" si="16"/>
        <v>#NAME?</v>
      </c>
      <c r="T73" t="e">
        <f t="shared" ca="1" si="16"/>
        <v>#NAME?</v>
      </c>
      <c r="U73" t="e">
        <f t="shared" ca="1" si="16"/>
        <v>#NAME?</v>
      </c>
      <c r="V73" t="e">
        <f t="shared" ca="1" si="16"/>
        <v>#NAME?</v>
      </c>
      <c r="W73" t="e">
        <f t="shared" ca="1" si="16"/>
        <v>#NAME?</v>
      </c>
      <c r="X73" t="e">
        <f t="shared" ca="1" si="16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25" t="s">
        <v>123</v>
      </c>
      <c r="G74" s="25" t="s">
        <v>123</v>
      </c>
      <c r="H74" s="25" t="s">
        <v>123</v>
      </c>
      <c r="J74" t="e">
        <f t="shared" ca="1" si="15"/>
        <v>#NAME?</v>
      </c>
      <c r="K74" t="e">
        <f t="shared" ca="1" si="15"/>
        <v>#NAME?</v>
      </c>
      <c r="L74" t="e">
        <f t="shared" ca="1" si="15"/>
        <v>#NAME?</v>
      </c>
      <c r="M74" t="e">
        <f t="shared" ca="1" si="15"/>
        <v>#NAME?</v>
      </c>
      <c r="N74" t="e">
        <f t="shared" ca="1" si="15"/>
        <v>#NAME?</v>
      </c>
      <c r="O74" t="e">
        <f t="shared" ca="1" si="15"/>
        <v>#NAME?</v>
      </c>
      <c r="P74" t="e">
        <f t="shared" ca="1" si="15"/>
        <v>#NAME?</v>
      </c>
      <c r="R74" t="e">
        <f t="shared" ca="1" si="16"/>
        <v>#NAME?</v>
      </c>
      <c r="S74" t="e">
        <f t="shared" ca="1" si="16"/>
        <v>#NAME?</v>
      </c>
      <c r="T74" t="e">
        <f t="shared" ca="1" si="16"/>
        <v>#NAME?</v>
      </c>
      <c r="U74" t="e">
        <f t="shared" ca="1" si="16"/>
        <v>#NAME?</v>
      </c>
      <c r="V74" t="e">
        <f t="shared" ca="1" si="16"/>
        <v>#NAME?</v>
      </c>
      <c r="W74" t="e">
        <f t="shared" ca="1" si="16"/>
        <v>#NAME?</v>
      </c>
      <c r="X74" t="e">
        <f t="shared" ca="1" si="16"/>
        <v>#NAME?</v>
      </c>
      <c r="Z74" s="24">
        <v>1</v>
      </c>
    </row>
    <row r="75" spans="1:26" ht="26.25">
      <c r="A75" s="106" t="s">
        <v>146</v>
      </c>
      <c r="B75" s="108" t="str">
        <f>B58</f>
        <v>Mon 20 Jul</v>
      </c>
      <c r="C75" s="107" t="str">
        <f>C67</f>
        <v>Tues 21 Jul</v>
      </c>
      <c r="D75" s="108" t="s">
        <v>457</v>
      </c>
      <c r="E75" s="107" t="str">
        <f>E67</f>
        <v>Thu 23 Jul</v>
      </c>
      <c r="F75" s="107" t="str">
        <f>F67</f>
        <v>Fri 24 Jul</v>
      </c>
      <c r="G75" s="107" t="str">
        <f>G67</f>
        <v>Sat 25 Jul</v>
      </c>
      <c r="H75" s="107" t="str">
        <f>H67</f>
        <v>Sun 26 Jul</v>
      </c>
      <c r="J75" t="e">
        <f t="shared" ca="1" si="15"/>
        <v>#NAME?</v>
      </c>
      <c r="K75" t="e">
        <f t="shared" ca="1" si="15"/>
        <v>#NAME?</v>
      </c>
      <c r="L75" t="e">
        <f t="shared" ca="1" si="15"/>
        <v>#NAME?</v>
      </c>
      <c r="M75" t="e">
        <f t="shared" ca="1" si="15"/>
        <v>#NAME?</v>
      </c>
      <c r="N75" t="e">
        <f t="shared" ca="1" si="15"/>
        <v>#NAME?</v>
      </c>
      <c r="O75" t="e">
        <f t="shared" ca="1" si="15"/>
        <v>#NAME?</v>
      </c>
      <c r="P75" t="e">
        <f t="shared" ca="1" si="15"/>
        <v>#NAME?</v>
      </c>
      <c r="R75" t="e">
        <f t="shared" ca="1" si="16"/>
        <v>#NAME?</v>
      </c>
      <c r="S75" t="e">
        <f t="shared" ca="1" si="16"/>
        <v>#NAME?</v>
      </c>
      <c r="T75" t="e">
        <f t="shared" ca="1" si="16"/>
        <v>#NAME?</v>
      </c>
      <c r="U75" t="e">
        <f t="shared" ca="1" si="16"/>
        <v>#NAME?</v>
      </c>
      <c r="V75" t="e">
        <f t="shared" ca="1" si="16"/>
        <v>#NAME?</v>
      </c>
      <c r="W75" t="e">
        <f t="shared" ca="1" si="16"/>
        <v>#NAME?</v>
      </c>
      <c r="X75" t="e">
        <f t="shared" ca="1" si="16"/>
        <v>#NAME?</v>
      </c>
      <c r="Z75" s="53">
        <f>SUM(Z68:Z74)</f>
        <v>6</v>
      </c>
    </row>
    <row r="76" spans="1:26" ht="15" customHeight="1">
      <c r="A76" s="22" t="s">
        <v>147</v>
      </c>
      <c r="B76" s="25"/>
      <c r="C76" s="25" t="s">
        <v>152</v>
      </c>
      <c r="D76" s="25" t="s">
        <v>152</v>
      </c>
      <c r="E76" s="25" t="s">
        <v>152</v>
      </c>
      <c r="F76" s="25"/>
      <c r="G76" s="25"/>
      <c r="H76" s="25"/>
      <c r="J76" t="e">
        <f t="shared" ca="1" si="15"/>
        <v>#NAME?</v>
      </c>
      <c r="K76" t="e">
        <f t="shared" ca="1" si="15"/>
        <v>#NAME?</v>
      </c>
      <c r="L76" t="e">
        <f t="shared" ca="1" si="15"/>
        <v>#NAME?</v>
      </c>
      <c r="M76" t="e">
        <f t="shared" ca="1" si="15"/>
        <v>#NAME?</v>
      </c>
      <c r="N76" t="e">
        <f t="shared" ca="1" si="15"/>
        <v>#NAME?</v>
      </c>
      <c r="O76" t="e">
        <f t="shared" ca="1" si="15"/>
        <v>#NAME?</v>
      </c>
      <c r="P76" t="e">
        <f t="shared" ca="1" si="15"/>
        <v>#NAME?</v>
      </c>
      <c r="R76" t="e">
        <f t="shared" ca="1" si="16"/>
        <v>#NAME?</v>
      </c>
      <c r="S76" t="e">
        <f t="shared" ca="1" si="16"/>
        <v>#NAME?</v>
      </c>
      <c r="T76" t="e">
        <f t="shared" ca="1" si="16"/>
        <v>#NAME?</v>
      </c>
      <c r="U76" t="e">
        <f t="shared" ca="1" si="16"/>
        <v>#NAME?</v>
      </c>
      <c r="V76" t="e">
        <f t="shared" ca="1" si="16"/>
        <v>#NAME?</v>
      </c>
      <c r="W76" t="e">
        <f t="shared" ca="1" si="16"/>
        <v>#NAME?</v>
      </c>
      <c r="X76" t="e">
        <f t="shared" ca="1" si="16"/>
        <v>#NAME?</v>
      </c>
      <c r="Z76" s="24">
        <v>1</v>
      </c>
    </row>
    <row r="77" spans="1:26" ht="15" customHeight="1">
      <c r="A77" s="22" t="s">
        <v>151</v>
      </c>
      <c r="B77" s="25"/>
      <c r="C77" s="120" t="s">
        <v>116</v>
      </c>
      <c r="D77" s="121" t="s">
        <v>116</v>
      </c>
      <c r="E77" s="121" t="s">
        <v>116</v>
      </c>
      <c r="F77" s="28" t="s">
        <v>115</v>
      </c>
      <c r="G77" s="25"/>
      <c r="H77" s="110" t="s">
        <v>139</v>
      </c>
      <c r="J77" t="e">
        <f t="shared" ca="1" si="15"/>
        <v>#NAME?</v>
      </c>
      <c r="K77" t="e">
        <f t="shared" ca="1" si="15"/>
        <v>#NAME?</v>
      </c>
      <c r="L77" t="e">
        <f t="shared" ca="1" si="15"/>
        <v>#NAME?</v>
      </c>
      <c r="M77" t="e">
        <f t="shared" ca="1" si="15"/>
        <v>#NAME?</v>
      </c>
      <c r="N77" t="e">
        <f t="shared" ca="1" si="15"/>
        <v>#NAME?</v>
      </c>
      <c r="O77" t="e">
        <f t="shared" ca="1" si="15"/>
        <v>#NAME?</v>
      </c>
      <c r="P77" t="e">
        <f t="shared" ca="1" si="15"/>
        <v>#NAME?</v>
      </c>
      <c r="R77" t="e">
        <f t="shared" ca="1" si="16"/>
        <v>#NAME?</v>
      </c>
      <c r="S77" t="e">
        <f t="shared" ca="1" si="16"/>
        <v>#NAME?</v>
      </c>
      <c r="T77" t="e">
        <f t="shared" ca="1" si="16"/>
        <v>#NAME?</v>
      </c>
      <c r="U77" t="e">
        <f t="shared" ca="1" si="16"/>
        <v>#NAME?</v>
      </c>
      <c r="V77" t="e">
        <f t="shared" ca="1" si="16"/>
        <v>#NAME?</v>
      </c>
      <c r="W77" t="e">
        <f t="shared" ca="1" si="16"/>
        <v>#NAME?</v>
      </c>
      <c r="X77" t="e">
        <f t="shared" ca="1" si="16"/>
        <v>#NAME?</v>
      </c>
      <c r="Z77" s="15">
        <v>1</v>
      </c>
    </row>
    <row r="78" spans="1:26" ht="15" customHeight="1">
      <c r="A78" s="22" t="s">
        <v>153</v>
      </c>
      <c r="B78" s="25"/>
      <c r="C78" s="25"/>
      <c r="D78" s="25" t="s">
        <v>141</v>
      </c>
      <c r="E78" s="25"/>
      <c r="F78" s="25" t="s">
        <v>152</v>
      </c>
      <c r="G78" s="25" t="s">
        <v>152</v>
      </c>
      <c r="H78" s="25"/>
      <c r="J78" t="e">
        <f t="shared" ca="1" si="15"/>
        <v>#NAME?</v>
      </c>
      <c r="K78" t="e">
        <f t="shared" ca="1" si="15"/>
        <v>#NAME?</v>
      </c>
      <c r="L78" t="e">
        <f t="shared" ca="1" si="15"/>
        <v>#NAME?</v>
      </c>
      <c r="M78" t="e">
        <f t="shared" ca="1" si="15"/>
        <v>#NAME?</v>
      </c>
      <c r="N78" t="e">
        <f t="shared" ca="1" si="15"/>
        <v>#NAME?</v>
      </c>
      <c r="O78" t="e">
        <f t="shared" ca="1" si="15"/>
        <v>#NAME?</v>
      </c>
      <c r="P78" t="e">
        <f t="shared" ca="1" si="15"/>
        <v>#NAME?</v>
      </c>
      <c r="R78" t="e">
        <f t="shared" ca="1" si="16"/>
        <v>#NAME?</v>
      </c>
      <c r="S78" t="e">
        <f t="shared" ca="1" si="16"/>
        <v>#NAME?</v>
      </c>
      <c r="T78" t="e">
        <f t="shared" ca="1" si="16"/>
        <v>#NAME?</v>
      </c>
      <c r="U78" t="e">
        <f t="shared" ca="1" si="16"/>
        <v>#NAME?</v>
      </c>
      <c r="V78" t="e">
        <f t="shared" ca="1" si="16"/>
        <v>#NAME?</v>
      </c>
      <c r="W78" t="e">
        <f t="shared" ca="1" si="16"/>
        <v>#NAME?</v>
      </c>
      <c r="X78" t="e">
        <f t="shared" ca="1" si="16"/>
        <v>#NAME?</v>
      </c>
      <c r="Z78" s="15">
        <v>0.5</v>
      </c>
    </row>
    <row r="79" spans="1:26">
      <c r="A79" s="22" t="s">
        <v>154</v>
      </c>
      <c r="B79" s="110" t="s">
        <v>142</v>
      </c>
      <c r="C79" s="25"/>
      <c r="D79" s="25" t="s">
        <v>141</v>
      </c>
      <c r="E79" s="110" t="s">
        <v>139</v>
      </c>
      <c r="F79" s="25"/>
      <c r="G79" s="25"/>
      <c r="H79" s="120" t="s">
        <v>116</v>
      </c>
      <c r="J79" t="e">
        <f t="shared" ref="J79:P97" ca="1" si="18">colorindex(B79)</f>
        <v>#NAME?</v>
      </c>
      <c r="K79" t="e">
        <f t="shared" ca="1" si="18"/>
        <v>#NAME?</v>
      </c>
      <c r="L79" t="e">
        <f t="shared" ca="1" si="18"/>
        <v>#NAME?</v>
      </c>
      <c r="M79" t="e">
        <f t="shared" ca="1" si="18"/>
        <v>#NAME?</v>
      </c>
      <c r="N79" t="e">
        <f t="shared" ca="1" si="18"/>
        <v>#NAME?</v>
      </c>
      <c r="O79" t="e">
        <f t="shared" ca="1" si="18"/>
        <v>#NAME?</v>
      </c>
      <c r="P79" t="e">
        <f t="shared" ca="1" si="18"/>
        <v>#NAME?</v>
      </c>
      <c r="R79" t="e">
        <f t="shared" ref="R79:X97" ca="1" si="19">ShiftIndex(B79)</f>
        <v>#NAME?</v>
      </c>
      <c r="S79" t="e">
        <f t="shared" ca="1" si="19"/>
        <v>#NAME?</v>
      </c>
      <c r="T79" t="e">
        <f t="shared" ca="1" si="19"/>
        <v>#NAME?</v>
      </c>
      <c r="U79" t="e">
        <f t="shared" ca="1" si="19"/>
        <v>#NAME?</v>
      </c>
      <c r="V79" t="e">
        <f t="shared" ca="1" si="19"/>
        <v>#NAME?</v>
      </c>
      <c r="W79" t="e">
        <f t="shared" ca="1" si="19"/>
        <v>#NAME?</v>
      </c>
      <c r="X79" t="e">
        <f t="shared" ca="1" si="19"/>
        <v>#NAME?</v>
      </c>
      <c r="Z79" s="15">
        <v>1</v>
      </c>
    </row>
    <row r="80" spans="1:26">
      <c r="A80" s="22" t="s">
        <v>155</v>
      </c>
      <c r="B80" s="25"/>
      <c r="C80" s="25"/>
      <c r="D80" s="25" t="s">
        <v>141</v>
      </c>
      <c r="E80" s="120" t="s">
        <v>116</v>
      </c>
      <c r="F80" s="25"/>
      <c r="G80" s="25"/>
      <c r="H80" s="121" t="s">
        <v>116</v>
      </c>
      <c r="J80" t="e">
        <f t="shared" ca="1" si="18"/>
        <v>#NAME?</v>
      </c>
      <c r="K80" t="e">
        <f t="shared" ca="1" si="18"/>
        <v>#NAME?</v>
      </c>
      <c r="L80" t="e">
        <f t="shared" ca="1" si="18"/>
        <v>#NAME?</v>
      </c>
      <c r="M80" t="e">
        <f t="shared" ca="1" si="18"/>
        <v>#NAME?</v>
      </c>
      <c r="N80" t="e">
        <f t="shared" ca="1" si="18"/>
        <v>#NAME?</v>
      </c>
      <c r="O80" t="e">
        <f t="shared" ca="1" si="18"/>
        <v>#NAME?</v>
      </c>
      <c r="P80" t="e">
        <f t="shared" ca="1" si="18"/>
        <v>#NAME?</v>
      </c>
      <c r="R80" t="e">
        <f t="shared" ca="1" si="19"/>
        <v>#NAME?</v>
      </c>
      <c r="S80" t="e">
        <f t="shared" ca="1" si="19"/>
        <v>#NAME?</v>
      </c>
      <c r="T80" t="e">
        <f t="shared" ca="1" si="19"/>
        <v>#NAME?</v>
      </c>
      <c r="U80" t="e">
        <f t="shared" ca="1" si="19"/>
        <v>#NAME?</v>
      </c>
      <c r="V80" t="e">
        <f t="shared" ca="1" si="19"/>
        <v>#NAME?</v>
      </c>
      <c r="W80" t="e">
        <f t="shared" ca="1" si="19"/>
        <v>#NAME?</v>
      </c>
      <c r="X80" t="e">
        <f t="shared" ca="1" si="19"/>
        <v>#NAME?</v>
      </c>
      <c r="Z80" s="15">
        <v>0.5</v>
      </c>
    </row>
    <row r="81" spans="1:26" ht="15" customHeight="1">
      <c r="A81" s="22" t="s">
        <v>156</v>
      </c>
      <c r="B81" s="25"/>
      <c r="C81" s="25"/>
      <c r="D81" s="25" t="s">
        <v>141</v>
      </c>
      <c r="E81" s="110" t="s">
        <v>142</v>
      </c>
      <c r="F81" s="25"/>
      <c r="G81" s="110" t="s">
        <v>142</v>
      </c>
      <c r="H81" s="28" t="s">
        <v>115</v>
      </c>
      <c r="J81" t="e">
        <f t="shared" ca="1" si="18"/>
        <v>#NAME?</v>
      </c>
      <c r="K81" t="e">
        <f t="shared" ca="1" si="18"/>
        <v>#NAME?</v>
      </c>
      <c r="L81" t="e">
        <f t="shared" ca="1" si="18"/>
        <v>#NAME?</v>
      </c>
      <c r="M81" t="e">
        <f t="shared" ca="1" si="18"/>
        <v>#NAME?</v>
      </c>
      <c r="N81" t="e">
        <f t="shared" ca="1" si="18"/>
        <v>#NAME?</v>
      </c>
      <c r="O81" t="e">
        <f t="shared" ca="1" si="18"/>
        <v>#NAME?</v>
      </c>
      <c r="P81" t="e">
        <f t="shared" ca="1" si="18"/>
        <v>#NAME?</v>
      </c>
      <c r="R81" t="e">
        <f t="shared" ca="1" si="19"/>
        <v>#NAME?</v>
      </c>
      <c r="S81" t="e">
        <f t="shared" ca="1" si="19"/>
        <v>#NAME?</v>
      </c>
      <c r="T81" t="e">
        <f t="shared" ca="1" si="19"/>
        <v>#NAME?</v>
      </c>
      <c r="U81" t="e">
        <f t="shared" ca="1" si="19"/>
        <v>#NAME?</v>
      </c>
      <c r="V81" t="e">
        <f t="shared" ca="1" si="19"/>
        <v>#NAME?</v>
      </c>
      <c r="W81" t="e">
        <f t="shared" ca="1" si="19"/>
        <v>#NAME?</v>
      </c>
      <c r="X81" t="e">
        <f t="shared" ca="1" si="19"/>
        <v>#NAME?</v>
      </c>
      <c r="Z81" s="15">
        <v>1</v>
      </c>
    </row>
    <row r="82" spans="1:26" ht="15" customHeight="1">
      <c r="A82" s="22" t="s">
        <v>158</v>
      </c>
      <c r="B82" s="25"/>
      <c r="C82" s="120" t="s">
        <v>116</v>
      </c>
      <c r="D82" s="25" t="s">
        <v>152</v>
      </c>
      <c r="E82" s="25" t="s">
        <v>152</v>
      </c>
      <c r="F82" s="25" t="s">
        <v>152</v>
      </c>
      <c r="G82" s="25"/>
      <c r="H82" s="25"/>
      <c r="J82" t="e">
        <f t="shared" ca="1" si="18"/>
        <v>#NAME?</v>
      </c>
      <c r="K82" t="e">
        <f t="shared" ca="1" si="18"/>
        <v>#NAME?</v>
      </c>
      <c r="L82" t="e">
        <f t="shared" ca="1" si="18"/>
        <v>#NAME?</v>
      </c>
      <c r="M82" t="e">
        <f t="shared" ca="1" si="18"/>
        <v>#NAME?</v>
      </c>
      <c r="N82" t="e">
        <f t="shared" ca="1" si="18"/>
        <v>#NAME?</v>
      </c>
      <c r="O82" t="e">
        <f t="shared" ca="1" si="18"/>
        <v>#NAME?</v>
      </c>
      <c r="P82" t="e">
        <f t="shared" ca="1" si="18"/>
        <v>#NAME?</v>
      </c>
      <c r="R82" t="e">
        <f t="shared" ca="1" si="19"/>
        <v>#NAME?</v>
      </c>
      <c r="S82" t="e">
        <f t="shared" ca="1" si="19"/>
        <v>#NAME?</v>
      </c>
      <c r="T82" t="e">
        <f t="shared" ca="1" si="19"/>
        <v>#NAME?</v>
      </c>
      <c r="U82" t="e">
        <f t="shared" ca="1" si="19"/>
        <v>#NAME?</v>
      </c>
      <c r="V82" t="e">
        <f t="shared" ca="1" si="19"/>
        <v>#NAME?</v>
      </c>
      <c r="W82" t="e">
        <f t="shared" ca="1" si="19"/>
        <v>#NAME?</v>
      </c>
      <c r="X82" t="e">
        <f t="shared" ca="1" si="19"/>
        <v>#NAME?</v>
      </c>
      <c r="Z82" s="15">
        <v>1</v>
      </c>
    </row>
    <row r="83" spans="1:26" ht="15" customHeight="1">
      <c r="A83" s="22" t="s">
        <v>159</v>
      </c>
      <c r="B83" s="25"/>
      <c r="C83" s="110" t="s">
        <v>139</v>
      </c>
      <c r="D83" s="25" t="s">
        <v>152</v>
      </c>
      <c r="E83" s="25" t="s">
        <v>152</v>
      </c>
      <c r="F83" s="25" t="s">
        <v>152</v>
      </c>
      <c r="G83" s="25"/>
      <c r="H83" s="25"/>
      <c r="J83" t="e">
        <f t="shared" ca="1" si="18"/>
        <v>#NAME?</v>
      </c>
      <c r="K83" t="e">
        <f t="shared" ca="1" si="18"/>
        <v>#NAME?</v>
      </c>
      <c r="L83" t="e">
        <f t="shared" ca="1" si="18"/>
        <v>#NAME?</v>
      </c>
      <c r="M83" t="e">
        <f t="shared" ca="1" si="18"/>
        <v>#NAME?</v>
      </c>
      <c r="N83" t="e">
        <f t="shared" ca="1" si="18"/>
        <v>#NAME?</v>
      </c>
      <c r="O83" t="e">
        <f t="shared" ca="1" si="18"/>
        <v>#NAME?</v>
      </c>
      <c r="P83" t="e">
        <f t="shared" ca="1" si="18"/>
        <v>#NAME?</v>
      </c>
      <c r="R83" t="e">
        <f t="shared" ca="1" si="19"/>
        <v>#NAME?</v>
      </c>
      <c r="S83" t="e">
        <f t="shared" ca="1" si="19"/>
        <v>#NAME?</v>
      </c>
      <c r="T83" t="e">
        <f t="shared" ca="1" si="19"/>
        <v>#NAME?</v>
      </c>
      <c r="U83" t="e">
        <f t="shared" ca="1" si="19"/>
        <v>#NAME?</v>
      </c>
      <c r="V83" t="e">
        <f t="shared" ca="1" si="19"/>
        <v>#NAME?</v>
      </c>
      <c r="W83" t="e">
        <f t="shared" ca="1" si="19"/>
        <v>#NAME?</v>
      </c>
      <c r="X83" t="e">
        <f t="shared" ca="1" si="19"/>
        <v>#NAME?</v>
      </c>
      <c r="Z83" s="15">
        <v>1</v>
      </c>
    </row>
    <row r="84" spans="1:26" ht="15" customHeight="1">
      <c r="A84" s="22" t="s">
        <v>160</v>
      </c>
      <c r="B84" s="25" t="s">
        <v>152</v>
      </c>
      <c r="C84" s="25" t="s">
        <v>152</v>
      </c>
      <c r="D84" s="25"/>
      <c r="E84" s="25"/>
      <c r="F84" s="25"/>
      <c r="G84" s="28" t="s">
        <v>115</v>
      </c>
      <c r="H84" s="120" t="s">
        <v>116</v>
      </c>
      <c r="J84" t="e">
        <f t="shared" ca="1" si="18"/>
        <v>#NAME?</v>
      </c>
      <c r="K84" t="e">
        <f t="shared" ca="1" si="18"/>
        <v>#NAME?</v>
      </c>
      <c r="L84" t="e">
        <f t="shared" ca="1" si="18"/>
        <v>#NAME?</v>
      </c>
      <c r="M84" t="e">
        <f t="shared" ca="1" si="18"/>
        <v>#NAME?</v>
      </c>
      <c r="N84" t="e">
        <f t="shared" ca="1" si="18"/>
        <v>#NAME?</v>
      </c>
      <c r="O84" t="e">
        <f t="shared" ca="1" si="18"/>
        <v>#NAME?</v>
      </c>
      <c r="P84" t="e">
        <f t="shared" ca="1" si="18"/>
        <v>#NAME?</v>
      </c>
      <c r="R84" t="e">
        <f t="shared" ca="1" si="19"/>
        <v>#NAME?</v>
      </c>
      <c r="S84" t="e">
        <f t="shared" ca="1" si="19"/>
        <v>#NAME?</v>
      </c>
      <c r="T84" t="e">
        <f t="shared" ca="1" si="19"/>
        <v>#NAME?</v>
      </c>
      <c r="U84" t="e">
        <f t="shared" ca="1" si="19"/>
        <v>#NAME?</v>
      </c>
      <c r="V84" t="e">
        <f t="shared" ca="1" si="19"/>
        <v>#NAME?</v>
      </c>
      <c r="W84" t="e">
        <f t="shared" ca="1" si="19"/>
        <v>#NAME?</v>
      </c>
      <c r="X84" t="e">
        <f t="shared" ca="1" si="19"/>
        <v>#NAME?</v>
      </c>
      <c r="Z84" s="15">
        <v>1</v>
      </c>
    </row>
    <row r="85" spans="1:26">
      <c r="A85" s="22" t="s">
        <v>161</v>
      </c>
      <c r="B85" s="25"/>
      <c r="C85" s="25"/>
      <c r="D85" s="25" t="s">
        <v>141</v>
      </c>
      <c r="E85" s="25"/>
      <c r="F85" s="25"/>
      <c r="G85" s="25"/>
      <c r="H85" s="25"/>
      <c r="J85" t="e">
        <f t="shared" ca="1" si="18"/>
        <v>#NAME?</v>
      </c>
      <c r="K85" t="e">
        <f t="shared" ca="1" si="18"/>
        <v>#NAME?</v>
      </c>
      <c r="L85" t="e">
        <f t="shared" ca="1" si="18"/>
        <v>#NAME?</v>
      </c>
      <c r="M85" t="e">
        <f t="shared" ca="1" si="18"/>
        <v>#NAME?</v>
      </c>
      <c r="N85" t="e">
        <f t="shared" ca="1" si="18"/>
        <v>#NAME?</v>
      </c>
      <c r="O85" t="e">
        <f t="shared" ca="1" si="18"/>
        <v>#NAME?</v>
      </c>
      <c r="P85" t="e">
        <f t="shared" ca="1" si="18"/>
        <v>#NAME?</v>
      </c>
      <c r="R85" t="e">
        <f t="shared" ca="1" si="19"/>
        <v>#NAME?</v>
      </c>
      <c r="S85" t="e">
        <f t="shared" ca="1" si="19"/>
        <v>#NAME?</v>
      </c>
      <c r="T85" t="e">
        <f t="shared" ca="1" si="19"/>
        <v>#NAME?</v>
      </c>
      <c r="U85" t="e">
        <f t="shared" ca="1" si="19"/>
        <v>#NAME?</v>
      </c>
      <c r="V85" t="e">
        <f t="shared" ca="1" si="19"/>
        <v>#NAME?</v>
      </c>
      <c r="W85" t="e">
        <f t="shared" ca="1" si="19"/>
        <v>#NAME?</v>
      </c>
      <c r="X85" t="e">
        <f t="shared" ca="1" si="19"/>
        <v>#NAME?</v>
      </c>
      <c r="Z85" s="15">
        <v>0.25</v>
      </c>
    </row>
    <row r="86" spans="1:26">
      <c r="A86" s="22" t="s">
        <v>162</v>
      </c>
      <c r="B86" s="121" t="s">
        <v>118</v>
      </c>
      <c r="C86" s="121" t="s">
        <v>116</v>
      </c>
      <c r="D86" s="28" t="s">
        <v>115</v>
      </c>
      <c r="E86" s="25"/>
      <c r="F86" s="110" t="s">
        <v>142</v>
      </c>
      <c r="G86" s="25"/>
      <c r="H86" s="25"/>
      <c r="J86" t="e">
        <f t="shared" ca="1" si="18"/>
        <v>#NAME?</v>
      </c>
      <c r="K86" t="e">
        <f t="shared" ca="1" si="18"/>
        <v>#NAME?</v>
      </c>
      <c r="L86" t="e">
        <f t="shared" ca="1" si="18"/>
        <v>#NAME?</v>
      </c>
      <c r="M86" t="e">
        <f t="shared" ca="1" si="18"/>
        <v>#NAME?</v>
      </c>
      <c r="N86" t="e">
        <f t="shared" ca="1" si="18"/>
        <v>#NAME?</v>
      </c>
      <c r="O86" t="e">
        <f t="shared" ca="1" si="18"/>
        <v>#NAME?</v>
      </c>
      <c r="P86" t="e">
        <f t="shared" ca="1" si="18"/>
        <v>#NAME?</v>
      </c>
      <c r="R86" t="e">
        <f t="shared" ca="1" si="19"/>
        <v>#NAME?</v>
      </c>
      <c r="S86" t="e">
        <f t="shared" ca="1" si="19"/>
        <v>#NAME?</v>
      </c>
      <c r="T86" t="e">
        <f t="shared" ca="1" si="19"/>
        <v>#NAME?</v>
      </c>
      <c r="U86" t="e">
        <f t="shared" ca="1" si="19"/>
        <v>#NAME?</v>
      </c>
      <c r="V86" t="e">
        <f t="shared" ca="1" si="19"/>
        <v>#NAME?</v>
      </c>
      <c r="W86" t="e">
        <f t="shared" ca="1" si="19"/>
        <v>#NAME?</v>
      </c>
      <c r="X86" t="e">
        <f t="shared" ca="1" si="19"/>
        <v>#NAME?</v>
      </c>
      <c r="Z86" s="15">
        <v>1</v>
      </c>
    </row>
    <row r="87" spans="1:26" ht="15" customHeight="1">
      <c r="A87" s="22" t="s">
        <v>163</v>
      </c>
      <c r="B87" s="110" t="s">
        <v>139</v>
      </c>
      <c r="C87" s="25"/>
      <c r="D87" s="110" t="s">
        <v>139</v>
      </c>
      <c r="E87" s="25"/>
      <c r="F87" s="121" t="s">
        <v>116</v>
      </c>
      <c r="G87" s="25" t="s">
        <v>152</v>
      </c>
      <c r="H87" s="25" t="s">
        <v>152</v>
      </c>
      <c r="J87" t="e">
        <f t="shared" ca="1" si="18"/>
        <v>#NAME?</v>
      </c>
      <c r="K87" t="e">
        <f t="shared" ca="1" si="18"/>
        <v>#NAME?</v>
      </c>
      <c r="L87" t="e">
        <f t="shared" ca="1" si="18"/>
        <v>#NAME?</v>
      </c>
      <c r="M87" t="e">
        <f t="shared" ca="1" si="18"/>
        <v>#NAME?</v>
      </c>
      <c r="N87" t="e">
        <f t="shared" ca="1" si="18"/>
        <v>#NAME?</v>
      </c>
      <c r="O87" t="e">
        <f t="shared" ca="1" si="18"/>
        <v>#NAME?</v>
      </c>
      <c r="P87" t="e">
        <f t="shared" ca="1" si="18"/>
        <v>#NAME?</v>
      </c>
      <c r="R87" t="e">
        <f t="shared" ca="1" si="19"/>
        <v>#NAME?</v>
      </c>
      <c r="S87" t="e">
        <f t="shared" ca="1" si="19"/>
        <v>#NAME?</v>
      </c>
      <c r="T87" t="e">
        <f t="shared" ca="1" si="19"/>
        <v>#NAME?</v>
      </c>
      <c r="U87" t="e">
        <f t="shared" ca="1" si="19"/>
        <v>#NAME?</v>
      </c>
      <c r="V87" t="e">
        <f t="shared" ca="1" si="19"/>
        <v>#NAME?</v>
      </c>
      <c r="W87" t="e">
        <f t="shared" ca="1" si="19"/>
        <v>#NAME?</v>
      </c>
      <c r="X87" t="e">
        <f t="shared" ca="1" si="19"/>
        <v>#NAME?</v>
      </c>
      <c r="Z87" s="15">
        <v>1</v>
      </c>
    </row>
    <row r="88" spans="1:26" ht="15" customHeight="1">
      <c r="A88" s="22" t="s">
        <v>164</v>
      </c>
      <c r="B88" s="25"/>
      <c r="C88" s="25"/>
      <c r="D88" s="25" t="s">
        <v>141</v>
      </c>
      <c r="E88" s="28" t="s">
        <v>119</v>
      </c>
      <c r="F88" s="121" t="s">
        <v>118</v>
      </c>
      <c r="G88" s="25"/>
      <c r="H88" s="25"/>
      <c r="J88" t="e">
        <f t="shared" ca="1" si="18"/>
        <v>#NAME?</v>
      </c>
      <c r="K88" t="e">
        <f t="shared" ca="1" si="18"/>
        <v>#NAME?</v>
      </c>
      <c r="L88" t="e">
        <f t="shared" ca="1" si="18"/>
        <v>#NAME?</v>
      </c>
      <c r="M88" t="e">
        <f t="shared" ca="1" si="18"/>
        <v>#NAME?</v>
      </c>
      <c r="N88" t="e">
        <f t="shared" ca="1" si="18"/>
        <v>#NAME?</v>
      </c>
      <c r="O88" t="e">
        <f t="shared" ca="1" si="18"/>
        <v>#NAME?</v>
      </c>
      <c r="P88" t="e">
        <f t="shared" ca="1" si="18"/>
        <v>#NAME?</v>
      </c>
      <c r="R88" t="e">
        <f t="shared" ca="1" si="19"/>
        <v>#NAME?</v>
      </c>
      <c r="S88" t="e">
        <f t="shared" ca="1" si="19"/>
        <v>#NAME?</v>
      </c>
      <c r="T88" t="e">
        <f t="shared" ca="1" si="19"/>
        <v>#NAME?</v>
      </c>
      <c r="U88" t="e">
        <f t="shared" ca="1" si="19"/>
        <v>#NAME?</v>
      </c>
      <c r="V88" t="e">
        <f t="shared" ca="1" si="19"/>
        <v>#NAME?</v>
      </c>
      <c r="W88" t="e">
        <f t="shared" ca="1" si="19"/>
        <v>#NAME?</v>
      </c>
      <c r="X88" t="e">
        <f t="shared" ca="1" si="19"/>
        <v>#NAME?</v>
      </c>
      <c r="Z88" s="15">
        <v>0.75</v>
      </c>
    </row>
    <row r="89" spans="1:26" ht="15" customHeight="1">
      <c r="A89" s="22" t="s">
        <v>167</v>
      </c>
      <c r="B89" s="127" t="s">
        <v>18</v>
      </c>
      <c r="C89" s="128"/>
      <c r="D89" s="128"/>
      <c r="E89" s="128" t="s">
        <v>134</v>
      </c>
      <c r="F89" s="128"/>
      <c r="G89" s="128"/>
      <c r="H89" s="129" t="s">
        <v>134</v>
      </c>
      <c r="J89" t="e">
        <f t="shared" ca="1" si="18"/>
        <v>#NAME?</v>
      </c>
      <c r="K89" t="e">
        <f t="shared" ca="1" si="18"/>
        <v>#NAME?</v>
      </c>
      <c r="L89" t="e">
        <f t="shared" ca="1" si="18"/>
        <v>#NAME?</v>
      </c>
      <c r="M89" t="e">
        <f t="shared" ca="1" si="18"/>
        <v>#NAME?</v>
      </c>
      <c r="N89" t="e">
        <f t="shared" ca="1" si="18"/>
        <v>#NAME?</v>
      </c>
      <c r="O89" t="e">
        <f t="shared" ca="1" si="18"/>
        <v>#NAME?</v>
      </c>
      <c r="P89" t="e">
        <f t="shared" ca="1" si="18"/>
        <v>#NAME?</v>
      </c>
      <c r="R89" t="e">
        <f t="shared" ca="1" si="19"/>
        <v>#NAME?</v>
      </c>
      <c r="S89" t="e">
        <f t="shared" ca="1" si="19"/>
        <v>#NAME?</v>
      </c>
      <c r="T89" t="e">
        <f t="shared" ca="1" si="19"/>
        <v>#NAME?</v>
      </c>
      <c r="U89" t="e">
        <f t="shared" ca="1" si="19"/>
        <v>#NAME?</v>
      </c>
      <c r="V89" t="e">
        <f t="shared" ca="1" si="19"/>
        <v>#NAME?</v>
      </c>
      <c r="W89" t="e">
        <f t="shared" ca="1" si="19"/>
        <v>#NAME?</v>
      </c>
      <c r="X89" t="e">
        <f t="shared" ca="1" si="19"/>
        <v>#NAME?</v>
      </c>
      <c r="Z89" s="15">
        <v>0.75</v>
      </c>
    </row>
    <row r="90" spans="1:26" ht="15" customHeight="1">
      <c r="A90" s="22" t="s">
        <v>168</v>
      </c>
      <c r="B90" s="25" t="s">
        <v>152</v>
      </c>
      <c r="C90" s="25"/>
      <c r="D90" s="25" t="s">
        <v>141</v>
      </c>
      <c r="E90" s="25"/>
      <c r="F90" s="28" t="s">
        <v>119</v>
      </c>
      <c r="G90" s="25"/>
      <c r="H90" s="25"/>
      <c r="J90" t="e">
        <f t="shared" ca="1" si="18"/>
        <v>#NAME?</v>
      </c>
      <c r="K90" t="e">
        <f t="shared" ca="1" si="18"/>
        <v>#NAME?</v>
      </c>
      <c r="L90" t="e">
        <f t="shared" ca="1" si="18"/>
        <v>#NAME?</v>
      </c>
      <c r="M90" t="e">
        <f t="shared" ca="1" si="18"/>
        <v>#NAME?</v>
      </c>
      <c r="N90" t="e">
        <f t="shared" ca="1" si="18"/>
        <v>#NAME?</v>
      </c>
      <c r="O90" t="e">
        <f t="shared" ca="1" si="18"/>
        <v>#NAME?</v>
      </c>
      <c r="P90" t="e">
        <f t="shared" ca="1" si="18"/>
        <v>#NAME?</v>
      </c>
      <c r="R90" t="e">
        <f t="shared" ca="1" si="19"/>
        <v>#NAME?</v>
      </c>
      <c r="S90" t="e">
        <f t="shared" ca="1" si="19"/>
        <v>#NAME?</v>
      </c>
      <c r="T90" t="e">
        <f t="shared" ca="1" si="19"/>
        <v>#NAME?</v>
      </c>
      <c r="U90" t="e">
        <f t="shared" ca="1" si="19"/>
        <v>#NAME?</v>
      </c>
      <c r="V90" t="e">
        <f t="shared" ca="1" si="19"/>
        <v>#NAME?</v>
      </c>
      <c r="W90" t="e">
        <f t="shared" ca="1" si="19"/>
        <v>#NAME?</v>
      </c>
      <c r="X90" t="e">
        <f t="shared" ca="1" si="19"/>
        <v>#NAME?</v>
      </c>
      <c r="Z90" s="15">
        <v>1</v>
      </c>
    </row>
    <row r="91" spans="1:26" ht="15" customHeight="1">
      <c r="A91" s="22" t="s">
        <v>169</v>
      </c>
      <c r="B91" s="120" t="s">
        <v>116</v>
      </c>
      <c r="C91" s="121" t="s">
        <v>116</v>
      </c>
      <c r="D91" s="120" t="s">
        <v>116</v>
      </c>
      <c r="E91" s="25"/>
      <c r="F91" s="25"/>
      <c r="G91" s="25" t="s">
        <v>152</v>
      </c>
      <c r="H91" s="25" t="s">
        <v>152</v>
      </c>
      <c r="J91" t="e">
        <f t="shared" ca="1" si="18"/>
        <v>#NAME?</v>
      </c>
      <c r="K91" t="e">
        <f t="shared" ca="1" si="18"/>
        <v>#NAME?</v>
      </c>
      <c r="L91" t="e">
        <f t="shared" ca="1" si="18"/>
        <v>#NAME?</v>
      </c>
      <c r="M91" t="e">
        <f t="shared" ca="1" si="18"/>
        <v>#NAME?</v>
      </c>
      <c r="N91" t="e">
        <f t="shared" ca="1" si="18"/>
        <v>#NAME?</v>
      </c>
      <c r="O91" t="e">
        <f t="shared" ca="1" si="18"/>
        <v>#NAME?</v>
      </c>
      <c r="P91" t="e">
        <f t="shared" ca="1" si="18"/>
        <v>#NAME?</v>
      </c>
      <c r="R91" t="e">
        <f t="shared" ca="1" si="19"/>
        <v>#NAME?</v>
      </c>
      <c r="S91" t="e">
        <f t="shared" ca="1" si="19"/>
        <v>#NAME?</v>
      </c>
      <c r="T91" t="e">
        <f t="shared" ca="1" si="19"/>
        <v>#NAME?</v>
      </c>
      <c r="U91" t="e">
        <f t="shared" ca="1" si="19"/>
        <v>#NAME?</v>
      </c>
      <c r="V91" t="e">
        <f t="shared" ca="1" si="19"/>
        <v>#NAME?</v>
      </c>
      <c r="W91" t="e">
        <f t="shared" ca="1" si="19"/>
        <v>#NAME?</v>
      </c>
      <c r="X91" t="e">
        <f t="shared" ca="1" si="19"/>
        <v>#NAME?</v>
      </c>
      <c r="Z91" s="15">
        <v>1</v>
      </c>
    </row>
    <row r="92" spans="1:26" ht="15" customHeight="1">
      <c r="A92" s="22" t="s">
        <v>171</v>
      </c>
      <c r="B92" s="25"/>
      <c r="C92" s="28" t="s">
        <v>119</v>
      </c>
      <c r="D92" s="121" t="s">
        <v>116</v>
      </c>
      <c r="E92" s="25"/>
      <c r="F92" s="25"/>
      <c r="G92" s="120" t="s">
        <v>116</v>
      </c>
      <c r="H92" s="25"/>
      <c r="J92" t="e">
        <f t="shared" ca="1" si="18"/>
        <v>#NAME?</v>
      </c>
      <c r="K92" t="e">
        <f t="shared" ca="1" si="18"/>
        <v>#NAME?</v>
      </c>
      <c r="L92" t="e">
        <f t="shared" ca="1" si="18"/>
        <v>#NAME?</v>
      </c>
      <c r="M92" t="e">
        <f t="shared" ca="1" si="18"/>
        <v>#NAME?</v>
      </c>
      <c r="N92" t="e">
        <f t="shared" ca="1" si="18"/>
        <v>#NAME?</v>
      </c>
      <c r="O92" t="e">
        <f t="shared" ca="1" si="18"/>
        <v>#NAME?</v>
      </c>
      <c r="P92" t="e">
        <f t="shared" ca="1" si="18"/>
        <v>#NAME?</v>
      </c>
      <c r="R92" t="e">
        <f t="shared" ca="1" si="19"/>
        <v>#NAME?</v>
      </c>
      <c r="S92" t="e">
        <f t="shared" ca="1" si="19"/>
        <v>#NAME?</v>
      </c>
      <c r="T92" t="e">
        <f t="shared" ca="1" si="19"/>
        <v>#NAME?</v>
      </c>
      <c r="U92" t="e">
        <f t="shared" ca="1" si="19"/>
        <v>#NAME?</v>
      </c>
      <c r="V92" t="e">
        <f t="shared" ca="1" si="19"/>
        <v>#NAME?</v>
      </c>
      <c r="W92" t="e">
        <f t="shared" ca="1" si="19"/>
        <v>#NAME?</v>
      </c>
      <c r="X92" t="e">
        <f t="shared" ca="1" si="19"/>
        <v>#NAME?</v>
      </c>
      <c r="Z92" s="15">
        <v>0.75</v>
      </c>
    </row>
    <row r="93" spans="1:26">
      <c r="A93" s="22" t="s">
        <v>174</v>
      </c>
      <c r="B93" s="25"/>
      <c r="C93" s="25"/>
      <c r="D93" s="25" t="s">
        <v>141</v>
      </c>
      <c r="E93" s="25"/>
      <c r="F93" s="25"/>
      <c r="G93" s="25"/>
      <c r="H93" s="28" t="s">
        <v>119</v>
      </c>
      <c r="J93" t="e">
        <f t="shared" ca="1" si="18"/>
        <v>#NAME?</v>
      </c>
      <c r="K93" t="e">
        <f t="shared" ca="1" si="18"/>
        <v>#NAME?</v>
      </c>
      <c r="L93" t="e">
        <f t="shared" ca="1" si="18"/>
        <v>#NAME?</v>
      </c>
      <c r="M93" t="e">
        <f t="shared" ca="1" si="18"/>
        <v>#NAME?</v>
      </c>
      <c r="N93" t="e">
        <f t="shared" ca="1" si="18"/>
        <v>#NAME?</v>
      </c>
      <c r="O93" t="e">
        <f t="shared" ca="1" si="18"/>
        <v>#NAME?</v>
      </c>
      <c r="P93" t="e">
        <f t="shared" ca="1" si="18"/>
        <v>#NAME?</v>
      </c>
      <c r="R93" t="e">
        <f t="shared" ca="1" si="19"/>
        <v>#NAME?</v>
      </c>
      <c r="S93" t="e">
        <f t="shared" ca="1" si="19"/>
        <v>#NAME?</v>
      </c>
      <c r="T93" t="e">
        <f t="shared" ca="1" si="19"/>
        <v>#NAME?</v>
      </c>
      <c r="U93" t="e">
        <f t="shared" ca="1" si="19"/>
        <v>#NAME?</v>
      </c>
      <c r="V93" t="e">
        <f t="shared" ca="1" si="19"/>
        <v>#NAME?</v>
      </c>
      <c r="W93" t="e">
        <f t="shared" ca="1" si="19"/>
        <v>#NAME?</v>
      </c>
      <c r="X93" t="e">
        <f t="shared" ca="1" si="19"/>
        <v>#NAME?</v>
      </c>
      <c r="Z93" s="15">
        <v>0.75</v>
      </c>
    </row>
    <row r="94" spans="1:26">
      <c r="A94" s="22" t="s">
        <v>175</v>
      </c>
      <c r="B94" s="120" t="s">
        <v>116</v>
      </c>
      <c r="C94" s="25"/>
      <c r="D94" s="25" t="s">
        <v>141</v>
      </c>
      <c r="E94" s="25"/>
      <c r="F94" s="25"/>
      <c r="G94" s="121" t="s">
        <v>118</v>
      </c>
      <c r="H94" s="110" t="s">
        <v>142</v>
      </c>
      <c r="J94" t="e">
        <f t="shared" ca="1" si="18"/>
        <v>#NAME?</v>
      </c>
      <c r="K94" t="e">
        <f t="shared" ca="1" si="18"/>
        <v>#NAME?</v>
      </c>
      <c r="L94" t="e">
        <f t="shared" ca="1" si="18"/>
        <v>#NAME?</v>
      </c>
      <c r="M94" t="e">
        <f t="shared" ca="1" si="18"/>
        <v>#NAME?</v>
      </c>
      <c r="N94" t="e">
        <f t="shared" ca="1" si="18"/>
        <v>#NAME?</v>
      </c>
      <c r="O94" t="e">
        <f t="shared" ca="1" si="18"/>
        <v>#NAME?</v>
      </c>
      <c r="P94" t="e">
        <f t="shared" ca="1" si="18"/>
        <v>#NAME?</v>
      </c>
      <c r="R94" t="e">
        <f t="shared" ca="1" si="19"/>
        <v>#NAME?</v>
      </c>
      <c r="S94" t="e">
        <f t="shared" ca="1" si="19"/>
        <v>#NAME?</v>
      </c>
      <c r="T94" t="e">
        <f t="shared" ca="1" si="19"/>
        <v>#NAME?</v>
      </c>
      <c r="U94" t="e">
        <f t="shared" ca="1" si="19"/>
        <v>#NAME?</v>
      </c>
      <c r="V94" t="e">
        <f t="shared" ca="1" si="19"/>
        <v>#NAME?</v>
      </c>
      <c r="W94" t="e">
        <f t="shared" ca="1" si="19"/>
        <v>#NAME?</v>
      </c>
      <c r="X94" t="e">
        <f t="shared" ca="1" si="19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121" t="s">
        <v>116</v>
      </c>
      <c r="H95" s="25"/>
      <c r="J95" t="e">
        <f t="shared" ca="1" si="18"/>
        <v>#NAME?</v>
      </c>
      <c r="K95" t="e">
        <f t="shared" ca="1" si="18"/>
        <v>#NAME?</v>
      </c>
      <c r="L95" t="e">
        <f t="shared" ca="1" si="18"/>
        <v>#NAME?</v>
      </c>
      <c r="M95" t="e">
        <f t="shared" ca="1" si="18"/>
        <v>#NAME?</v>
      </c>
      <c r="N95" t="e">
        <f t="shared" ca="1" si="18"/>
        <v>#NAME?</v>
      </c>
      <c r="O95" t="e">
        <f t="shared" ca="1" si="18"/>
        <v>#NAME?</v>
      </c>
      <c r="P95" t="e">
        <f t="shared" ca="1" si="18"/>
        <v>#NAME?</v>
      </c>
      <c r="R95" t="e">
        <f t="shared" ca="1" si="19"/>
        <v>#NAME?</v>
      </c>
      <c r="S95" t="e">
        <f t="shared" ca="1" si="19"/>
        <v>#NAME?</v>
      </c>
      <c r="T95" t="e">
        <f t="shared" ca="1" si="19"/>
        <v>#NAME?</v>
      </c>
      <c r="U95" t="e">
        <f t="shared" ca="1" si="19"/>
        <v>#NAME?</v>
      </c>
      <c r="V95" t="e">
        <f t="shared" ca="1" si="19"/>
        <v>#NAME?</v>
      </c>
      <c r="W95" t="e">
        <f t="shared" ca="1" si="19"/>
        <v>#NAME?</v>
      </c>
      <c r="X95" t="e">
        <f t="shared" ca="1" si="19"/>
        <v>#NAME?</v>
      </c>
      <c r="Z95" s="15">
        <v>0.25</v>
      </c>
    </row>
    <row r="96" spans="1:26" ht="15" customHeight="1">
      <c r="A96" s="22" t="s">
        <v>177</v>
      </c>
      <c r="B96" s="28" t="s">
        <v>115</v>
      </c>
      <c r="C96" s="25"/>
      <c r="D96" s="25" t="s">
        <v>141</v>
      </c>
      <c r="E96" s="25"/>
      <c r="F96" s="110" t="s">
        <v>139</v>
      </c>
      <c r="G96" s="25" t="s">
        <v>152</v>
      </c>
      <c r="H96" s="25" t="s">
        <v>152</v>
      </c>
      <c r="J96" t="e">
        <f t="shared" ca="1" si="18"/>
        <v>#NAME?</v>
      </c>
      <c r="K96" t="e">
        <f t="shared" ca="1" si="18"/>
        <v>#NAME?</v>
      </c>
      <c r="L96" t="e">
        <f t="shared" ca="1" si="18"/>
        <v>#NAME?</v>
      </c>
      <c r="M96" t="e">
        <f t="shared" ca="1" si="18"/>
        <v>#NAME?</v>
      </c>
      <c r="N96" t="e">
        <f t="shared" ca="1" si="18"/>
        <v>#NAME?</v>
      </c>
      <c r="O96" t="e">
        <f t="shared" ca="1" si="18"/>
        <v>#NAME?</v>
      </c>
      <c r="P96" t="e">
        <f t="shared" ca="1" si="18"/>
        <v>#NAME?</v>
      </c>
      <c r="R96" t="e">
        <f t="shared" ca="1" si="19"/>
        <v>#NAME?</v>
      </c>
      <c r="S96" t="e">
        <f t="shared" ca="1" si="19"/>
        <v>#NAME?</v>
      </c>
      <c r="T96" t="e">
        <f t="shared" ca="1" si="19"/>
        <v>#NAME?</v>
      </c>
      <c r="U96" t="e">
        <f t="shared" ca="1" si="19"/>
        <v>#NAME?</v>
      </c>
      <c r="V96" t="e">
        <f t="shared" ca="1" si="19"/>
        <v>#NAME?</v>
      </c>
      <c r="W96" t="e">
        <f t="shared" ca="1" si="19"/>
        <v>#NAME?</v>
      </c>
      <c r="X96" t="e">
        <f t="shared" ca="1" si="19"/>
        <v>#NAME?</v>
      </c>
      <c r="Z96" s="15">
        <v>0.75</v>
      </c>
    </row>
    <row r="97" spans="1:26" ht="15" customHeight="1">
      <c r="A97" s="22" t="s">
        <v>178</v>
      </c>
      <c r="B97" s="121" t="s">
        <v>118</v>
      </c>
      <c r="C97" s="110" t="s">
        <v>142</v>
      </c>
      <c r="D97" s="25" t="s">
        <v>141</v>
      </c>
      <c r="E97" s="28" t="s">
        <v>115</v>
      </c>
      <c r="F97" s="120" t="s">
        <v>116</v>
      </c>
      <c r="G97" s="121" t="s">
        <v>116</v>
      </c>
      <c r="H97" s="25"/>
      <c r="J97" t="e">
        <f t="shared" ca="1" si="18"/>
        <v>#NAME?</v>
      </c>
      <c r="K97" t="e">
        <f t="shared" ca="1" si="18"/>
        <v>#NAME?</v>
      </c>
      <c r="L97" t="e">
        <f t="shared" ca="1" si="18"/>
        <v>#NAME?</v>
      </c>
      <c r="M97" t="e">
        <f t="shared" ca="1" si="18"/>
        <v>#NAME?</v>
      </c>
      <c r="N97" t="e">
        <f t="shared" ca="1" si="18"/>
        <v>#NAME?</v>
      </c>
      <c r="O97" t="e">
        <f t="shared" ca="1" si="18"/>
        <v>#NAME?</v>
      </c>
      <c r="P97" t="e">
        <f t="shared" ca="1" si="18"/>
        <v>#NAME?</v>
      </c>
      <c r="R97" t="e">
        <f t="shared" ca="1" si="19"/>
        <v>#NAME?</v>
      </c>
      <c r="S97" t="e">
        <f t="shared" ca="1" si="19"/>
        <v>#NAME?</v>
      </c>
      <c r="T97" t="e">
        <f t="shared" ca="1" si="19"/>
        <v>#NAME?</v>
      </c>
      <c r="U97" t="e">
        <f t="shared" ca="1" si="19"/>
        <v>#NAME?</v>
      </c>
      <c r="V97" t="e">
        <f t="shared" ca="1" si="19"/>
        <v>#NAME?</v>
      </c>
      <c r="W97" t="e">
        <f t="shared" ca="1" si="19"/>
        <v>#NAME?</v>
      </c>
      <c r="X97" t="e">
        <f t="shared" ca="1" si="19"/>
        <v>#NAME?</v>
      </c>
      <c r="Z97" s="15">
        <v>1</v>
      </c>
    </row>
    <row r="98" spans="1:26">
      <c r="A98" s="106" t="s">
        <v>179</v>
      </c>
      <c r="B98" s="107" t="str">
        <f t="shared" ref="B98:H98" si="20">B58</f>
        <v>Mon 20 Jul</v>
      </c>
      <c r="C98" s="107" t="str">
        <f t="shared" si="20"/>
        <v>Tues 21 Jul</v>
      </c>
      <c r="D98" s="107" t="str">
        <f t="shared" si="20"/>
        <v>Wed 22 Jul</v>
      </c>
      <c r="E98" s="107" t="str">
        <f t="shared" si="20"/>
        <v>Thu 23 Jul</v>
      </c>
      <c r="F98" s="107" t="str">
        <f t="shared" si="20"/>
        <v>Fri 24 Jul</v>
      </c>
      <c r="G98" s="107" t="str">
        <f t="shared" si="20"/>
        <v>Sat 25 Jul</v>
      </c>
      <c r="H98" s="107" t="str">
        <f t="shared" si="20"/>
        <v>Sun 26 Jul</v>
      </c>
      <c r="J98" t="e">
        <f t="shared" ca="1" si="15"/>
        <v>#NAME?</v>
      </c>
      <c r="K98" t="e">
        <f t="shared" ca="1" si="15"/>
        <v>#NAME?</v>
      </c>
      <c r="L98" t="e">
        <f t="shared" ca="1" si="15"/>
        <v>#NAME?</v>
      </c>
      <c r="M98" t="e">
        <f t="shared" ca="1" si="15"/>
        <v>#NAME?</v>
      </c>
      <c r="N98" t="e">
        <f t="shared" ca="1" si="15"/>
        <v>#NAME?</v>
      </c>
      <c r="O98" t="e">
        <f t="shared" ca="1" si="15"/>
        <v>#NAME?</v>
      </c>
      <c r="P98" t="e">
        <f t="shared" ca="1" si="15"/>
        <v>#NAME?</v>
      </c>
      <c r="R98" t="e">
        <f t="shared" ca="1" si="16"/>
        <v>#NAME?</v>
      </c>
      <c r="S98" t="e">
        <f t="shared" ca="1" si="16"/>
        <v>#NAME?</v>
      </c>
      <c r="T98" t="e">
        <f t="shared" ca="1" si="16"/>
        <v>#NAME?</v>
      </c>
      <c r="U98" t="e">
        <f t="shared" ca="1" si="16"/>
        <v>#NAME?</v>
      </c>
      <c r="V98" t="e">
        <f t="shared" ca="1" si="16"/>
        <v>#NAME?</v>
      </c>
      <c r="W98" t="e">
        <f t="shared" ca="1" si="16"/>
        <v>#NAME?</v>
      </c>
      <c r="X98" t="e">
        <f t="shared" ca="1" si="16"/>
        <v>#NAME?</v>
      </c>
      <c r="Z98" s="54">
        <f>SUM(Z76:Z97)</f>
        <v>18.25</v>
      </c>
    </row>
    <row r="99" spans="1:26">
      <c r="A99" s="22" t="s">
        <v>180</v>
      </c>
      <c r="B99" s="25"/>
      <c r="C99" s="25"/>
      <c r="D99" s="25"/>
      <c r="E99" s="25"/>
      <c r="F99" s="25"/>
      <c r="G99" s="110" t="s">
        <v>182</v>
      </c>
      <c r="H99" s="110" t="s">
        <v>182</v>
      </c>
      <c r="J99" t="e">
        <f t="shared" ca="1" si="15"/>
        <v>#NAME?</v>
      </c>
      <c r="K99" t="e">
        <f t="shared" ca="1" si="15"/>
        <v>#NAME?</v>
      </c>
      <c r="L99" t="e">
        <f t="shared" ca="1" si="15"/>
        <v>#NAME?</v>
      </c>
      <c r="M99" t="e">
        <f t="shared" ca="1" si="15"/>
        <v>#NAME?</v>
      </c>
      <c r="N99" t="e">
        <f t="shared" ca="1" si="15"/>
        <v>#NAME?</v>
      </c>
      <c r="O99" t="e">
        <f t="shared" ca="1" si="15"/>
        <v>#NAME?</v>
      </c>
      <c r="P99" t="e">
        <f t="shared" ca="1" si="15"/>
        <v>#NAME?</v>
      </c>
      <c r="R99" t="e">
        <f t="shared" ca="1" si="16"/>
        <v>#NAME?</v>
      </c>
      <c r="S99" t="e">
        <f t="shared" ca="1" si="16"/>
        <v>#NAME?</v>
      </c>
      <c r="T99" t="e">
        <f t="shared" ca="1" si="16"/>
        <v>#NAME?</v>
      </c>
      <c r="U99" t="e">
        <f t="shared" ca="1" si="16"/>
        <v>#NAME?</v>
      </c>
      <c r="V99" t="e">
        <f t="shared" ca="1" si="16"/>
        <v>#NAME?</v>
      </c>
      <c r="W99" t="e">
        <f t="shared" ca="1" si="16"/>
        <v>#NAME?</v>
      </c>
      <c r="X99" t="e">
        <f t="shared" ca="1" si="16"/>
        <v>#NAME?</v>
      </c>
      <c r="Z99" s="15">
        <v>1</v>
      </c>
    </row>
    <row r="100" spans="1:26">
      <c r="A100" s="22" t="s">
        <v>183</v>
      </c>
      <c r="B100" s="25" t="s">
        <v>152</v>
      </c>
      <c r="C100" s="25" t="s">
        <v>152</v>
      </c>
      <c r="D100" s="25" t="s">
        <v>152</v>
      </c>
      <c r="E100" s="25" t="s">
        <v>152</v>
      </c>
      <c r="F100" s="25"/>
      <c r="G100" s="25"/>
      <c r="H100" s="25"/>
      <c r="J100" t="e">
        <f t="shared" ca="1" si="15"/>
        <v>#NAME?</v>
      </c>
      <c r="K100" t="e">
        <f t="shared" ca="1" si="15"/>
        <v>#NAME?</v>
      </c>
      <c r="L100" t="e">
        <f t="shared" ca="1" si="15"/>
        <v>#NAME?</v>
      </c>
      <c r="M100" t="e">
        <f t="shared" ca="1" si="15"/>
        <v>#NAME?</v>
      </c>
      <c r="N100" t="e">
        <f t="shared" ca="1" si="15"/>
        <v>#NAME?</v>
      </c>
      <c r="O100" t="e">
        <f t="shared" ca="1" si="15"/>
        <v>#NAME?</v>
      </c>
      <c r="P100" t="e">
        <f t="shared" ca="1" si="15"/>
        <v>#NAME?</v>
      </c>
      <c r="R100" t="e">
        <f t="shared" ca="1" si="16"/>
        <v>#NAME?</v>
      </c>
      <c r="S100" t="e">
        <f t="shared" ca="1" si="16"/>
        <v>#NAME?</v>
      </c>
      <c r="T100" t="e">
        <f t="shared" ca="1" si="16"/>
        <v>#NAME?</v>
      </c>
      <c r="U100" t="e">
        <f t="shared" ca="1" si="16"/>
        <v>#NAME?</v>
      </c>
      <c r="V100" t="e">
        <f t="shared" ca="1" si="16"/>
        <v>#NAME?</v>
      </c>
      <c r="W100" t="e">
        <f t="shared" ca="1" si="16"/>
        <v>#NAME?</v>
      </c>
      <c r="X100" t="e">
        <f t="shared" ca="1" si="16"/>
        <v>#NAME?</v>
      </c>
      <c r="Z100" s="15">
        <v>1</v>
      </c>
    </row>
    <row r="101" spans="1:26">
      <c r="A101" s="106" t="s">
        <v>184</v>
      </c>
      <c r="B101" s="107" t="str">
        <f t="shared" ref="B101:H101" si="21">B58</f>
        <v>Mon 20 Jul</v>
      </c>
      <c r="C101" s="107" t="str">
        <f t="shared" si="21"/>
        <v>Tues 21 Jul</v>
      </c>
      <c r="D101" s="107" t="str">
        <f t="shared" si="21"/>
        <v>Wed 22 Jul</v>
      </c>
      <c r="E101" s="107" t="str">
        <f t="shared" si="21"/>
        <v>Thu 23 Jul</v>
      </c>
      <c r="F101" s="107" t="str">
        <f t="shared" si="21"/>
        <v>Fri 24 Jul</v>
      </c>
      <c r="G101" s="107" t="str">
        <f t="shared" si="21"/>
        <v>Sat 25 Jul</v>
      </c>
      <c r="H101" s="107" t="str">
        <f t="shared" si="21"/>
        <v>Sun 26 Jul</v>
      </c>
      <c r="J101" t="e">
        <f t="shared" ca="1" si="15"/>
        <v>#NAME?</v>
      </c>
      <c r="K101" t="e">
        <f t="shared" ref="K101:P137" ca="1" si="22">colorindex(C101)</f>
        <v>#NAME?</v>
      </c>
      <c r="L101" t="e">
        <f t="shared" ca="1" si="22"/>
        <v>#NAME?</v>
      </c>
      <c r="M101" t="e">
        <f t="shared" ca="1" si="22"/>
        <v>#NAME?</v>
      </c>
      <c r="N101" t="e">
        <f t="shared" ca="1" si="22"/>
        <v>#NAME?</v>
      </c>
      <c r="O101" t="e">
        <f t="shared" ca="1" si="22"/>
        <v>#NAME?</v>
      </c>
      <c r="P101" t="e">
        <f t="shared" ca="1" si="22"/>
        <v>#NAME?</v>
      </c>
      <c r="R101" t="e">
        <f t="shared" ca="1" si="16"/>
        <v>#NAME?</v>
      </c>
      <c r="S101" t="e">
        <f t="shared" ref="S101:X137" ca="1" si="23">ShiftIndex(C101)</f>
        <v>#NAME?</v>
      </c>
      <c r="T101" t="e">
        <f t="shared" ca="1" si="23"/>
        <v>#NAME?</v>
      </c>
      <c r="U101" t="e">
        <f t="shared" ca="1" si="23"/>
        <v>#NAME?</v>
      </c>
      <c r="V101" t="e">
        <f t="shared" ca="1" si="23"/>
        <v>#NAME?</v>
      </c>
      <c r="W101" t="e">
        <f t="shared" ca="1" si="23"/>
        <v>#NAME?</v>
      </c>
      <c r="X101" t="e">
        <f t="shared" ca="1" si="23"/>
        <v>#NAME?</v>
      </c>
      <c r="Z101" s="53">
        <f>SUM(Z99:Z100)</f>
        <v>2</v>
      </c>
    </row>
    <row r="102" spans="1:26">
      <c r="A102" s="22" t="s">
        <v>185</v>
      </c>
      <c r="B102" s="127" t="s">
        <v>18</v>
      </c>
      <c r="C102" s="128"/>
      <c r="D102" s="128"/>
      <c r="E102" s="128"/>
      <c r="F102" s="128"/>
      <c r="G102" s="128"/>
      <c r="H102" s="129"/>
      <c r="J102" t="e">
        <f t="shared" ref="J102:M140" ca="1" si="24">colorindex(B102)</f>
        <v>#NAME?</v>
      </c>
      <c r="K102" t="e">
        <f t="shared" ca="1" si="22"/>
        <v>#NAME?</v>
      </c>
      <c r="L102" t="e">
        <f t="shared" ca="1" si="22"/>
        <v>#NAME?</v>
      </c>
      <c r="M102" t="e">
        <f t="shared" ca="1" si="22"/>
        <v>#NAME?</v>
      </c>
      <c r="N102" t="e">
        <f t="shared" ca="1" si="22"/>
        <v>#NAME?</v>
      </c>
      <c r="O102" t="e">
        <f t="shared" ca="1" si="22"/>
        <v>#NAME?</v>
      </c>
      <c r="P102" t="e">
        <f t="shared" ca="1" si="22"/>
        <v>#NAME?</v>
      </c>
      <c r="R102" t="e">
        <f t="shared" ref="R102:U140" ca="1" si="25">ShiftIndex(B102)</f>
        <v>#NAME?</v>
      </c>
      <c r="S102" t="e">
        <f t="shared" ca="1" si="23"/>
        <v>#NAME?</v>
      </c>
      <c r="T102" t="e">
        <f t="shared" ca="1" si="23"/>
        <v>#NAME?</v>
      </c>
      <c r="U102" t="e">
        <f t="shared" ca="1" si="23"/>
        <v>#NAME?</v>
      </c>
      <c r="V102" t="e">
        <f t="shared" ca="1" si="23"/>
        <v>#NAME?</v>
      </c>
      <c r="W102" t="e">
        <f t="shared" ca="1" si="23"/>
        <v>#NAME?</v>
      </c>
      <c r="X102" t="e">
        <f t="shared" ca="1" si="23"/>
        <v>#NAME?</v>
      </c>
      <c r="Z102" s="15">
        <v>1</v>
      </c>
    </row>
    <row r="103" spans="1:26">
      <c r="A103" s="22" t="s">
        <v>187</v>
      </c>
      <c r="B103" s="44" t="s">
        <v>189</v>
      </c>
      <c r="C103" s="25"/>
      <c r="D103" s="120" t="s">
        <v>118</v>
      </c>
      <c r="E103" s="121" t="s">
        <v>118</v>
      </c>
      <c r="F103" s="120" t="s">
        <v>118</v>
      </c>
      <c r="G103" s="25"/>
      <c r="H103" s="25"/>
      <c r="J103" t="e">
        <f t="shared" ca="1" si="24"/>
        <v>#NAME?</v>
      </c>
      <c r="K103" t="e">
        <f t="shared" ca="1" si="22"/>
        <v>#NAME?</v>
      </c>
      <c r="L103" t="e">
        <f t="shared" ca="1" si="22"/>
        <v>#NAME?</v>
      </c>
      <c r="M103" t="e">
        <f t="shared" ca="1" si="22"/>
        <v>#NAME?</v>
      </c>
      <c r="N103" t="e">
        <f t="shared" ca="1" si="22"/>
        <v>#NAME?</v>
      </c>
      <c r="O103" t="e">
        <f t="shared" ca="1" si="22"/>
        <v>#NAME?</v>
      </c>
      <c r="P103" t="e">
        <f t="shared" ca="1" si="22"/>
        <v>#NAME?</v>
      </c>
      <c r="R103" t="e">
        <f t="shared" ca="1" si="25"/>
        <v>#NAME?</v>
      </c>
      <c r="S103" t="e">
        <f t="shared" ca="1" si="23"/>
        <v>#NAME?</v>
      </c>
      <c r="T103" t="e">
        <f t="shared" ca="1" si="23"/>
        <v>#NAME?</v>
      </c>
      <c r="U103" t="e">
        <f t="shared" ca="1" si="23"/>
        <v>#NAME?</v>
      </c>
      <c r="V103" t="e">
        <f t="shared" ca="1" si="23"/>
        <v>#NAME?</v>
      </c>
      <c r="W103" t="e">
        <f t="shared" ca="1" si="23"/>
        <v>#NAME?</v>
      </c>
      <c r="X103" t="e">
        <f t="shared" ca="1" si="23"/>
        <v>#NAME?</v>
      </c>
      <c r="Z103" s="15">
        <v>1</v>
      </c>
    </row>
    <row r="104" spans="1:26">
      <c r="A104" s="22" t="s">
        <v>188</v>
      </c>
      <c r="B104" s="120" t="s">
        <v>118</v>
      </c>
      <c r="C104" s="121" t="s">
        <v>118</v>
      </c>
      <c r="D104" s="25"/>
      <c r="E104" s="25"/>
      <c r="F104" s="25"/>
      <c r="G104" s="101" t="s">
        <v>116</v>
      </c>
      <c r="H104" s="44" t="s">
        <v>189</v>
      </c>
      <c r="J104" t="e">
        <f t="shared" ca="1" si="24"/>
        <v>#NAME?</v>
      </c>
      <c r="K104" t="e">
        <f t="shared" ca="1" si="22"/>
        <v>#NAME?</v>
      </c>
      <c r="L104" t="e">
        <f t="shared" ca="1" si="22"/>
        <v>#NAME?</v>
      </c>
      <c r="M104" t="e">
        <f t="shared" ca="1" si="22"/>
        <v>#NAME?</v>
      </c>
      <c r="N104" t="e">
        <f t="shared" ca="1" si="22"/>
        <v>#NAME?</v>
      </c>
      <c r="O104" t="e">
        <f t="shared" ca="1" si="22"/>
        <v>#NAME?</v>
      </c>
      <c r="P104" t="e">
        <f t="shared" ca="1" si="22"/>
        <v>#NAME?</v>
      </c>
      <c r="R104" t="e">
        <f t="shared" ca="1" si="25"/>
        <v>#NAME?</v>
      </c>
      <c r="S104" t="e">
        <f t="shared" ca="1" si="23"/>
        <v>#NAME?</v>
      </c>
      <c r="T104" t="e">
        <f t="shared" ca="1" si="23"/>
        <v>#NAME?</v>
      </c>
      <c r="U104" t="e">
        <f t="shared" ca="1" si="23"/>
        <v>#NAME?</v>
      </c>
      <c r="V104" t="e">
        <f t="shared" ca="1" si="23"/>
        <v>#NAME?</v>
      </c>
      <c r="W104" t="e">
        <f t="shared" ca="1" si="23"/>
        <v>#NAME?</v>
      </c>
      <c r="X104" t="e">
        <f t="shared" ca="1" si="23"/>
        <v>#NAME?</v>
      </c>
      <c r="Z104" s="15">
        <v>1</v>
      </c>
    </row>
    <row r="105" spans="1:26">
      <c r="A105" s="22" t="s">
        <v>190</v>
      </c>
      <c r="B105" s="25"/>
      <c r="C105" s="120" t="s">
        <v>118</v>
      </c>
      <c r="D105" s="44" t="s">
        <v>186</v>
      </c>
      <c r="E105" s="101" t="s">
        <v>116</v>
      </c>
      <c r="F105" s="121" t="s">
        <v>116</v>
      </c>
      <c r="G105" s="25"/>
      <c r="H105" s="25"/>
      <c r="J105" t="e">
        <f t="shared" ca="1" si="24"/>
        <v>#NAME?</v>
      </c>
      <c r="K105" t="e">
        <f t="shared" ca="1" si="22"/>
        <v>#NAME?</v>
      </c>
      <c r="L105" t="e">
        <f t="shared" ca="1" si="22"/>
        <v>#NAME?</v>
      </c>
      <c r="M105" t="e">
        <f t="shared" ca="1" si="22"/>
        <v>#NAME?</v>
      </c>
      <c r="N105" t="e">
        <f t="shared" ca="1" si="22"/>
        <v>#NAME?</v>
      </c>
      <c r="O105" t="e">
        <f t="shared" ca="1" si="22"/>
        <v>#NAME?</v>
      </c>
      <c r="P105" t="e">
        <f t="shared" ca="1" si="22"/>
        <v>#NAME?</v>
      </c>
      <c r="R105" t="e">
        <f t="shared" ca="1" si="25"/>
        <v>#NAME?</v>
      </c>
      <c r="S105" t="e">
        <f t="shared" ca="1" si="23"/>
        <v>#NAME?</v>
      </c>
      <c r="T105" t="e">
        <f t="shared" ca="1" si="23"/>
        <v>#NAME?</v>
      </c>
      <c r="U105" t="e">
        <f t="shared" ca="1" si="23"/>
        <v>#NAME?</v>
      </c>
      <c r="V105" t="e">
        <f t="shared" ca="1" si="23"/>
        <v>#NAME?</v>
      </c>
      <c r="W105" t="e">
        <f t="shared" ca="1" si="23"/>
        <v>#NAME?</v>
      </c>
      <c r="X105" t="e">
        <f t="shared" ca="1" si="23"/>
        <v>#NAME?</v>
      </c>
      <c r="Z105" s="15">
        <v>1</v>
      </c>
    </row>
    <row r="106" spans="1:26">
      <c r="A106" s="22" t="s">
        <v>191</v>
      </c>
      <c r="B106" s="110" t="s">
        <v>139</v>
      </c>
      <c r="C106" s="25"/>
      <c r="D106" s="121" t="s">
        <v>118</v>
      </c>
      <c r="E106" s="120" t="s">
        <v>118</v>
      </c>
      <c r="F106" s="101" t="s">
        <v>116</v>
      </c>
      <c r="G106" s="25"/>
      <c r="H106" s="25"/>
      <c r="J106" t="e">
        <f t="shared" ca="1" si="24"/>
        <v>#NAME?</v>
      </c>
      <c r="K106" t="e">
        <f t="shared" ca="1" si="22"/>
        <v>#NAME?</v>
      </c>
      <c r="L106" t="e">
        <f t="shared" ca="1" si="22"/>
        <v>#NAME?</v>
      </c>
      <c r="M106" t="e">
        <f t="shared" ca="1" si="22"/>
        <v>#NAME?</v>
      </c>
      <c r="N106" t="e">
        <f t="shared" ca="1" si="22"/>
        <v>#NAME?</v>
      </c>
      <c r="O106" t="e">
        <f t="shared" ca="1" si="22"/>
        <v>#NAME?</v>
      </c>
      <c r="P106" t="e">
        <f t="shared" ca="1" si="22"/>
        <v>#NAME?</v>
      </c>
      <c r="R106" t="e">
        <f t="shared" ca="1" si="25"/>
        <v>#NAME?</v>
      </c>
      <c r="S106" t="e">
        <f t="shared" ca="1" si="23"/>
        <v>#NAME?</v>
      </c>
      <c r="T106" t="e">
        <f t="shared" ca="1" si="23"/>
        <v>#NAME?</v>
      </c>
      <c r="U106" t="e">
        <f t="shared" ca="1" si="23"/>
        <v>#NAME?</v>
      </c>
      <c r="V106" t="e">
        <f t="shared" ca="1" si="23"/>
        <v>#NAME?</v>
      </c>
      <c r="W106" t="e">
        <f t="shared" ca="1" si="23"/>
        <v>#NAME?</v>
      </c>
      <c r="X106" t="e">
        <f t="shared" ca="1" si="23"/>
        <v>#NAME?</v>
      </c>
      <c r="Z106" s="15">
        <v>1</v>
      </c>
    </row>
    <row r="107" spans="1:26">
      <c r="A107" s="22" t="s">
        <v>192</v>
      </c>
      <c r="B107" s="25"/>
      <c r="C107" s="25"/>
      <c r="D107" s="110" t="s">
        <v>139</v>
      </c>
      <c r="E107" s="25"/>
      <c r="F107" s="25"/>
      <c r="G107" s="120" t="s">
        <v>116</v>
      </c>
      <c r="H107" s="101" t="s">
        <v>116</v>
      </c>
      <c r="J107" t="e">
        <f t="shared" ca="1" si="24"/>
        <v>#NAME?</v>
      </c>
      <c r="K107" t="e">
        <f t="shared" ca="1" si="22"/>
        <v>#NAME?</v>
      </c>
      <c r="L107" t="e">
        <f t="shared" ca="1" si="22"/>
        <v>#NAME?</v>
      </c>
      <c r="M107" t="e">
        <f t="shared" ca="1" si="22"/>
        <v>#NAME?</v>
      </c>
      <c r="N107" t="e">
        <f t="shared" ca="1" si="22"/>
        <v>#NAME?</v>
      </c>
      <c r="O107" t="e">
        <f t="shared" ca="1" si="22"/>
        <v>#NAME?</v>
      </c>
      <c r="P107" t="e">
        <f t="shared" ca="1" si="22"/>
        <v>#NAME?</v>
      </c>
      <c r="R107" t="e">
        <f t="shared" ca="1" si="25"/>
        <v>#NAME?</v>
      </c>
      <c r="S107" t="e">
        <f t="shared" ca="1" si="23"/>
        <v>#NAME?</v>
      </c>
      <c r="T107" t="e">
        <f t="shared" ca="1" si="23"/>
        <v>#NAME?</v>
      </c>
      <c r="U107" t="e">
        <f t="shared" ca="1" si="23"/>
        <v>#NAME?</v>
      </c>
      <c r="V107" t="e">
        <f t="shared" ca="1" si="23"/>
        <v>#NAME?</v>
      </c>
      <c r="W107" t="e">
        <f t="shared" ca="1" si="23"/>
        <v>#NAME?</v>
      </c>
      <c r="X107" t="e">
        <f t="shared" ca="1" si="23"/>
        <v>#NAME?</v>
      </c>
      <c r="Z107" s="15">
        <v>0.875</v>
      </c>
    </row>
    <row r="108" spans="1:26">
      <c r="A108" s="22" t="s">
        <v>193</v>
      </c>
      <c r="B108" s="25"/>
      <c r="C108" s="25" t="s">
        <v>152</v>
      </c>
      <c r="D108" s="25" t="s">
        <v>152</v>
      </c>
      <c r="E108" s="25" t="s">
        <v>152</v>
      </c>
      <c r="F108" s="25" t="s">
        <v>152</v>
      </c>
      <c r="G108" s="25"/>
      <c r="H108" s="25"/>
      <c r="J108" t="e">
        <f t="shared" ca="1" si="24"/>
        <v>#NAME?</v>
      </c>
      <c r="K108" t="e">
        <f t="shared" ca="1" si="22"/>
        <v>#NAME?</v>
      </c>
      <c r="L108" t="e">
        <f t="shared" ca="1" si="22"/>
        <v>#NAME?</v>
      </c>
      <c r="M108" t="e">
        <f t="shared" ca="1" si="22"/>
        <v>#NAME?</v>
      </c>
      <c r="N108" t="e">
        <f t="shared" ca="1" si="22"/>
        <v>#NAME?</v>
      </c>
      <c r="O108" t="e">
        <f t="shared" ca="1" si="22"/>
        <v>#NAME?</v>
      </c>
      <c r="P108" t="e">
        <f t="shared" ca="1" si="22"/>
        <v>#NAME?</v>
      </c>
      <c r="R108" t="e">
        <f t="shared" ca="1" si="25"/>
        <v>#NAME?</v>
      </c>
      <c r="S108" t="e">
        <f t="shared" ca="1" si="23"/>
        <v>#NAME?</v>
      </c>
      <c r="T108" t="e">
        <f t="shared" ca="1" si="23"/>
        <v>#NAME?</v>
      </c>
      <c r="U108" t="e">
        <f t="shared" ca="1" si="23"/>
        <v>#NAME?</v>
      </c>
      <c r="V108" t="e">
        <f t="shared" ca="1" si="23"/>
        <v>#NAME?</v>
      </c>
      <c r="W108" t="e">
        <f t="shared" ca="1" si="23"/>
        <v>#NAME?</v>
      </c>
      <c r="X108" t="e">
        <f t="shared" ca="1" si="23"/>
        <v>#NAME?</v>
      </c>
      <c r="Z108" s="15">
        <v>1</v>
      </c>
    </row>
    <row r="109" spans="1:26">
      <c r="A109" s="22" t="s">
        <v>283</v>
      </c>
      <c r="B109" s="25" t="s">
        <v>152</v>
      </c>
      <c r="C109" s="25"/>
      <c r="D109" s="25"/>
      <c r="E109" s="25"/>
      <c r="F109" s="25"/>
      <c r="G109" s="44" t="s">
        <v>189</v>
      </c>
      <c r="H109" s="110" t="s">
        <v>139</v>
      </c>
      <c r="J109" t="e">
        <f t="shared" ca="1" si="24"/>
        <v>#NAME?</v>
      </c>
      <c r="K109" t="e">
        <f t="shared" ca="1" si="22"/>
        <v>#NAME?</v>
      </c>
      <c r="L109" t="e">
        <f t="shared" ca="1" si="22"/>
        <v>#NAME?</v>
      </c>
      <c r="M109" t="e">
        <f t="shared" ca="1" si="22"/>
        <v>#NAME?</v>
      </c>
      <c r="N109" t="e">
        <f t="shared" ca="1" si="22"/>
        <v>#NAME?</v>
      </c>
      <c r="O109" t="e">
        <f t="shared" ca="1" si="22"/>
        <v>#NAME?</v>
      </c>
      <c r="P109" t="e">
        <f t="shared" ca="1" si="22"/>
        <v>#NAME?</v>
      </c>
      <c r="R109" t="e">
        <f t="shared" ca="1" si="25"/>
        <v>#NAME?</v>
      </c>
      <c r="S109" t="e">
        <f t="shared" ca="1" si="23"/>
        <v>#NAME?</v>
      </c>
      <c r="T109" t="e">
        <f t="shared" ca="1" si="23"/>
        <v>#NAME?</v>
      </c>
      <c r="U109" t="e">
        <f t="shared" ca="1" si="23"/>
        <v>#NAME?</v>
      </c>
      <c r="V109" t="e">
        <f t="shared" ca="1" si="23"/>
        <v>#NAME?</v>
      </c>
      <c r="W109" t="e">
        <f t="shared" ca="1" si="23"/>
        <v>#NAME?</v>
      </c>
      <c r="X109" t="e">
        <f t="shared" ca="1" si="23"/>
        <v>#NAME?</v>
      </c>
      <c r="Z109" s="15">
        <v>1</v>
      </c>
    </row>
    <row r="110" spans="1:26">
      <c r="A110" s="22" t="s">
        <v>195</v>
      </c>
      <c r="B110" s="25"/>
      <c r="C110" s="25"/>
      <c r="D110" s="25"/>
      <c r="E110" s="121" t="s">
        <v>118</v>
      </c>
      <c r="F110" s="44" t="s">
        <v>189</v>
      </c>
      <c r="G110" s="25" t="s">
        <v>152</v>
      </c>
      <c r="H110" s="25" t="s">
        <v>152</v>
      </c>
      <c r="J110" t="e">
        <f t="shared" ca="1" si="24"/>
        <v>#NAME?</v>
      </c>
      <c r="K110" t="e">
        <f t="shared" ca="1" si="22"/>
        <v>#NAME?</v>
      </c>
      <c r="L110" t="e">
        <f t="shared" ca="1" si="22"/>
        <v>#NAME?</v>
      </c>
      <c r="M110" t="e">
        <f t="shared" ca="1" si="22"/>
        <v>#NAME?</v>
      </c>
      <c r="N110" t="e">
        <f t="shared" ca="1" si="22"/>
        <v>#NAME?</v>
      </c>
      <c r="O110" t="e">
        <f t="shared" ca="1" si="22"/>
        <v>#NAME?</v>
      </c>
      <c r="P110" t="e">
        <f t="shared" ca="1" si="22"/>
        <v>#NAME?</v>
      </c>
      <c r="R110" t="e">
        <f t="shared" ca="1" si="25"/>
        <v>#NAME?</v>
      </c>
      <c r="S110" t="e">
        <f t="shared" ca="1" si="23"/>
        <v>#NAME?</v>
      </c>
      <c r="T110" t="e">
        <f t="shared" ca="1" si="23"/>
        <v>#NAME?</v>
      </c>
      <c r="U110" t="e">
        <f t="shared" ca="1" si="23"/>
        <v>#NAME?</v>
      </c>
      <c r="V110" t="e">
        <f t="shared" ca="1" si="23"/>
        <v>#NAME?</v>
      </c>
      <c r="W110" t="e">
        <f t="shared" ca="1" si="23"/>
        <v>#NAME?</v>
      </c>
      <c r="X110" t="e">
        <f t="shared" ca="1" si="23"/>
        <v>#NAME?</v>
      </c>
      <c r="Z110" s="15">
        <v>0.5</v>
      </c>
    </row>
    <row r="111" spans="1:26">
      <c r="A111" s="42" t="s">
        <v>196</v>
      </c>
      <c r="B111" s="25"/>
      <c r="C111" s="25"/>
      <c r="D111" s="120" t="s">
        <v>116</v>
      </c>
      <c r="E111" s="25"/>
      <c r="F111" s="121" t="s">
        <v>118</v>
      </c>
      <c r="G111" s="25"/>
      <c r="H111" s="25"/>
      <c r="J111" t="e">
        <f t="shared" ca="1" si="24"/>
        <v>#NAME?</v>
      </c>
      <c r="K111" t="e">
        <f t="shared" ca="1" si="22"/>
        <v>#NAME?</v>
      </c>
      <c r="L111" t="e">
        <f t="shared" ca="1" si="22"/>
        <v>#NAME?</v>
      </c>
      <c r="M111" t="e">
        <f t="shared" ca="1" si="22"/>
        <v>#NAME?</v>
      </c>
      <c r="N111" t="e">
        <f t="shared" ca="1" si="22"/>
        <v>#NAME?</v>
      </c>
      <c r="O111" t="e">
        <f t="shared" ca="1" si="22"/>
        <v>#NAME?</v>
      </c>
      <c r="P111" t="e">
        <f t="shared" ca="1" si="22"/>
        <v>#NAME?</v>
      </c>
      <c r="R111" t="e">
        <f t="shared" ca="1" si="25"/>
        <v>#NAME?</v>
      </c>
      <c r="S111" t="e">
        <f t="shared" ca="1" si="23"/>
        <v>#NAME?</v>
      </c>
      <c r="T111" t="e">
        <f t="shared" ca="1" si="23"/>
        <v>#NAME?</v>
      </c>
      <c r="U111" t="e">
        <f t="shared" ca="1" si="23"/>
        <v>#NAME?</v>
      </c>
      <c r="V111" t="e">
        <f t="shared" ca="1" si="23"/>
        <v>#NAME?</v>
      </c>
      <c r="W111" t="e">
        <f t="shared" ca="1" si="23"/>
        <v>#NAME?</v>
      </c>
      <c r="X111" t="e">
        <f t="shared" ca="1" si="23"/>
        <v>#NAME?</v>
      </c>
      <c r="Z111" s="15">
        <v>0.5</v>
      </c>
    </row>
    <row r="112" spans="1:26">
      <c r="A112" s="22" t="s">
        <v>197</v>
      </c>
      <c r="B112" s="127" t="s">
        <v>18</v>
      </c>
      <c r="C112" s="128"/>
      <c r="D112" s="128"/>
      <c r="E112" s="128"/>
      <c r="F112" s="128"/>
      <c r="G112" s="128"/>
      <c r="H112" s="129"/>
      <c r="J112" t="e">
        <f t="shared" ca="1" si="24"/>
        <v>#NAME?</v>
      </c>
      <c r="K112" t="e">
        <f t="shared" ca="1" si="22"/>
        <v>#NAME?</v>
      </c>
      <c r="L112" t="e">
        <f t="shared" ca="1" si="22"/>
        <v>#NAME?</v>
      </c>
      <c r="M112" t="e">
        <f t="shared" ca="1" si="22"/>
        <v>#NAME?</v>
      </c>
      <c r="N112" t="e">
        <f t="shared" ca="1" si="22"/>
        <v>#NAME?</v>
      </c>
      <c r="O112" t="e">
        <f t="shared" ca="1" si="22"/>
        <v>#NAME?</v>
      </c>
      <c r="P112" t="e">
        <f t="shared" ca="1" si="22"/>
        <v>#NAME?</v>
      </c>
      <c r="R112" t="e">
        <f t="shared" ca="1" si="25"/>
        <v>#NAME?</v>
      </c>
      <c r="S112" t="e">
        <f t="shared" ca="1" si="23"/>
        <v>#NAME?</v>
      </c>
      <c r="T112" t="e">
        <f t="shared" ca="1" si="23"/>
        <v>#NAME?</v>
      </c>
      <c r="U112" t="e">
        <f t="shared" ca="1" si="23"/>
        <v>#NAME?</v>
      </c>
      <c r="V112" t="e">
        <f t="shared" ca="1" si="23"/>
        <v>#NAME?</v>
      </c>
      <c r="W112" t="e">
        <f t="shared" ca="1" si="23"/>
        <v>#NAME?</v>
      </c>
      <c r="X112" t="e">
        <f t="shared" ca="1" si="23"/>
        <v>#NAME?</v>
      </c>
      <c r="Z112" s="15">
        <v>0.5</v>
      </c>
    </row>
    <row r="113" spans="1:26">
      <c r="A113" s="22" t="s">
        <v>199</v>
      </c>
      <c r="B113" s="112"/>
      <c r="C113" s="101" t="s">
        <v>116</v>
      </c>
      <c r="D113" s="112"/>
      <c r="E113" s="44" t="s">
        <v>189</v>
      </c>
      <c r="F113" s="112"/>
      <c r="G113" s="25"/>
      <c r="H113" s="25"/>
      <c r="J113" t="e">
        <f t="shared" ca="1" si="24"/>
        <v>#NAME?</v>
      </c>
      <c r="K113" t="e">
        <f t="shared" ca="1" si="22"/>
        <v>#NAME?</v>
      </c>
      <c r="L113" t="e">
        <f t="shared" ca="1" si="22"/>
        <v>#NAME?</v>
      </c>
      <c r="M113" t="e">
        <f t="shared" ca="1" si="22"/>
        <v>#NAME?</v>
      </c>
      <c r="N113" t="e">
        <f t="shared" ca="1" si="22"/>
        <v>#NAME?</v>
      </c>
      <c r="O113" t="e">
        <f t="shared" ca="1" si="22"/>
        <v>#NAME?</v>
      </c>
      <c r="P113" t="e">
        <f t="shared" ca="1" si="22"/>
        <v>#NAME?</v>
      </c>
      <c r="R113" t="e">
        <f t="shared" ca="1" si="25"/>
        <v>#NAME?</v>
      </c>
      <c r="S113" t="e">
        <f t="shared" ca="1" si="23"/>
        <v>#NAME?</v>
      </c>
      <c r="T113" t="e">
        <f t="shared" ca="1" si="23"/>
        <v>#NAME?</v>
      </c>
      <c r="U113" t="e">
        <f t="shared" ca="1" si="23"/>
        <v>#NAME?</v>
      </c>
      <c r="V113" t="e">
        <f t="shared" ca="1" si="23"/>
        <v>#NAME?</v>
      </c>
      <c r="W113" t="e">
        <f t="shared" ca="1" si="23"/>
        <v>#NAME?</v>
      </c>
      <c r="X113" t="e">
        <f t="shared" ca="1" si="23"/>
        <v>#NAME?</v>
      </c>
      <c r="Z113" s="15">
        <v>0.5</v>
      </c>
    </row>
    <row r="114" spans="1:26">
      <c r="A114" s="22" t="s">
        <v>200</v>
      </c>
      <c r="B114" s="25"/>
      <c r="C114" s="25" t="s">
        <v>152</v>
      </c>
      <c r="D114" s="25" t="s">
        <v>152</v>
      </c>
      <c r="E114" s="25" t="s">
        <v>152</v>
      </c>
      <c r="F114" s="25" t="s">
        <v>152</v>
      </c>
      <c r="G114" s="25"/>
      <c r="H114" s="25"/>
      <c r="J114" t="e">
        <f t="shared" ca="1" si="24"/>
        <v>#NAME?</v>
      </c>
      <c r="K114" t="e">
        <f t="shared" ca="1" si="22"/>
        <v>#NAME?</v>
      </c>
      <c r="L114" t="e">
        <f t="shared" ca="1" si="22"/>
        <v>#NAME?</v>
      </c>
      <c r="M114" t="e">
        <f t="shared" ca="1" si="22"/>
        <v>#NAME?</v>
      </c>
      <c r="N114" t="e">
        <f t="shared" ca="1" si="22"/>
        <v>#NAME?</v>
      </c>
      <c r="O114" t="e">
        <f t="shared" ca="1" si="22"/>
        <v>#NAME?</v>
      </c>
      <c r="P114" t="e">
        <f t="shared" ca="1" si="22"/>
        <v>#NAME?</v>
      </c>
      <c r="R114" t="e">
        <f t="shared" ca="1" si="25"/>
        <v>#NAME?</v>
      </c>
      <c r="S114" t="e">
        <f t="shared" ca="1" si="23"/>
        <v>#NAME?</v>
      </c>
      <c r="T114" t="e">
        <f t="shared" ca="1" si="23"/>
        <v>#NAME?</v>
      </c>
      <c r="U114" t="e">
        <f t="shared" ca="1" si="23"/>
        <v>#NAME?</v>
      </c>
      <c r="V114" t="e">
        <f t="shared" ca="1" si="23"/>
        <v>#NAME?</v>
      </c>
      <c r="W114" t="e">
        <f t="shared" ca="1" si="23"/>
        <v>#NAME?</v>
      </c>
      <c r="X114" t="e">
        <f t="shared" ca="1" si="23"/>
        <v>#NAME?</v>
      </c>
      <c r="Z114" s="15">
        <v>1</v>
      </c>
    </row>
    <row r="115" spans="1:26">
      <c r="A115" s="22" t="s">
        <v>201</v>
      </c>
      <c r="B115" s="25"/>
      <c r="C115" s="44" t="s">
        <v>189</v>
      </c>
      <c r="D115" s="101" t="s">
        <v>116</v>
      </c>
      <c r="E115" s="25"/>
      <c r="F115" s="25"/>
      <c r="G115" s="120" t="s">
        <v>118</v>
      </c>
      <c r="H115" s="121" t="s">
        <v>118</v>
      </c>
      <c r="J115" t="e">
        <f t="shared" ca="1" si="24"/>
        <v>#NAME?</v>
      </c>
      <c r="K115" t="e">
        <f t="shared" ca="1" si="22"/>
        <v>#NAME?</v>
      </c>
      <c r="L115" t="e">
        <f t="shared" ca="1" si="22"/>
        <v>#NAME?</v>
      </c>
      <c r="M115" t="e">
        <f t="shared" ca="1" si="22"/>
        <v>#NAME?</v>
      </c>
      <c r="N115" t="e">
        <f t="shared" ca="1" si="22"/>
        <v>#NAME?</v>
      </c>
      <c r="O115" t="e">
        <f t="shared" ca="1" si="22"/>
        <v>#NAME?</v>
      </c>
      <c r="P115" t="e">
        <f t="shared" ca="1" si="22"/>
        <v>#NAME?</v>
      </c>
      <c r="R115" t="e">
        <f t="shared" ca="1" si="25"/>
        <v>#NAME?</v>
      </c>
      <c r="S115" t="e">
        <f t="shared" ca="1" si="23"/>
        <v>#NAME?</v>
      </c>
      <c r="T115" t="e">
        <f t="shared" ca="1" si="23"/>
        <v>#NAME?</v>
      </c>
      <c r="U115" t="e">
        <f t="shared" ca="1" si="23"/>
        <v>#NAME?</v>
      </c>
      <c r="V115" t="e">
        <f t="shared" ca="1" si="23"/>
        <v>#NAME?</v>
      </c>
      <c r="W115" t="e">
        <f t="shared" ca="1" si="23"/>
        <v>#NAME?</v>
      </c>
      <c r="X115" t="e">
        <f t="shared" ca="1" si="23"/>
        <v>#NAME?</v>
      </c>
      <c r="Z115" s="15">
        <v>1</v>
      </c>
    </row>
    <row r="116" spans="1:26">
      <c r="A116" s="22" t="s">
        <v>202</v>
      </c>
      <c r="B116" s="25" t="s">
        <v>152</v>
      </c>
      <c r="C116" s="25" t="s">
        <v>152</v>
      </c>
      <c r="D116" s="25"/>
      <c r="E116" s="25"/>
      <c r="F116" s="25"/>
      <c r="G116" s="25"/>
      <c r="H116" s="25"/>
      <c r="J116" t="e">
        <f t="shared" ca="1" si="24"/>
        <v>#NAME?</v>
      </c>
      <c r="K116" t="e">
        <f t="shared" ca="1" si="22"/>
        <v>#NAME?</v>
      </c>
      <c r="L116" t="e">
        <f t="shared" ca="1" si="22"/>
        <v>#NAME?</v>
      </c>
      <c r="M116" t="e">
        <f t="shared" ca="1" si="22"/>
        <v>#NAME?</v>
      </c>
      <c r="N116" t="e">
        <f t="shared" ca="1" si="22"/>
        <v>#NAME?</v>
      </c>
      <c r="O116" t="e">
        <f t="shared" ca="1" si="22"/>
        <v>#NAME?</v>
      </c>
      <c r="P116" t="e">
        <f t="shared" ca="1" si="22"/>
        <v>#NAME?</v>
      </c>
      <c r="R116" t="e">
        <f t="shared" ca="1" si="25"/>
        <v>#NAME?</v>
      </c>
      <c r="S116" t="e">
        <f t="shared" ca="1" si="23"/>
        <v>#NAME?</v>
      </c>
      <c r="T116" t="e">
        <f t="shared" ca="1" si="23"/>
        <v>#NAME?</v>
      </c>
      <c r="U116" t="e">
        <f t="shared" ca="1" si="23"/>
        <v>#NAME?</v>
      </c>
      <c r="V116" t="e">
        <f t="shared" ca="1" si="23"/>
        <v>#NAME?</v>
      </c>
      <c r="W116" t="e">
        <f t="shared" ca="1" si="23"/>
        <v>#NAME?</v>
      </c>
      <c r="X116" t="e">
        <f t="shared" ca="1" si="23"/>
        <v>#NAME?</v>
      </c>
      <c r="Z116" s="15">
        <v>1</v>
      </c>
    </row>
    <row r="117" spans="1:26">
      <c r="A117" s="42" t="s">
        <v>203</v>
      </c>
      <c r="B117" s="120" t="s">
        <v>116</v>
      </c>
      <c r="C117" s="25"/>
      <c r="D117" s="110" t="s">
        <v>142</v>
      </c>
      <c r="E117" s="120" t="s">
        <v>116</v>
      </c>
      <c r="F117" s="28" t="s">
        <v>115</v>
      </c>
      <c r="G117" s="25"/>
      <c r="H117" s="25"/>
      <c r="J117" t="e">
        <f t="shared" ca="1" si="24"/>
        <v>#NAME?</v>
      </c>
      <c r="K117" t="e">
        <f t="shared" ca="1" si="22"/>
        <v>#NAME?</v>
      </c>
      <c r="L117" t="e">
        <f t="shared" ca="1" si="22"/>
        <v>#NAME?</v>
      </c>
      <c r="M117" t="e">
        <f t="shared" ca="1" si="22"/>
        <v>#NAME?</v>
      </c>
      <c r="N117" t="e">
        <f t="shared" ca="1" si="22"/>
        <v>#NAME?</v>
      </c>
      <c r="O117" t="e">
        <f t="shared" ca="1" si="22"/>
        <v>#NAME?</v>
      </c>
      <c r="P117" t="e">
        <f t="shared" ca="1" si="22"/>
        <v>#NAME?</v>
      </c>
      <c r="R117" t="e">
        <f t="shared" ca="1" si="25"/>
        <v>#NAME?</v>
      </c>
      <c r="S117" t="e">
        <f t="shared" ca="1" si="23"/>
        <v>#NAME?</v>
      </c>
      <c r="T117" t="e">
        <f t="shared" ca="1" si="23"/>
        <v>#NAME?</v>
      </c>
      <c r="U117" t="e">
        <f t="shared" ca="1" si="23"/>
        <v>#NAME?</v>
      </c>
      <c r="V117" t="e">
        <f t="shared" ca="1" si="23"/>
        <v>#NAME?</v>
      </c>
      <c r="W117" t="e">
        <f t="shared" ca="1" si="23"/>
        <v>#NAME?</v>
      </c>
      <c r="X117" t="e">
        <f t="shared" ca="1" si="23"/>
        <v>#NAME?</v>
      </c>
      <c r="Z117" s="15">
        <v>1</v>
      </c>
    </row>
    <row r="118" spans="1:26">
      <c r="A118" s="22" t="s">
        <v>204</v>
      </c>
      <c r="B118" s="25"/>
      <c r="C118" s="121" t="s">
        <v>118</v>
      </c>
      <c r="D118" s="44" t="s">
        <v>189</v>
      </c>
      <c r="E118" s="113" t="s">
        <v>150</v>
      </c>
      <c r="F118" s="101" t="s">
        <v>118</v>
      </c>
      <c r="G118" s="25"/>
      <c r="H118" s="25"/>
      <c r="J118" t="e">
        <f t="shared" ca="1" si="24"/>
        <v>#NAME?</v>
      </c>
      <c r="K118" t="e">
        <f t="shared" ca="1" si="22"/>
        <v>#NAME?</v>
      </c>
      <c r="L118" t="e">
        <f t="shared" ca="1" si="22"/>
        <v>#NAME?</v>
      </c>
      <c r="M118" t="e">
        <f t="shared" ca="1" si="22"/>
        <v>#NAME?</v>
      </c>
      <c r="N118" t="e">
        <f t="shared" ca="1" si="22"/>
        <v>#NAME?</v>
      </c>
      <c r="O118" t="e">
        <f t="shared" ca="1" si="22"/>
        <v>#NAME?</v>
      </c>
      <c r="P118" t="e">
        <f t="shared" ca="1" si="22"/>
        <v>#NAME?</v>
      </c>
      <c r="R118" t="e">
        <f t="shared" ca="1" si="25"/>
        <v>#NAME?</v>
      </c>
      <c r="S118" t="e">
        <f t="shared" ca="1" si="23"/>
        <v>#NAME?</v>
      </c>
      <c r="T118" t="e">
        <f t="shared" ca="1" si="23"/>
        <v>#NAME?</v>
      </c>
      <c r="U118" t="e">
        <f t="shared" ca="1" si="23"/>
        <v>#NAME?</v>
      </c>
      <c r="V118" t="e">
        <f t="shared" ca="1" si="23"/>
        <v>#NAME?</v>
      </c>
      <c r="W118" t="e">
        <f t="shared" ca="1" si="23"/>
        <v>#NAME?</v>
      </c>
      <c r="X118" t="e">
        <f t="shared" ca="1" si="23"/>
        <v>#NAME?</v>
      </c>
      <c r="Z118" s="15">
        <v>1</v>
      </c>
    </row>
    <row r="119" spans="1:26">
      <c r="A119" s="22" t="s">
        <v>205</v>
      </c>
      <c r="B119" s="121" t="s">
        <v>118</v>
      </c>
      <c r="C119" s="120" t="s">
        <v>118</v>
      </c>
      <c r="D119" s="121" t="s">
        <v>116</v>
      </c>
      <c r="E119" s="110" t="s">
        <v>139</v>
      </c>
      <c r="F119" s="120" t="s">
        <v>116</v>
      </c>
      <c r="G119" s="25"/>
      <c r="H119" s="25"/>
      <c r="J119" t="e">
        <f t="shared" ca="1" si="24"/>
        <v>#NAME?</v>
      </c>
      <c r="K119" t="e">
        <f t="shared" ca="1" si="22"/>
        <v>#NAME?</v>
      </c>
      <c r="L119" t="e">
        <f t="shared" ca="1" si="22"/>
        <v>#NAME?</v>
      </c>
      <c r="M119" t="e">
        <f t="shared" ca="1" si="22"/>
        <v>#NAME?</v>
      </c>
      <c r="N119" t="e">
        <f t="shared" ca="1" si="22"/>
        <v>#NAME?</v>
      </c>
      <c r="O119" t="e">
        <f t="shared" ca="1" si="22"/>
        <v>#NAME?</v>
      </c>
      <c r="P119" t="e">
        <f t="shared" ca="1" si="22"/>
        <v>#NAME?</v>
      </c>
      <c r="R119" t="e">
        <f t="shared" ca="1" si="25"/>
        <v>#NAME?</v>
      </c>
      <c r="S119" t="e">
        <f t="shared" ca="1" si="23"/>
        <v>#NAME?</v>
      </c>
      <c r="T119" t="e">
        <f t="shared" ca="1" si="23"/>
        <v>#NAME?</v>
      </c>
      <c r="U119" t="e">
        <f t="shared" ca="1" si="23"/>
        <v>#NAME?</v>
      </c>
      <c r="V119" t="e">
        <f t="shared" ca="1" si="23"/>
        <v>#NAME?</v>
      </c>
      <c r="W119" t="e">
        <f t="shared" ca="1" si="23"/>
        <v>#NAME?</v>
      </c>
      <c r="X119" t="e">
        <f t="shared" ca="1" si="23"/>
        <v>#NAME?</v>
      </c>
      <c r="Z119" s="15">
        <v>1</v>
      </c>
    </row>
    <row r="120" spans="1:26">
      <c r="A120" s="22" t="s">
        <v>206</v>
      </c>
      <c r="B120" s="101" t="s">
        <v>116</v>
      </c>
      <c r="C120" s="25"/>
      <c r="D120" s="120" t="s">
        <v>118</v>
      </c>
      <c r="E120" s="110" t="s">
        <v>142</v>
      </c>
      <c r="F120" s="44" t="s">
        <v>186</v>
      </c>
      <c r="G120" s="25"/>
      <c r="H120" s="25"/>
      <c r="J120" t="e">
        <f t="shared" ca="1" si="24"/>
        <v>#NAME?</v>
      </c>
      <c r="K120" t="e">
        <f t="shared" ca="1" si="22"/>
        <v>#NAME?</v>
      </c>
      <c r="L120" t="e">
        <f t="shared" ca="1" si="22"/>
        <v>#NAME?</v>
      </c>
      <c r="M120" t="e">
        <f t="shared" ca="1" si="22"/>
        <v>#NAME?</v>
      </c>
      <c r="N120" t="e">
        <f t="shared" ca="1" si="22"/>
        <v>#NAME?</v>
      </c>
      <c r="O120" t="e">
        <f t="shared" ca="1" si="22"/>
        <v>#NAME?</v>
      </c>
      <c r="P120" t="e">
        <f t="shared" ca="1" si="22"/>
        <v>#NAME?</v>
      </c>
      <c r="R120" t="e">
        <f t="shared" ca="1" si="25"/>
        <v>#NAME?</v>
      </c>
      <c r="S120" t="e">
        <f t="shared" ca="1" si="23"/>
        <v>#NAME?</v>
      </c>
      <c r="T120" t="e">
        <f t="shared" ca="1" si="23"/>
        <v>#NAME?</v>
      </c>
      <c r="U120" t="e">
        <f t="shared" ca="1" si="23"/>
        <v>#NAME?</v>
      </c>
      <c r="V120" t="e">
        <f t="shared" ca="1" si="23"/>
        <v>#NAME?</v>
      </c>
      <c r="W120" t="e">
        <f t="shared" ca="1" si="23"/>
        <v>#NAME?</v>
      </c>
      <c r="X120" t="e">
        <f t="shared" ca="1" si="23"/>
        <v>#NAME?</v>
      </c>
      <c r="Z120" s="15">
        <v>1</v>
      </c>
    </row>
    <row r="121" spans="1:26">
      <c r="A121" s="22" t="s">
        <v>207</v>
      </c>
      <c r="B121" s="127" t="s">
        <v>29</v>
      </c>
      <c r="C121" s="128"/>
      <c r="D121" s="128" t="s">
        <v>18</v>
      </c>
      <c r="E121" s="128"/>
      <c r="F121" s="128"/>
      <c r="G121" s="128"/>
      <c r="H121" s="129"/>
      <c r="J121" t="e">
        <f t="shared" ca="1" si="24"/>
        <v>#NAME?</v>
      </c>
      <c r="K121" t="e">
        <f t="shared" ca="1" si="22"/>
        <v>#NAME?</v>
      </c>
      <c r="L121" t="e">
        <f t="shared" ca="1" si="22"/>
        <v>#NAME?</v>
      </c>
      <c r="M121" t="e">
        <f t="shared" ca="1" si="22"/>
        <v>#NAME?</v>
      </c>
      <c r="N121" t="e">
        <f t="shared" ca="1" si="22"/>
        <v>#NAME?</v>
      </c>
      <c r="O121" t="e">
        <f t="shared" ca="1" si="22"/>
        <v>#NAME?</v>
      </c>
      <c r="P121" t="e">
        <f t="shared" ca="1" si="22"/>
        <v>#NAME?</v>
      </c>
      <c r="R121" t="e">
        <f t="shared" ca="1" si="25"/>
        <v>#NAME?</v>
      </c>
      <c r="S121" t="e">
        <f t="shared" ca="1" si="23"/>
        <v>#NAME?</v>
      </c>
      <c r="T121" t="e">
        <f t="shared" ca="1" si="23"/>
        <v>#NAME?</v>
      </c>
      <c r="U121" t="e">
        <f t="shared" ca="1" si="23"/>
        <v>#NAME?</v>
      </c>
      <c r="V121" t="e">
        <f t="shared" ca="1" si="23"/>
        <v>#NAME?</v>
      </c>
      <c r="W121" t="e">
        <f t="shared" ca="1" si="23"/>
        <v>#NAME?</v>
      </c>
      <c r="X121" t="e">
        <f t="shared" ca="1" si="23"/>
        <v>#NAME?</v>
      </c>
      <c r="Z121" s="15">
        <v>0.5</v>
      </c>
    </row>
    <row r="122" spans="1:26">
      <c r="A122" s="22" t="s">
        <v>208</v>
      </c>
      <c r="B122" s="25"/>
      <c r="C122" s="25"/>
      <c r="D122" s="25"/>
      <c r="E122" s="25"/>
      <c r="F122" s="25"/>
      <c r="G122" s="121" t="s">
        <v>118</v>
      </c>
      <c r="H122" s="120" t="s">
        <v>118</v>
      </c>
      <c r="J122" t="e">
        <f t="shared" ca="1" si="24"/>
        <v>#NAME?</v>
      </c>
      <c r="K122" t="e">
        <f t="shared" ca="1" si="22"/>
        <v>#NAME?</v>
      </c>
      <c r="L122" t="e">
        <f t="shared" ca="1" si="22"/>
        <v>#NAME?</v>
      </c>
      <c r="M122" t="e">
        <f t="shared" ca="1" si="22"/>
        <v>#NAME?</v>
      </c>
      <c r="N122" t="e">
        <f t="shared" ca="1" si="22"/>
        <v>#NAME?</v>
      </c>
      <c r="O122" t="e">
        <f t="shared" ca="1" si="22"/>
        <v>#NAME?</v>
      </c>
      <c r="P122" t="e">
        <f t="shared" ca="1" si="22"/>
        <v>#NAME?</v>
      </c>
      <c r="R122" t="e">
        <f t="shared" ca="1" si="25"/>
        <v>#NAME?</v>
      </c>
      <c r="S122" t="e">
        <f t="shared" ca="1" si="23"/>
        <v>#NAME?</v>
      </c>
      <c r="T122" t="e">
        <f t="shared" ca="1" si="23"/>
        <v>#NAME?</v>
      </c>
      <c r="U122" t="e">
        <f t="shared" ca="1" si="23"/>
        <v>#NAME?</v>
      </c>
      <c r="V122" t="e">
        <f t="shared" ca="1" si="23"/>
        <v>#NAME?</v>
      </c>
      <c r="W122" t="e">
        <f t="shared" ca="1" si="23"/>
        <v>#NAME?</v>
      </c>
      <c r="X122" t="e">
        <f t="shared" ca="1" si="23"/>
        <v>#NAME?</v>
      </c>
      <c r="Z122" s="15">
        <v>0.5</v>
      </c>
    </row>
    <row r="123" spans="1:26">
      <c r="A123" s="22" t="s">
        <v>209</v>
      </c>
      <c r="B123" s="25"/>
      <c r="C123" s="25"/>
      <c r="D123" s="25"/>
      <c r="E123" s="25"/>
      <c r="F123" s="25"/>
      <c r="G123" s="25" t="s">
        <v>152</v>
      </c>
      <c r="H123" s="25" t="s">
        <v>152</v>
      </c>
      <c r="J123" t="e">
        <f t="shared" ca="1" si="24"/>
        <v>#NAME?</v>
      </c>
      <c r="K123" t="e">
        <f t="shared" ca="1" si="22"/>
        <v>#NAME?</v>
      </c>
      <c r="L123" t="e">
        <f t="shared" ca="1" si="22"/>
        <v>#NAME?</v>
      </c>
      <c r="M123" t="e">
        <f t="shared" ca="1" si="22"/>
        <v>#NAME?</v>
      </c>
      <c r="N123" t="e">
        <f t="shared" ca="1" si="22"/>
        <v>#NAME?</v>
      </c>
      <c r="O123" t="e">
        <f t="shared" ca="1" si="22"/>
        <v>#NAME?</v>
      </c>
      <c r="P123" t="e">
        <f t="shared" ca="1" si="22"/>
        <v>#NAME?</v>
      </c>
      <c r="R123" t="e">
        <f t="shared" ca="1" si="25"/>
        <v>#NAME?</v>
      </c>
      <c r="S123" t="e">
        <f t="shared" ca="1" si="23"/>
        <v>#NAME?</v>
      </c>
      <c r="T123" t="e">
        <f t="shared" ca="1" si="23"/>
        <v>#NAME?</v>
      </c>
      <c r="U123" t="e">
        <f t="shared" ca="1" si="23"/>
        <v>#NAME?</v>
      </c>
      <c r="V123" t="e">
        <f t="shared" ca="1" si="23"/>
        <v>#NAME?</v>
      </c>
      <c r="W123" t="e">
        <f t="shared" ca="1" si="23"/>
        <v>#NAME?</v>
      </c>
      <c r="X123" t="e">
        <f t="shared" ca="1" si="23"/>
        <v>#NAME?</v>
      </c>
      <c r="Z123" s="15">
        <v>0.5</v>
      </c>
    </row>
    <row r="124" spans="1:26" ht="15" customHeight="1">
      <c r="A124" s="22" t="s">
        <v>210</v>
      </c>
      <c r="B124" s="120" t="s">
        <v>118</v>
      </c>
      <c r="C124" s="120" t="s">
        <v>116</v>
      </c>
      <c r="D124" s="25"/>
      <c r="E124" s="25"/>
      <c r="F124" s="25"/>
      <c r="G124" s="25"/>
      <c r="H124" s="25"/>
      <c r="J124" t="e">
        <f t="shared" ca="1" si="24"/>
        <v>#NAME?</v>
      </c>
      <c r="K124" t="e">
        <f t="shared" ca="1" si="22"/>
        <v>#NAME?</v>
      </c>
      <c r="L124" t="e">
        <f t="shared" ca="1" si="22"/>
        <v>#NAME?</v>
      </c>
      <c r="M124" t="e">
        <f t="shared" ca="1" si="22"/>
        <v>#NAME?</v>
      </c>
      <c r="N124" t="e">
        <f t="shared" ca="1" si="22"/>
        <v>#NAME?</v>
      </c>
      <c r="O124" t="e">
        <f t="shared" ca="1" si="22"/>
        <v>#NAME?</v>
      </c>
      <c r="P124" t="e">
        <f t="shared" ca="1" si="22"/>
        <v>#NAME?</v>
      </c>
      <c r="R124" t="e">
        <f t="shared" ca="1" si="25"/>
        <v>#NAME?</v>
      </c>
      <c r="S124" t="e">
        <f t="shared" ca="1" si="23"/>
        <v>#NAME?</v>
      </c>
      <c r="T124" t="e">
        <f t="shared" ca="1" si="23"/>
        <v>#NAME?</v>
      </c>
      <c r="U124" t="e">
        <f t="shared" ca="1" si="23"/>
        <v>#NAME?</v>
      </c>
      <c r="V124" t="e">
        <f t="shared" ca="1" si="23"/>
        <v>#NAME?</v>
      </c>
      <c r="W124" t="e">
        <f t="shared" ca="1" si="23"/>
        <v>#NAME?</v>
      </c>
      <c r="X124" t="e">
        <f t="shared" ca="1" si="23"/>
        <v>#NAME?</v>
      </c>
      <c r="Z124" s="15">
        <v>0.5</v>
      </c>
    </row>
    <row r="125" spans="1:26">
      <c r="A125" s="22" t="s">
        <v>212</v>
      </c>
      <c r="B125" s="25"/>
      <c r="C125" s="121" t="s">
        <v>116</v>
      </c>
      <c r="D125" s="28" t="s">
        <v>115</v>
      </c>
      <c r="E125" s="25"/>
      <c r="F125" s="110" t="s">
        <v>142</v>
      </c>
      <c r="G125" s="120" t="s">
        <v>116</v>
      </c>
      <c r="H125" s="25"/>
      <c r="J125" t="e">
        <f t="shared" ca="1" si="24"/>
        <v>#NAME?</v>
      </c>
      <c r="K125" t="e">
        <f t="shared" ca="1" si="22"/>
        <v>#NAME?</v>
      </c>
      <c r="L125" t="e">
        <f t="shared" ca="1" si="22"/>
        <v>#NAME?</v>
      </c>
      <c r="M125" t="e">
        <f t="shared" ca="1" si="22"/>
        <v>#NAME?</v>
      </c>
      <c r="N125" t="e">
        <f t="shared" ca="1" si="22"/>
        <v>#NAME?</v>
      </c>
      <c r="O125" t="e">
        <f t="shared" ca="1" si="22"/>
        <v>#NAME?</v>
      </c>
      <c r="P125" t="e">
        <f t="shared" ca="1" si="22"/>
        <v>#NAME?</v>
      </c>
      <c r="R125" t="e">
        <f t="shared" ca="1" si="25"/>
        <v>#NAME?</v>
      </c>
      <c r="S125" t="e">
        <f t="shared" ca="1" si="23"/>
        <v>#NAME?</v>
      </c>
      <c r="T125" t="e">
        <f t="shared" ca="1" si="23"/>
        <v>#NAME?</v>
      </c>
      <c r="U125" t="e">
        <f t="shared" ca="1" si="23"/>
        <v>#NAME?</v>
      </c>
      <c r="V125" t="e">
        <f t="shared" ca="1" si="23"/>
        <v>#NAME?</v>
      </c>
      <c r="W125" t="e">
        <f t="shared" ca="1" si="23"/>
        <v>#NAME?</v>
      </c>
      <c r="X125" t="e">
        <f t="shared" ca="1" si="23"/>
        <v>#NAME?</v>
      </c>
      <c r="Z125" s="15">
        <v>1</v>
      </c>
    </row>
    <row r="126" spans="1:26">
      <c r="A126" s="22" t="s">
        <v>213</v>
      </c>
      <c r="B126" s="28" t="s">
        <v>115</v>
      </c>
      <c r="C126" s="25"/>
      <c r="D126" s="25"/>
      <c r="E126" s="101" t="s">
        <v>118</v>
      </c>
      <c r="F126" s="120" t="s">
        <v>118</v>
      </c>
      <c r="G126" s="25"/>
      <c r="H126" s="25" t="s">
        <v>152</v>
      </c>
      <c r="J126" t="e">
        <f t="shared" ca="1" si="24"/>
        <v>#NAME?</v>
      </c>
      <c r="K126" t="e">
        <f t="shared" ca="1" si="22"/>
        <v>#NAME?</v>
      </c>
      <c r="L126" t="e">
        <f t="shared" ca="1" si="22"/>
        <v>#NAME?</v>
      </c>
      <c r="M126" t="e">
        <f t="shared" ca="1" si="22"/>
        <v>#NAME?</v>
      </c>
      <c r="N126" t="e">
        <f t="shared" ca="1" si="22"/>
        <v>#NAME?</v>
      </c>
      <c r="O126" t="e">
        <f t="shared" ca="1" si="22"/>
        <v>#NAME?</v>
      </c>
      <c r="P126" t="e">
        <f t="shared" ca="1" si="22"/>
        <v>#NAME?</v>
      </c>
      <c r="R126" t="e">
        <f t="shared" ca="1" si="25"/>
        <v>#NAME?</v>
      </c>
      <c r="S126" t="e">
        <f t="shared" ca="1" si="23"/>
        <v>#NAME?</v>
      </c>
      <c r="T126" t="e">
        <f t="shared" ca="1" si="23"/>
        <v>#NAME?</v>
      </c>
      <c r="U126" t="e">
        <f t="shared" ca="1" si="23"/>
        <v>#NAME?</v>
      </c>
      <c r="V126" t="e">
        <f t="shared" ca="1" si="23"/>
        <v>#NAME?</v>
      </c>
      <c r="W126" t="e">
        <f t="shared" ca="1" si="23"/>
        <v>#NAME?</v>
      </c>
      <c r="X126" t="e">
        <f t="shared" ca="1" si="23"/>
        <v>#NAME?</v>
      </c>
      <c r="Z126" s="15">
        <v>1</v>
      </c>
    </row>
    <row r="127" spans="1:26">
      <c r="A127" s="106" t="s">
        <v>383</v>
      </c>
      <c r="B127" s="107" t="str">
        <f t="shared" ref="B127:H127" si="26">B58</f>
        <v>Mon 20 Jul</v>
      </c>
      <c r="C127" s="107" t="str">
        <f t="shared" si="26"/>
        <v>Tues 21 Jul</v>
      </c>
      <c r="D127" s="107" t="str">
        <f t="shared" si="26"/>
        <v>Wed 22 Jul</v>
      </c>
      <c r="E127" s="107" t="str">
        <f t="shared" si="26"/>
        <v>Thu 23 Jul</v>
      </c>
      <c r="F127" s="107" t="str">
        <f t="shared" si="26"/>
        <v>Fri 24 Jul</v>
      </c>
      <c r="G127" s="107" t="str">
        <f t="shared" si="26"/>
        <v>Sat 25 Jul</v>
      </c>
      <c r="H127" s="107" t="str">
        <f t="shared" si="26"/>
        <v>Sun 26 Jul</v>
      </c>
      <c r="J127" t="e">
        <f t="shared" ca="1" si="24"/>
        <v>#NAME?</v>
      </c>
      <c r="K127" t="e">
        <f t="shared" ca="1" si="22"/>
        <v>#NAME?</v>
      </c>
      <c r="L127" t="e">
        <f t="shared" ca="1" si="22"/>
        <v>#NAME?</v>
      </c>
      <c r="M127" t="e">
        <f t="shared" ca="1" si="22"/>
        <v>#NAME?</v>
      </c>
      <c r="N127" t="e">
        <f t="shared" ca="1" si="22"/>
        <v>#NAME?</v>
      </c>
      <c r="O127" t="e">
        <f t="shared" ca="1" si="22"/>
        <v>#NAME?</v>
      </c>
      <c r="P127" t="e">
        <f t="shared" ca="1" si="22"/>
        <v>#NAME?</v>
      </c>
      <c r="R127" t="e">
        <f t="shared" ca="1" si="25"/>
        <v>#NAME?</v>
      </c>
      <c r="S127" t="e">
        <f t="shared" ca="1" si="23"/>
        <v>#NAME?</v>
      </c>
      <c r="T127" t="e">
        <f t="shared" ca="1" si="23"/>
        <v>#NAME?</v>
      </c>
      <c r="U127" t="e">
        <f t="shared" ca="1" si="23"/>
        <v>#NAME?</v>
      </c>
      <c r="V127" t="e">
        <f t="shared" ca="1" si="23"/>
        <v>#NAME?</v>
      </c>
      <c r="W127" t="e">
        <f t="shared" ca="1" si="23"/>
        <v>#NAME?</v>
      </c>
      <c r="X127" t="e">
        <f t="shared" ca="1" si="23"/>
        <v>#NAME?</v>
      </c>
      <c r="Z127" s="53"/>
    </row>
    <row r="128" spans="1:26">
      <c r="A128" s="22" t="s">
        <v>358</v>
      </c>
      <c r="B128" s="101" t="s">
        <v>118</v>
      </c>
      <c r="C128" s="25"/>
      <c r="D128" s="25"/>
      <c r="E128" s="25" t="s">
        <v>152</v>
      </c>
      <c r="F128" s="25" t="s">
        <v>152</v>
      </c>
      <c r="G128" s="25" t="s">
        <v>152</v>
      </c>
      <c r="H128" s="25" t="s">
        <v>152</v>
      </c>
      <c r="J128" t="e">
        <f t="shared" ca="1" si="24"/>
        <v>#NAME?</v>
      </c>
      <c r="K128" t="e">
        <f t="shared" ca="1" si="22"/>
        <v>#NAME?</v>
      </c>
      <c r="L128" t="e">
        <f t="shared" ca="1" si="22"/>
        <v>#NAME?</v>
      </c>
      <c r="M128" t="e">
        <f t="shared" ca="1" si="22"/>
        <v>#NAME?</v>
      </c>
      <c r="N128" t="e">
        <f t="shared" ca="1" si="22"/>
        <v>#NAME?</v>
      </c>
      <c r="O128" t="e">
        <f t="shared" ca="1" si="22"/>
        <v>#NAME?</v>
      </c>
      <c r="P128" t="e">
        <f t="shared" ca="1" si="22"/>
        <v>#NAME?</v>
      </c>
      <c r="R128" t="e">
        <f t="shared" ca="1" si="25"/>
        <v>#NAME?</v>
      </c>
      <c r="S128" t="e">
        <f t="shared" ca="1" si="23"/>
        <v>#NAME?</v>
      </c>
      <c r="T128" t="e">
        <f t="shared" ca="1" si="23"/>
        <v>#NAME?</v>
      </c>
      <c r="U128" t="e">
        <f t="shared" ca="1" si="23"/>
        <v>#NAME?</v>
      </c>
      <c r="V128" t="e">
        <f t="shared" ca="1" si="23"/>
        <v>#NAME?</v>
      </c>
      <c r="W128" t="e">
        <f t="shared" ca="1" si="23"/>
        <v>#NAME?</v>
      </c>
      <c r="X128" t="e">
        <f t="shared" ca="1" si="23"/>
        <v>#NAME?</v>
      </c>
      <c r="Z128" s="15">
        <v>1</v>
      </c>
    </row>
    <row r="129" spans="1:34">
      <c r="A129" s="22" t="s">
        <v>359</v>
      </c>
      <c r="B129" s="25" t="s">
        <v>152</v>
      </c>
      <c r="C129" s="25" t="s">
        <v>152</v>
      </c>
      <c r="D129" s="25" t="s">
        <v>152</v>
      </c>
      <c r="E129" s="25"/>
      <c r="F129" s="127" t="s">
        <v>20</v>
      </c>
      <c r="G129" s="128"/>
      <c r="H129" s="129"/>
      <c r="J129" t="e">
        <f t="shared" ca="1" si="24"/>
        <v>#NAME?</v>
      </c>
      <c r="K129" t="e">
        <f t="shared" ca="1" si="22"/>
        <v>#NAME?</v>
      </c>
      <c r="L129" t="e">
        <f t="shared" ca="1" si="22"/>
        <v>#NAME?</v>
      </c>
      <c r="M129" t="e">
        <f t="shared" ca="1" si="22"/>
        <v>#NAME?</v>
      </c>
      <c r="N129" t="e">
        <f t="shared" ca="1" si="22"/>
        <v>#NAME?</v>
      </c>
      <c r="O129" t="e">
        <f t="shared" ca="1" si="22"/>
        <v>#NAME?</v>
      </c>
      <c r="P129" t="e">
        <f t="shared" ca="1" si="22"/>
        <v>#NAME?</v>
      </c>
      <c r="R129" t="e">
        <f t="shared" ca="1" si="25"/>
        <v>#NAME?</v>
      </c>
      <c r="S129" t="e">
        <f t="shared" ca="1" si="23"/>
        <v>#NAME?</v>
      </c>
      <c r="T129" t="e">
        <f t="shared" ca="1" si="23"/>
        <v>#NAME?</v>
      </c>
      <c r="U129" t="e">
        <f t="shared" ca="1" si="23"/>
        <v>#NAME?</v>
      </c>
      <c r="V129" t="e">
        <f t="shared" ca="1" si="23"/>
        <v>#NAME?</v>
      </c>
      <c r="W129" t="e">
        <f t="shared" ca="1" si="23"/>
        <v>#NAME?</v>
      </c>
      <c r="X129" t="e">
        <f t="shared" ca="1" si="23"/>
        <v>#NAME?</v>
      </c>
      <c r="Z129" s="15">
        <v>1</v>
      </c>
    </row>
    <row r="130" spans="1:34">
      <c r="A130" s="22" t="s">
        <v>360</v>
      </c>
      <c r="B130" s="127" t="s">
        <v>18</v>
      </c>
      <c r="C130" s="128"/>
      <c r="D130" s="128"/>
      <c r="E130" s="128"/>
      <c r="F130" s="128"/>
      <c r="G130" s="128"/>
      <c r="H130" s="129"/>
      <c r="J130" t="e">
        <f t="shared" ca="1" si="24"/>
        <v>#NAME?</v>
      </c>
      <c r="K130" t="e">
        <f t="shared" ca="1" si="22"/>
        <v>#NAME?</v>
      </c>
      <c r="L130" t="e">
        <f t="shared" ca="1" si="22"/>
        <v>#NAME?</v>
      </c>
      <c r="M130" t="e">
        <f t="shared" ca="1" si="22"/>
        <v>#NAME?</v>
      </c>
      <c r="N130" t="e">
        <f t="shared" ca="1" si="22"/>
        <v>#NAME?</v>
      </c>
      <c r="O130" t="e">
        <f t="shared" ca="1" si="22"/>
        <v>#NAME?</v>
      </c>
      <c r="P130" t="e">
        <f t="shared" ca="1" si="22"/>
        <v>#NAME?</v>
      </c>
      <c r="R130" t="e">
        <f t="shared" ca="1" si="25"/>
        <v>#NAME?</v>
      </c>
      <c r="S130" t="e">
        <f t="shared" ca="1" si="23"/>
        <v>#NAME?</v>
      </c>
      <c r="T130" t="e">
        <f t="shared" ca="1" si="23"/>
        <v>#NAME?</v>
      </c>
      <c r="U130" t="e">
        <f t="shared" ca="1" si="23"/>
        <v>#NAME?</v>
      </c>
      <c r="V130" t="e">
        <f t="shared" ca="1" si="23"/>
        <v>#NAME?</v>
      </c>
      <c r="W130" t="e">
        <f t="shared" ca="1" si="23"/>
        <v>#NAME?</v>
      </c>
      <c r="X130" t="e">
        <f t="shared" ca="1" si="23"/>
        <v>#NAME?</v>
      </c>
      <c r="Z130" s="15">
        <v>1</v>
      </c>
    </row>
    <row r="131" spans="1:34">
      <c r="A131" s="22" t="s">
        <v>361</v>
      </c>
      <c r="B131" s="25"/>
      <c r="C131" s="25"/>
      <c r="D131" s="110" t="s">
        <v>142</v>
      </c>
      <c r="E131" s="44" t="s">
        <v>186</v>
      </c>
      <c r="F131" s="120" t="s">
        <v>116</v>
      </c>
      <c r="G131" s="127" t="s">
        <v>20</v>
      </c>
      <c r="H131" s="129"/>
      <c r="J131" t="e">
        <f t="shared" ca="1" si="24"/>
        <v>#NAME?</v>
      </c>
      <c r="K131" t="e">
        <f t="shared" ca="1" si="22"/>
        <v>#NAME?</v>
      </c>
      <c r="L131" t="e">
        <f t="shared" ca="1" si="22"/>
        <v>#NAME?</v>
      </c>
      <c r="M131" t="e">
        <f t="shared" ca="1" si="22"/>
        <v>#NAME?</v>
      </c>
      <c r="N131" t="e">
        <f t="shared" ca="1" si="22"/>
        <v>#NAME?</v>
      </c>
      <c r="O131" t="e">
        <f t="shared" ca="1" si="22"/>
        <v>#NAME?</v>
      </c>
      <c r="P131" t="e">
        <f t="shared" ca="1" si="22"/>
        <v>#NAME?</v>
      </c>
      <c r="R131" t="e">
        <f t="shared" ca="1" si="25"/>
        <v>#NAME?</v>
      </c>
      <c r="S131" t="e">
        <f t="shared" ca="1" si="23"/>
        <v>#NAME?</v>
      </c>
      <c r="T131" t="e">
        <f t="shared" ca="1" si="23"/>
        <v>#NAME?</v>
      </c>
      <c r="U131" t="e">
        <f t="shared" ca="1" si="23"/>
        <v>#NAME?</v>
      </c>
      <c r="V131" t="e">
        <f t="shared" ca="1" si="23"/>
        <v>#NAME?</v>
      </c>
      <c r="W131" t="e">
        <f t="shared" ca="1" si="23"/>
        <v>#NAME?</v>
      </c>
      <c r="X131" t="e">
        <f t="shared" ca="1" si="23"/>
        <v>#NAME?</v>
      </c>
      <c r="Z131" s="15">
        <v>1</v>
      </c>
    </row>
    <row r="132" spans="1:34">
      <c r="A132" s="22" t="s">
        <v>362</v>
      </c>
      <c r="B132" s="44" t="s">
        <v>186</v>
      </c>
      <c r="C132" s="101" t="s">
        <v>118</v>
      </c>
      <c r="D132" s="120" t="s">
        <v>116</v>
      </c>
      <c r="E132" s="121" t="s">
        <v>116</v>
      </c>
      <c r="F132" s="25"/>
      <c r="G132" s="127" t="s">
        <v>20</v>
      </c>
      <c r="H132" s="129"/>
      <c r="J132" t="e">
        <f t="shared" ca="1" si="24"/>
        <v>#NAME?</v>
      </c>
      <c r="K132" t="e">
        <f t="shared" ca="1" si="22"/>
        <v>#NAME?</v>
      </c>
      <c r="L132" t="e">
        <f t="shared" ca="1" si="22"/>
        <v>#NAME?</v>
      </c>
      <c r="M132" t="e">
        <f t="shared" ca="1" si="22"/>
        <v>#NAME?</v>
      </c>
      <c r="N132" t="e">
        <f t="shared" ca="1" si="22"/>
        <v>#NAME?</v>
      </c>
      <c r="O132" t="e">
        <f t="shared" ca="1" si="22"/>
        <v>#NAME?</v>
      </c>
      <c r="P132" t="e">
        <f t="shared" ca="1" si="22"/>
        <v>#NAME?</v>
      </c>
      <c r="R132" t="e">
        <f t="shared" ca="1" si="25"/>
        <v>#NAME?</v>
      </c>
      <c r="S132" t="e">
        <f t="shared" ca="1" si="23"/>
        <v>#NAME?</v>
      </c>
      <c r="T132" t="e">
        <f t="shared" ca="1" si="23"/>
        <v>#NAME?</v>
      </c>
      <c r="U132" t="e">
        <f t="shared" ca="1" si="23"/>
        <v>#NAME?</v>
      </c>
      <c r="V132" t="e">
        <f t="shared" ca="1" si="23"/>
        <v>#NAME?</v>
      </c>
      <c r="W132" t="e">
        <f t="shared" ca="1" si="23"/>
        <v>#NAME?</v>
      </c>
      <c r="X132" t="e">
        <f t="shared" ca="1" si="23"/>
        <v>#NAME?</v>
      </c>
      <c r="Z132" s="15">
        <v>1</v>
      </c>
    </row>
    <row r="133" spans="1:34">
      <c r="A133" s="22" t="s">
        <v>363</v>
      </c>
      <c r="B133" s="25"/>
      <c r="C133" s="44" t="s">
        <v>186</v>
      </c>
      <c r="D133" s="121" t="s">
        <v>118</v>
      </c>
      <c r="E133" s="25"/>
      <c r="F133" s="121" t="s">
        <v>118</v>
      </c>
      <c r="G133" s="110" t="s">
        <v>139</v>
      </c>
      <c r="H133" s="120" t="s">
        <v>116</v>
      </c>
      <c r="J133" t="e">
        <f t="shared" ca="1" si="24"/>
        <v>#NAME?</v>
      </c>
      <c r="K133" t="e">
        <f t="shared" ca="1" si="22"/>
        <v>#NAME?</v>
      </c>
      <c r="L133" t="e">
        <f t="shared" ca="1" si="22"/>
        <v>#NAME?</v>
      </c>
      <c r="M133" t="e">
        <f t="shared" ca="1" si="22"/>
        <v>#NAME?</v>
      </c>
      <c r="N133" t="e">
        <f t="shared" ca="1" si="22"/>
        <v>#NAME?</v>
      </c>
      <c r="O133" t="e">
        <f t="shared" ca="1" si="22"/>
        <v>#NAME?</v>
      </c>
      <c r="P133" t="e">
        <f t="shared" ca="1" si="22"/>
        <v>#NAME?</v>
      </c>
      <c r="R133" t="e">
        <f t="shared" ca="1" si="25"/>
        <v>#NAME?</v>
      </c>
      <c r="S133" t="e">
        <f t="shared" ca="1" si="23"/>
        <v>#NAME?</v>
      </c>
      <c r="T133" t="e">
        <f t="shared" ca="1" si="23"/>
        <v>#NAME?</v>
      </c>
      <c r="U133" t="e">
        <f t="shared" ca="1" si="23"/>
        <v>#NAME?</v>
      </c>
      <c r="V133" t="e">
        <f t="shared" ca="1" si="23"/>
        <v>#NAME?</v>
      </c>
      <c r="W133" t="e">
        <f t="shared" ca="1" si="23"/>
        <v>#NAME?</v>
      </c>
      <c r="X133" t="e">
        <f t="shared" ca="1" si="23"/>
        <v>#NAME?</v>
      </c>
      <c r="Z133" s="15">
        <v>1</v>
      </c>
    </row>
    <row r="134" spans="1:34">
      <c r="A134" s="22" t="s">
        <v>364</v>
      </c>
      <c r="B134" s="127" t="s">
        <v>18</v>
      </c>
      <c r="C134" s="128"/>
      <c r="D134" s="128"/>
      <c r="E134" s="128"/>
      <c r="F134" s="128"/>
      <c r="G134" s="128"/>
      <c r="H134" s="129"/>
      <c r="J134" t="e">
        <f t="shared" ca="1" si="24"/>
        <v>#NAME?</v>
      </c>
      <c r="K134" t="e">
        <f t="shared" ca="1" si="22"/>
        <v>#NAME?</v>
      </c>
      <c r="L134" t="e">
        <f t="shared" ca="1" si="22"/>
        <v>#NAME?</v>
      </c>
      <c r="M134" t="e">
        <f t="shared" ca="1" si="22"/>
        <v>#NAME?</v>
      </c>
      <c r="N134" t="e">
        <f t="shared" ca="1" si="22"/>
        <v>#NAME?</v>
      </c>
      <c r="O134" t="e">
        <f t="shared" ca="1" si="22"/>
        <v>#NAME?</v>
      </c>
      <c r="P134" t="e">
        <f t="shared" ca="1" si="22"/>
        <v>#NAME?</v>
      </c>
      <c r="R134" t="e">
        <f t="shared" ca="1" si="25"/>
        <v>#NAME?</v>
      </c>
      <c r="S134" t="e">
        <f t="shared" ca="1" si="23"/>
        <v>#NAME?</v>
      </c>
      <c r="T134" t="e">
        <f t="shared" ca="1" si="23"/>
        <v>#NAME?</v>
      </c>
      <c r="U134" t="e">
        <f t="shared" ca="1" si="23"/>
        <v>#NAME?</v>
      </c>
      <c r="V134" t="e">
        <f t="shared" ca="1" si="23"/>
        <v>#NAME?</v>
      </c>
      <c r="W134" t="e">
        <f t="shared" ca="1" si="23"/>
        <v>#NAME?</v>
      </c>
      <c r="X134" t="e">
        <f t="shared" ca="1" si="23"/>
        <v>#NAME?</v>
      </c>
      <c r="Z134" s="15">
        <v>1</v>
      </c>
    </row>
    <row r="135" spans="1:34">
      <c r="A135" s="22" t="s">
        <v>365</v>
      </c>
      <c r="B135" s="121" t="s">
        <v>116</v>
      </c>
      <c r="C135" s="25"/>
      <c r="D135" s="101" t="s">
        <v>118</v>
      </c>
      <c r="E135" s="120" t="s">
        <v>118</v>
      </c>
      <c r="F135" s="110" t="s">
        <v>139</v>
      </c>
      <c r="G135" s="25"/>
      <c r="H135" s="25"/>
      <c r="J135" t="e">
        <f t="shared" ca="1" si="24"/>
        <v>#NAME?</v>
      </c>
      <c r="K135" t="e">
        <f t="shared" ca="1" si="22"/>
        <v>#NAME?</v>
      </c>
      <c r="L135" t="e">
        <f t="shared" ca="1" si="22"/>
        <v>#NAME?</v>
      </c>
      <c r="M135" t="e">
        <f t="shared" ca="1" si="22"/>
        <v>#NAME?</v>
      </c>
      <c r="N135" t="e">
        <f t="shared" ca="1" si="22"/>
        <v>#NAME?</v>
      </c>
      <c r="O135" t="e">
        <f t="shared" ca="1" si="22"/>
        <v>#NAME?</v>
      </c>
      <c r="P135" t="e">
        <f t="shared" ca="1" si="22"/>
        <v>#NAME?</v>
      </c>
      <c r="R135" t="e">
        <f t="shared" ca="1" si="25"/>
        <v>#NAME?</v>
      </c>
      <c r="S135" t="e">
        <f t="shared" ca="1" si="23"/>
        <v>#NAME?</v>
      </c>
      <c r="T135" t="e">
        <f t="shared" ca="1" si="23"/>
        <v>#NAME?</v>
      </c>
      <c r="U135" t="e">
        <f t="shared" ca="1" si="23"/>
        <v>#NAME?</v>
      </c>
      <c r="V135" t="e">
        <f t="shared" ca="1" si="23"/>
        <v>#NAME?</v>
      </c>
      <c r="W135" t="e">
        <f t="shared" ca="1" si="23"/>
        <v>#NAME?</v>
      </c>
      <c r="X135" t="e">
        <f t="shared" ca="1" si="23"/>
        <v>#NAME?</v>
      </c>
      <c r="Z135" s="15">
        <v>1</v>
      </c>
    </row>
    <row r="136" spans="1:34">
      <c r="A136" s="106" t="s">
        <v>223</v>
      </c>
      <c r="B136" s="107" t="str">
        <f t="shared" ref="B136:H136" si="27">B101</f>
        <v>Mon 20 Jul</v>
      </c>
      <c r="C136" s="107" t="str">
        <f t="shared" si="27"/>
        <v>Tues 21 Jul</v>
      </c>
      <c r="D136" s="107" t="str">
        <f t="shared" si="27"/>
        <v>Wed 22 Jul</v>
      </c>
      <c r="E136" s="107" t="str">
        <f t="shared" si="27"/>
        <v>Thu 23 Jul</v>
      </c>
      <c r="F136" s="107" t="str">
        <f t="shared" si="27"/>
        <v>Fri 24 Jul</v>
      </c>
      <c r="G136" s="107" t="str">
        <f t="shared" si="27"/>
        <v>Sat 25 Jul</v>
      </c>
      <c r="H136" s="107" t="str">
        <f t="shared" si="27"/>
        <v>Sun 26 Jul</v>
      </c>
      <c r="J136" t="e">
        <f t="shared" ca="1" si="24"/>
        <v>#NAME?</v>
      </c>
      <c r="K136" t="e">
        <f t="shared" ca="1" si="22"/>
        <v>#NAME?</v>
      </c>
      <c r="L136" t="e">
        <f t="shared" ca="1" si="22"/>
        <v>#NAME?</v>
      </c>
      <c r="M136" t="e">
        <f t="shared" ca="1" si="22"/>
        <v>#NAME?</v>
      </c>
      <c r="N136" t="e">
        <f t="shared" ca="1" si="22"/>
        <v>#NAME?</v>
      </c>
      <c r="O136" t="e">
        <f t="shared" ca="1" si="22"/>
        <v>#NAME?</v>
      </c>
      <c r="P136" t="e">
        <f t="shared" ca="1" si="22"/>
        <v>#NAME?</v>
      </c>
      <c r="R136" t="e">
        <f t="shared" ca="1" si="25"/>
        <v>#NAME?</v>
      </c>
      <c r="S136" t="e">
        <f t="shared" ca="1" si="23"/>
        <v>#NAME?</v>
      </c>
      <c r="T136" t="e">
        <f t="shared" ca="1" si="23"/>
        <v>#NAME?</v>
      </c>
      <c r="U136" t="e">
        <f t="shared" ca="1" si="23"/>
        <v>#NAME?</v>
      </c>
      <c r="V136" t="e">
        <f t="shared" ca="1" si="23"/>
        <v>#NAME?</v>
      </c>
      <c r="W136" t="e">
        <f t="shared" ca="1" si="23"/>
        <v>#NAME?</v>
      </c>
      <c r="X136" t="e">
        <f t="shared" ca="1" si="23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24"/>
        <v>#NAME?</v>
      </c>
      <c r="K137" t="e">
        <f t="shared" ca="1" si="22"/>
        <v>#NAME?</v>
      </c>
      <c r="L137" t="e">
        <f t="shared" ca="1" si="22"/>
        <v>#NAME?</v>
      </c>
      <c r="M137" t="e">
        <f t="shared" ca="1" si="22"/>
        <v>#NAME?</v>
      </c>
      <c r="N137" t="e">
        <f t="shared" ref="N137:P140" ca="1" si="28">colorindex(F137)</f>
        <v>#NAME?</v>
      </c>
      <c r="O137" t="e">
        <f t="shared" ca="1" si="28"/>
        <v>#NAME?</v>
      </c>
      <c r="P137" t="e">
        <f t="shared" ca="1" si="28"/>
        <v>#NAME?</v>
      </c>
      <c r="R137" t="e">
        <f t="shared" ca="1" si="25"/>
        <v>#NAME?</v>
      </c>
      <c r="S137" t="e">
        <f t="shared" ca="1" si="23"/>
        <v>#NAME?</v>
      </c>
      <c r="T137" t="e">
        <f t="shared" ca="1" si="23"/>
        <v>#NAME?</v>
      </c>
      <c r="U137" t="e">
        <f t="shared" ca="1" si="23"/>
        <v>#NAME?</v>
      </c>
      <c r="V137" t="e">
        <f t="shared" ref="V137:X140" ca="1" si="29">ShiftIndex(F137)</f>
        <v>#NAME?</v>
      </c>
      <c r="W137" t="e">
        <f t="shared" ca="1" si="29"/>
        <v>#NAME?</v>
      </c>
      <c r="X137" t="e">
        <f t="shared" ca="1" si="29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24"/>
        <v>#NAME?</v>
      </c>
      <c r="K138" t="e">
        <f t="shared" ca="1" si="24"/>
        <v>#NAME?</v>
      </c>
      <c r="L138" t="e">
        <f t="shared" ca="1" si="24"/>
        <v>#NAME?</v>
      </c>
      <c r="M138" t="e">
        <f t="shared" ca="1" si="24"/>
        <v>#NAME?</v>
      </c>
      <c r="N138" t="e">
        <f t="shared" ca="1" si="28"/>
        <v>#NAME?</v>
      </c>
      <c r="O138" t="e">
        <f t="shared" ca="1" si="28"/>
        <v>#NAME?</v>
      </c>
      <c r="P138" t="e">
        <f t="shared" ca="1" si="28"/>
        <v>#NAME?</v>
      </c>
      <c r="R138" t="e">
        <f t="shared" ca="1" si="25"/>
        <v>#NAME?</v>
      </c>
      <c r="S138" t="e">
        <f t="shared" ca="1" si="25"/>
        <v>#NAME?</v>
      </c>
      <c r="T138" t="e">
        <f t="shared" ca="1" si="25"/>
        <v>#NAME?</v>
      </c>
      <c r="U138" t="e">
        <f t="shared" ca="1" si="25"/>
        <v>#NAME?</v>
      </c>
      <c r="V138" t="e">
        <f t="shared" ca="1" si="29"/>
        <v>#NAME?</v>
      </c>
      <c r="W138" t="e">
        <f t="shared" ca="1" si="29"/>
        <v>#NAME?</v>
      </c>
      <c r="X138" t="e">
        <f t="shared" ca="1" si="29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30">B136</f>
        <v>Mon 20 Jul</v>
      </c>
      <c r="C139" s="107" t="str">
        <f t="shared" si="30"/>
        <v>Tues 21 Jul</v>
      </c>
      <c r="D139" s="107" t="str">
        <f t="shared" si="30"/>
        <v>Wed 22 Jul</v>
      </c>
      <c r="E139" s="107" t="str">
        <f t="shared" si="30"/>
        <v>Thu 23 Jul</v>
      </c>
      <c r="F139" s="107" t="str">
        <f t="shared" si="30"/>
        <v>Fri 24 Jul</v>
      </c>
      <c r="G139" s="107" t="str">
        <f t="shared" si="30"/>
        <v>Sat 25 Jul</v>
      </c>
      <c r="H139" s="107" t="str">
        <f t="shared" si="30"/>
        <v>Sun 26 Jul</v>
      </c>
      <c r="J139" t="e">
        <f t="shared" ca="1" si="24"/>
        <v>#NAME?</v>
      </c>
      <c r="K139" t="e">
        <f t="shared" ca="1" si="24"/>
        <v>#NAME?</v>
      </c>
      <c r="L139" t="e">
        <f t="shared" ca="1" si="24"/>
        <v>#NAME?</v>
      </c>
      <c r="M139" t="e">
        <f t="shared" ca="1" si="24"/>
        <v>#NAME?</v>
      </c>
      <c r="N139" t="e">
        <f t="shared" ca="1" si="28"/>
        <v>#NAME?</v>
      </c>
      <c r="O139" t="e">
        <f t="shared" ca="1" si="28"/>
        <v>#NAME?</v>
      </c>
      <c r="P139" t="e">
        <f t="shared" ca="1" si="28"/>
        <v>#NAME?</v>
      </c>
      <c r="Q139"/>
      <c r="R139" t="e">
        <f t="shared" ca="1" si="25"/>
        <v>#NAME?</v>
      </c>
      <c r="S139" t="e">
        <f t="shared" ca="1" si="25"/>
        <v>#NAME?</v>
      </c>
      <c r="T139" t="e">
        <f t="shared" ca="1" si="25"/>
        <v>#NAME?</v>
      </c>
      <c r="U139" t="e">
        <f t="shared" ca="1" si="25"/>
        <v>#NAME?</v>
      </c>
      <c r="V139" t="e">
        <f t="shared" ca="1" si="29"/>
        <v>#NAME?</v>
      </c>
      <c r="W139" t="e">
        <f t="shared" ca="1" si="29"/>
        <v>#NAME?</v>
      </c>
      <c r="X139" t="e">
        <f t="shared" ca="1" si="29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24"/>
        <v>#NAME?</v>
      </c>
      <c r="K140" t="e">
        <f t="shared" ca="1" si="24"/>
        <v>#NAME?</v>
      </c>
      <c r="L140" t="e">
        <f t="shared" ca="1" si="24"/>
        <v>#NAME?</v>
      </c>
      <c r="M140" t="e">
        <f t="shared" ca="1" si="24"/>
        <v>#NAME?</v>
      </c>
      <c r="N140" t="e">
        <f t="shared" ca="1" si="28"/>
        <v>#NAME?</v>
      </c>
      <c r="O140" t="e">
        <f t="shared" ca="1" si="28"/>
        <v>#NAME?</v>
      </c>
      <c r="P140" t="e">
        <f t="shared" ca="1" si="28"/>
        <v>#NAME?</v>
      </c>
      <c r="Q140"/>
      <c r="R140" t="e">
        <f t="shared" ca="1" si="25"/>
        <v>#NAME?</v>
      </c>
      <c r="S140" t="e">
        <f t="shared" ca="1" si="25"/>
        <v>#NAME?</v>
      </c>
      <c r="T140" t="e">
        <f t="shared" ca="1" si="25"/>
        <v>#NAME?</v>
      </c>
      <c r="U140" t="e">
        <f t="shared" ca="1" si="25"/>
        <v>#NAME?</v>
      </c>
      <c r="V140" t="e">
        <f t="shared" ca="1" si="29"/>
        <v>#NAME?</v>
      </c>
      <c r="W140" t="e">
        <f t="shared" ca="1" si="29"/>
        <v>#NAME?</v>
      </c>
      <c r="X140" t="e">
        <f t="shared" ca="1" si="29"/>
        <v>#NAME?</v>
      </c>
      <c r="Z140" s="12"/>
      <c r="AA140"/>
    </row>
    <row r="141" spans="1:34">
      <c r="A141" s="106" t="s">
        <v>242</v>
      </c>
      <c r="B141" s="107" t="str">
        <f t="shared" ref="B141:H141" si="31">B58</f>
        <v>Mon 20 Jul</v>
      </c>
      <c r="C141" s="107" t="str">
        <f t="shared" si="31"/>
        <v>Tues 21 Jul</v>
      </c>
      <c r="D141" s="107" t="str">
        <f t="shared" si="31"/>
        <v>Wed 22 Jul</v>
      </c>
      <c r="E141" s="107" t="str">
        <f t="shared" si="31"/>
        <v>Thu 23 Jul</v>
      </c>
      <c r="F141" s="107" t="str">
        <f t="shared" si="31"/>
        <v>Fri 24 Jul</v>
      </c>
      <c r="G141" s="107" t="str">
        <f t="shared" si="31"/>
        <v>Sat 25 Jul</v>
      </c>
      <c r="H141" s="107" t="str">
        <f t="shared" si="31"/>
        <v>Sun 26 Jul</v>
      </c>
    </row>
    <row r="142" spans="1:34">
      <c r="A142" s="27" t="s">
        <v>243</v>
      </c>
      <c r="B142" s="17">
        <f t="shared" ref="B142:H142" ca="1" si="32">COUNTIFS(J:J,"Red",R:R,"AM")</f>
        <v>0</v>
      </c>
      <c r="C142" s="17">
        <f t="shared" ca="1" si="32"/>
        <v>0</v>
      </c>
      <c r="D142" s="17">
        <f t="shared" ca="1" si="32"/>
        <v>0</v>
      </c>
      <c r="E142" s="17">
        <f t="shared" ca="1" si="32"/>
        <v>0</v>
      </c>
      <c r="F142" s="17">
        <f t="shared" ca="1" si="32"/>
        <v>0</v>
      </c>
      <c r="G142" s="17">
        <f t="shared" ca="1" si="32"/>
        <v>0</v>
      </c>
      <c r="H142" s="17">
        <f t="shared" ca="1" si="32"/>
        <v>0</v>
      </c>
    </row>
    <row r="143" spans="1:34">
      <c r="A143" s="2" t="s">
        <v>244</v>
      </c>
      <c r="B143" s="17">
        <f t="shared" ref="B143:H143" ca="1" si="33">COUNTIFS(J:J,"Green",R:R,"AM")</f>
        <v>0</v>
      </c>
      <c r="C143" s="17">
        <f t="shared" ca="1" si="33"/>
        <v>0</v>
      </c>
      <c r="D143" s="17">
        <f t="shared" ca="1" si="33"/>
        <v>0</v>
      </c>
      <c r="E143" s="17">
        <f t="shared" ca="1" si="33"/>
        <v>0</v>
      </c>
      <c r="F143" s="17">
        <f t="shared" ca="1" si="33"/>
        <v>0</v>
      </c>
      <c r="G143" s="17">
        <f t="shared" ca="1" si="33"/>
        <v>0</v>
      </c>
      <c r="H143" s="17">
        <f t="shared" ca="1" si="33"/>
        <v>0</v>
      </c>
    </row>
    <row r="144" spans="1:34">
      <c r="A144" s="26" t="s">
        <v>245</v>
      </c>
      <c r="B144" s="17">
        <f t="shared" ref="B144:H144" ca="1" si="34">COUNTIFS(J:J,"Gold",R:R,"AM")</f>
        <v>0</v>
      </c>
      <c r="C144" s="17">
        <f t="shared" ca="1" si="34"/>
        <v>0</v>
      </c>
      <c r="D144" s="17">
        <f t="shared" ca="1" si="34"/>
        <v>0</v>
      </c>
      <c r="E144" s="17">
        <f t="shared" ca="1" si="34"/>
        <v>0</v>
      </c>
      <c r="F144" s="17">
        <f t="shared" ca="1" si="34"/>
        <v>0</v>
      </c>
      <c r="G144" s="17">
        <f t="shared" ca="1" si="34"/>
        <v>0</v>
      </c>
      <c r="H144" s="17">
        <f t="shared" ca="1" si="34"/>
        <v>0</v>
      </c>
    </row>
    <row r="145" spans="1:26">
      <c r="A145" s="29" t="s">
        <v>246</v>
      </c>
      <c r="B145" s="17">
        <f t="shared" ref="B145:H145" ca="1" si="35">COUNTIFS(J:J,"LGreen",R:R,"AM")</f>
        <v>0</v>
      </c>
      <c r="C145" s="17">
        <f t="shared" ca="1" si="35"/>
        <v>0</v>
      </c>
      <c r="D145" s="17">
        <f t="shared" ca="1" si="35"/>
        <v>0</v>
      </c>
      <c r="E145" s="17">
        <f t="shared" ca="1" si="35"/>
        <v>0</v>
      </c>
      <c r="F145" s="17">
        <f t="shared" ca="1" si="35"/>
        <v>0</v>
      </c>
      <c r="G145" s="17">
        <f t="shared" ca="1" si="35"/>
        <v>0</v>
      </c>
      <c r="H145" s="17">
        <f t="shared" ca="1" si="35"/>
        <v>0</v>
      </c>
    </row>
    <row r="146" spans="1:26">
      <c r="A146" s="43" t="s">
        <v>26</v>
      </c>
      <c r="B146" s="17">
        <f t="shared" ref="B146:H146" ca="1" si="36">COUNTIFS(J:J,"Blue",R:R,"AM")</f>
        <v>0</v>
      </c>
      <c r="C146" s="17">
        <f t="shared" ca="1" si="36"/>
        <v>0</v>
      </c>
      <c r="D146" s="17">
        <f t="shared" ca="1" si="36"/>
        <v>0</v>
      </c>
      <c r="E146" s="17">
        <f t="shared" ca="1" si="36"/>
        <v>0</v>
      </c>
      <c r="F146" s="17">
        <f t="shared" ca="1" si="36"/>
        <v>0</v>
      </c>
      <c r="G146" s="17">
        <f t="shared" ca="1" si="36"/>
        <v>0</v>
      </c>
      <c r="H146" s="17">
        <f t="shared" ca="1" si="36"/>
        <v>0</v>
      </c>
    </row>
    <row r="147" spans="1:26">
      <c r="A147" s="3" t="s">
        <v>16</v>
      </c>
      <c r="B147" s="17">
        <f t="shared" ref="B147:H147" ca="1" si="37">COUNTIFS(J:J,"Pink",R:R,"AM")</f>
        <v>0</v>
      </c>
      <c r="C147" s="17">
        <f t="shared" ca="1" si="37"/>
        <v>0</v>
      </c>
      <c r="D147" s="17">
        <f t="shared" ca="1" si="37"/>
        <v>0</v>
      </c>
      <c r="E147" s="17">
        <f t="shared" ca="1" si="37"/>
        <v>0</v>
      </c>
      <c r="F147" s="17">
        <f t="shared" ca="1" si="37"/>
        <v>0</v>
      </c>
      <c r="G147" s="17">
        <f t="shared" ca="1" si="37"/>
        <v>0</v>
      </c>
      <c r="H147" s="17">
        <f t="shared" ca="1" si="37"/>
        <v>0</v>
      </c>
    </row>
    <row r="148" spans="1:26">
      <c r="A148" s="5" t="s">
        <v>247</v>
      </c>
      <c r="B148" s="17">
        <f t="shared" ref="B148:H148" ca="1" si="38">COUNTIFS(R:R,"AM") - B142-B143-B144-B145-B146-B147</f>
        <v>0</v>
      </c>
      <c r="C148" s="17">
        <f t="shared" ca="1" si="38"/>
        <v>0</v>
      </c>
      <c r="D148" s="17">
        <f t="shared" ca="1" si="38"/>
        <v>0</v>
      </c>
      <c r="E148" s="17">
        <f t="shared" ca="1" si="38"/>
        <v>0</v>
      </c>
      <c r="F148" s="17">
        <f t="shared" ca="1" si="38"/>
        <v>0</v>
      </c>
      <c r="G148" s="17">
        <f t="shared" ca="1" si="38"/>
        <v>0</v>
      </c>
      <c r="H148" s="17">
        <f t="shared" ca="1" si="38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39">SUM(C142:C147)</f>
        <v>0</v>
      </c>
      <c r="D149" s="47">
        <f t="shared" ca="1" si="39"/>
        <v>0</v>
      </c>
      <c r="E149" s="47">
        <f t="shared" ca="1" si="39"/>
        <v>0</v>
      </c>
      <c r="F149" s="47">
        <f t="shared" ca="1" si="39"/>
        <v>0</v>
      </c>
      <c r="G149" s="47">
        <f t="shared" ca="1" si="39"/>
        <v>0</v>
      </c>
      <c r="H149" s="47">
        <f t="shared" ca="1" si="39"/>
        <v>0</v>
      </c>
      <c r="Z149" s="48"/>
    </row>
    <row r="150" spans="1:26">
      <c r="A150" s="27" t="s">
        <v>249</v>
      </c>
      <c r="B150" s="17">
        <f t="shared" ref="B150:H150" ca="1" si="40">COUNTIFS(J:J,"Red",R:R,"PM")</f>
        <v>0</v>
      </c>
      <c r="C150" s="17">
        <f t="shared" ca="1" si="40"/>
        <v>0</v>
      </c>
      <c r="D150" s="17">
        <f t="shared" ca="1" si="40"/>
        <v>0</v>
      </c>
      <c r="E150" s="17">
        <f t="shared" ca="1" si="40"/>
        <v>0</v>
      </c>
      <c r="F150" s="17">
        <f t="shared" ca="1" si="40"/>
        <v>0</v>
      </c>
      <c r="G150" s="17">
        <f t="shared" ca="1" si="40"/>
        <v>0</v>
      </c>
      <c r="H150" s="17">
        <f t="shared" ca="1" si="40"/>
        <v>0</v>
      </c>
    </row>
    <row r="151" spans="1:26">
      <c r="A151" s="2" t="s">
        <v>250</v>
      </c>
      <c r="B151" s="17">
        <f t="shared" ref="B151:H151" ca="1" si="41">COUNTIFS(J:J,"Green",R:R,"PM")</f>
        <v>0</v>
      </c>
      <c r="C151" s="17">
        <f t="shared" ca="1" si="41"/>
        <v>0</v>
      </c>
      <c r="D151" s="17">
        <f t="shared" ca="1" si="41"/>
        <v>0</v>
      </c>
      <c r="E151" s="17">
        <f t="shared" ca="1" si="41"/>
        <v>0</v>
      </c>
      <c r="F151" s="17">
        <f t="shared" ca="1" si="41"/>
        <v>0</v>
      </c>
      <c r="G151" s="17">
        <f t="shared" ca="1" si="41"/>
        <v>0</v>
      </c>
      <c r="H151" s="17">
        <f t="shared" ca="1" si="41"/>
        <v>0</v>
      </c>
    </row>
    <row r="152" spans="1:26">
      <c r="A152" s="26" t="s">
        <v>251</v>
      </c>
      <c r="B152" s="17">
        <f t="shared" ref="B152:H152" ca="1" si="42">COUNTIFS(J:J,"Gold",R:R,"PM")</f>
        <v>0</v>
      </c>
      <c r="C152" s="17">
        <f t="shared" ca="1" si="42"/>
        <v>0</v>
      </c>
      <c r="D152" s="17">
        <f t="shared" ca="1" si="42"/>
        <v>0</v>
      </c>
      <c r="E152" s="17">
        <f t="shared" ca="1" si="42"/>
        <v>0</v>
      </c>
      <c r="F152" s="17">
        <f t="shared" ca="1" si="42"/>
        <v>0</v>
      </c>
      <c r="G152" s="17">
        <f t="shared" ca="1" si="42"/>
        <v>0</v>
      </c>
      <c r="H152" s="17">
        <f t="shared" ca="1" si="42"/>
        <v>0</v>
      </c>
    </row>
    <row r="153" spans="1:26">
      <c r="A153" s="29" t="s">
        <v>252</v>
      </c>
      <c r="B153" s="17">
        <f t="shared" ref="B153:H153" ca="1" si="43">COUNTIFS(J:J,"LGreen",R:R,"PM")</f>
        <v>0</v>
      </c>
      <c r="C153" s="17">
        <f t="shared" ca="1" si="43"/>
        <v>0</v>
      </c>
      <c r="D153" s="17">
        <f t="shared" ca="1" si="43"/>
        <v>0</v>
      </c>
      <c r="E153" s="17">
        <f t="shared" ca="1" si="43"/>
        <v>0</v>
      </c>
      <c r="F153" s="17">
        <f t="shared" ca="1" si="43"/>
        <v>0</v>
      </c>
      <c r="G153" s="17">
        <f t="shared" ca="1" si="43"/>
        <v>0</v>
      </c>
      <c r="H153" s="17">
        <f t="shared" ca="1" si="43"/>
        <v>0</v>
      </c>
    </row>
    <row r="154" spans="1:26">
      <c r="A154" s="10" t="s">
        <v>253</v>
      </c>
      <c r="B154" s="17">
        <f t="shared" ref="B154:H154" ca="1" si="44">COUNTIFS(J:J,"Blue",R:R,"PM")</f>
        <v>0</v>
      </c>
      <c r="C154" s="17">
        <f t="shared" ca="1" si="44"/>
        <v>0</v>
      </c>
      <c r="D154" s="17">
        <f t="shared" ca="1" si="44"/>
        <v>0</v>
      </c>
      <c r="E154" s="17">
        <f t="shared" ca="1" si="44"/>
        <v>0</v>
      </c>
      <c r="F154" s="17">
        <f t="shared" ca="1" si="44"/>
        <v>0</v>
      </c>
      <c r="G154" s="17">
        <f t="shared" ca="1" si="44"/>
        <v>0</v>
      </c>
      <c r="H154" s="17">
        <f t="shared" ca="1" si="44"/>
        <v>0</v>
      </c>
    </row>
    <row r="155" spans="1:26">
      <c r="A155" s="3" t="s">
        <v>59</v>
      </c>
      <c r="B155" s="17">
        <f t="shared" ref="B155:H155" ca="1" si="45">COUNTIFS(J:J,"Pink",R:R,"PM")</f>
        <v>0</v>
      </c>
      <c r="C155" s="17">
        <f t="shared" ca="1" si="45"/>
        <v>0</v>
      </c>
      <c r="D155" s="17">
        <f t="shared" ca="1" si="45"/>
        <v>0</v>
      </c>
      <c r="E155" s="17">
        <f t="shared" ca="1" si="45"/>
        <v>0</v>
      </c>
      <c r="F155" s="17">
        <f t="shared" ca="1" si="45"/>
        <v>0</v>
      </c>
      <c r="G155" s="17">
        <f t="shared" ca="1" si="45"/>
        <v>0</v>
      </c>
      <c r="H155" s="17">
        <f t="shared" ca="1" si="45"/>
        <v>0</v>
      </c>
    </row>
    <row r="156" spans="1:26">
      <c r="A156" s="5" t="s">
        <v>254</v>
      </c>
      <c r="B156" s="17">
        <f t="shared" ref="B156:H156" ca="1" si="46">COUNTIFS(R:R,"PM") -B151-B152-B155-B154-B150-B153</f>
        <v>0</v>
      </c>
      <c r="C156" s="17">
        <f t="shared" ca="1" si="46"/>
        <v>0</v>
      </c>
      <c r="D156" s="17">
        <f t="shared" ca="1" si="46"/>
        <v>0</v>
      </c>
      <c r="E156" s="17">
        <f t="shared" ca="1" si="46"/>
        <v>0</v>
      </c>
      <c r="F156" s="17">
        <f t="shared" ca="1" si="46"/>
        <v>0</v>
      </c>
      <c r="G156" s="17">
        <f t="shared" ca="1" si="46"/>
        <v>0</v>
      </c>
      <c r="H156" s="17">
        <f t="shared" ca="1" si="46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47">SUM(C150:C155)</f>
        <v>0</v>
      </c>
      <c r="D157" s="47">
        <f t="shared" ca="1" si="47"/>
        <v>0</v>
      </c>
      <c r="E157" s="47">
        <f t="shared" ca="1" si="47"/>
        <v>0</v>
      </c>
      <c r="F157" s="47">
        <f t="shared" ca="1" si="47"/>
        <v>0</v>
      </c>
      <c r="G157" s="47">
        <f t="shared" ca="1" si="47"/>
        <v>0</v>
      </c>
      <c r="H157" s="47">
        <f t="shared" ca="1" si="47"/>
        <v>0</v>
      </c>
      <c r="Z157" s="48"/>
    </row>
    <row r="158" spans="1:26">
      <c r="A158" s="4" t="s">
        <v>256</v>
      </c>
      <c r="B158" s="17">
        <f t="shared" ref="B158:H158" ca="1" si="48">COUNTIFS(R:R,"ND")</f>
        <v>0</v>
      </c>
      <c r="C158" s="17">
        <f t="shared" ca="1" si="48"/>
        <v>0</v>
      </c>
      <c r="D158" s="17">
        <f t="shared" ca="1" si="48"/>
        <v>0</v>
      </c>
      <c r="E158" s="17">
        <f t="shared" ca="1" si="48"/>
        <v>0</v>
      </c>
      <c r="F158" s="17">
        <f t="shared" ca="1" si="48"/>
        <v>0</v>
      </c>
      <c r="G158" s="17">
        <f t="shared" ca="1" si="48"/>
        <v>0</v>
      </c>
      <c r="H158" s="17">
        <f t="shared" ca="1" si="48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2:H124">
    <sortCondition ref="A87"/>
  </sortState>
  <mergeCells count="21">
    <mergeCell ref="B50:H50"/>
    <mergeCell ref="B28:H28"/>
    <mergeCell ref="B34:H34"/>
    <mergeCell ref="B40:H40"/>
    <mergeCell ref="B48:H48"/>
    <mergeCell ref="B27:H27"/>
    <mergeCell ref="B12:H12"/>
    <mergeCell ref="B14:H14"/>
    <mergeCell ref="B20:H20"/>
    <mergeCell ref="B23:H23"/>
    <mergeCell ref="B26:H26"/>
    <mergeCell ref="B89:H89"/>
    <mergeCell ref="B102:H102"/>
    <mergeCell ref="B130:H130"/>
    <mergeCell ref="B134:H134"/>
    <mergeCell ref="F129:H129"/>
    <mergeCell ref="G131:H131"/>
    <mergeCell ref="G132:H132"/>
    <mergeCell ref="B112:H112"/>
    <mergeCell ref="B121:C121"/>
    <mergeCell ref="D121:H121"/>
  </mergeCells>
  <phoneticPr fontId="12" type="noConversion"/>
  <conditionalFormatting sqref="B145:H145 B147:H147 B153:H153 B155:H155">
    <cfRule type="cellIs" dxfId="11" priority="4" operator="lessThan">
      <formula>2</formula>
    </cfRule>
  </conditionalFormatting>
  <conditionalFormatting sqref="B146:H146">
    <cfRule type="cellIs" dxfId="10" priority="2" operator="lessThan">
      <formula>2</formula>
    </cfRule>
  </conditionalFormatting>
  <conditionalFormatting sqref="B143:H144 B151:H152">
    <cfRule type="cellIs" dxfId="9" priority="5" operator="lessThan">
      <formula>4</formula>
    </cfRule>
  </conditionalFormatting>
  <conditionalFormatting sqref="B142:H142 B150:H150">
    <cfRule type="cellIs" dxfId="8" priority="6" operator="lessThan">
      <formula>2</formula>
    </cfRule>
  </conditionalFormatting>
  <conditionalFormatting sqref="B158:H158">
    <cfRule type="cellIs" dxfId="7" priority="3" operator="lessThan">
      <formula>7</formula>
    </cfRule>
  </conditionalFormatting>
  <conditionalFormatting sqref="B154:H154">
    <cfRule type="cellIs" dxfId="6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7">
    <tabColor rgb="FFCCFFCC"/>
    <pageSetUpPr fitToPage="1"/>
  </sheetPr>
  <dimension ref="A1:AH161"/>
  <sheetViews>
    <sheetView topLeftCell="A88" zoomScaleNormal="100" workbookViewId="0">
      <selection activeCell="B71" sqref="B71"/>
    </sheetView>
  </sheetViews>
  <sheetFormatPr defaultColWidth="9.140625" defaultRowHeight="15"/>
  <cols>
    <col min="1" max="1" width="29" style="16" customWidth="1"/>
    <col min="2" max="2" width="13.85546875" style="16" customWidth="1"/>
    <col min="3" max="3" width="13.85546875" style="7" customWidth="1"/>
    <col min="4" max="8" width="13.85546875" style="16" customWidth="1"/>
    <col min="9" max="9" width="10.42578125" hidden="1" customWidth="1"/>
    <col min="10" max="16" width="6.42578125" hidden="1" customWidth="1"/>
    <col min="17" max="17" width="9.140625" hidden="1" customWidth="1"/>
    <col min="18" max="18" width="4.42578125" hidden="1" customWidth="1"/>
    <col min="19" max="19" width="4" hidden="1" customWidth="1"/>
    <col min="20" max="20" width="4.7109375" hidden="1" customWidth="1"/>
    <col min="21" max="24" width="4" hidden="1" customWidth="1"/>
    <col min="25" max="25" width="5.42578125" hidden="1" customWidth="1"/>
    <col min="26" max="26" width="5.7109375" style="15" bestFit="1" customWidth="1"/>
  </cols>
  <sheetData>
    <row r="1" spans="1:26" ht="15.75">
      <c r="A1" s="102" t="s">
        <v>0</v>
      </c>
      <c r="B1" s="103" t="s">
        <v>1</v>
      </c>
      <c r="C1" s="103" t="s">
        <v>2</v>
      </c>
      <c r="D1" s="103" t="s">
        <v>3</v>
      </c>
      <c r="E1" s="103" t="s">
        <v>4</v>
      </c>
      <c r="F1" s="103" t="s">
        <v>5</v>
      </c>
      <c r="G1" s="103" t="s">
        <v>6</v>
      </c>
      <c r="H1" s="103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</row>
    <row r="2" spans="1:26">
      <c r="A2" s="104"/>
      <c r="B2" s="105">
        <v>46230</v>
      </c>
      <c r="C2" s="105">
        <f>B2+1</f>
        <v>46231</v>
      </c>
      <c r="D2" s="105">
        <f t="shared" ref="D2:H2" si="0">C2+1</f>
        <v>46232</v>
      </c>
      <c r="E2" s="105">
        <f t="shared" si="0"/>
        <v>46233</v>
      </c>
      <c r="F2" s="105">
        <f t="shared" si="0"/>
        <v>46234</v>
      </c>
      <c r="G2" s="105">
        <f t="shared" si="0"/>
        <v>46235</v>
      </c>
      <c r="H2" s="105">
        <f t="shared" si="0"/>
        <v>46236</v>
      </c>
    </row>
    <row r="3" spans="1:26" ht="14.45" customHeight="1">
      <c r="A3" s="21" t="s">
        <v>15</v>
      </c>
      <c r="B3" s="25"/>
      <c r="C3" s="110" t="s">
        <v>59</v>
      </c>
      <c r="D3" s="25"/>
      <c r="E3" s="25"/>
      <c r="F3" s="25"/>
      <c r="G3" s="25"/>
      <c r="H3" s="25"/>
      <c r="J3" t="e">
        <f t="shared" ref="J3:P3" ca="1" si="1">colorindex(B3)</f>
        <v>#NAME?</v>
      </c>
      <c r="K3" t="e">
        <f t="shared" ca="1" si="1"/>
        <v>#NAME?</v>
      </c>
      <c r="L3" t="e">
        <f t="shared" ca="1" si="1"/>
        <v>#NAME?</v>
      </c>
      <c r="M3" t="e">
        <f t="shared" ca="1" si="1"/>
        <v>#NAME?</v>
      </c>
      <c r="N3" t="e">
        <f t="shared" ca="1" si="1"/>
        <v>#NAME?</v>
      </c>
      <c r="O3" t="e">
        <f t="shared" ca="1" si="1"/>
        <v>#NAME?</v>
      </c>
      <c r="P3" t="e">
        <f t="shared" ca="1" si="1"/>
        <v>#NAME?</v>
      </c>
      <c r="R3" t="e">
        <f t="shared" ref="R3:X3" ca="1" si="2">ShiftIndex(B3)</f>
        <v>#NAME?</v>
      </c>
      <c r="S3" t="e">
        <f t="shared" ca="1" si="2"/>
        <v>#NAME?</v>
      </c>
      <c r="T3" t="e">
        <f t="shared" ca="1" si="2"/>
        <v>#NAME?</v>
      </c>
      <c r="U3" t="e">
        <f t="shared" ca="1" si="2"/>
        <v>#NAME?</v>
      </c>
      <c r="V3" t="e">
        <f t="shared" ca="1" si="2"/>
        <v>#NAME?</v>
      </c>
      <c r="W3" t="e">
        <f t="shared" ca="1" si="2"/>
        <v>#NAME?</v>
      </c>
      <c r="X3" t="e">
        <f t="shared" ca="1" si="2"/>
        <v>#NAME?</v>
      </c>
      <c r="Z3" s="15">
        <v>0.25</v>
      </c>
    </row>
    <row r="4" spans="1:26" ht="14.45" customHeight="1">
      <c r="A4" s="21" t="s">
        <v>17</v>
      </c>
      <c r="B4" s="25"/>
      <c r="C4" s="25"/>
      <c r="D4" s="25"/>
      <c r="E4" s="25"/>
      <c r="F4" s="118" t="s">
        <v>31</v>
      </c>
      <c r="G4" s="25"/>
      <c r="H4" s="25"/>
      <c r="J4" t="e">
        <f t="shared" ref="J4:J67" ca="1" si="3">colorindex(B4)</f>
        <v>#NAME?</v>
      </c>
      <c r="K4" t="e">
        <f t="shared" ref="K4:K67" ca="1" si="4">colorindex(C4)</f>
        <v>#NAME?</v>
      </c>
      <c r="L4" t="e">
        <f t="shared" ref="L4:L67" ca="1" si="5">colorindex(D4)</f>
        <v>#NAME?</v>
      </c>
      <c r="M4" t="e">
        <f t="shared" ref="M4:M67" ca="1" si="6">colorindex(E4)</f>
        <v>#NAME?</v>
      </c>
      <c r="N4" t="e">
        <f t="shared" ref="N4:N67" ca="1" si="7">colorindex(F4)</f>
        <v>#NAME?</v>
      </c>
      <c r="O4" t="e">
        <f t="shared" ref="O4:O67" ca="1" si="8">colorindex(G4)</f>
        <v>#NAME?</v>
      </c>
      <c r="P4" t="e">
        <f t="shared" ref="P4:P67" ca="1" si="9">colorindex(H4)</f>
        <v>#NAME?</v>
      </c>
      <c r="R4" t="e">
        <f t="shared" ref="R4:R67" ca="1" si="10">ShiftIndex(B4)</f>
        <v>#NAME?</v>
      </c>
      <c r="S4" t="e">
        <f t="shared" ref="S4:S67" ca="1" si="11">ShiftIndex(C4)</f>
        <v>#NAME?</v>
      </c>
      <c r="T4" t="e">
        <f t="shared" ref="T4:T67" ca="1" si="12">ShiftIndex(D4)</f>
        <v>#NAME?</v>
      </c>
      <c r="U4" t="e">
        <f t="shared" ref="U4:U67" ca="1" si="13">ShiftIndex(E4)</f>
        <v>#NAME?</v>
      </c>
      <c r="V4" t="e">
        <f t="shared" ref="V4:V67" ca="1" si="14">ShiftIndex(F4)</f>
        <v>#NAME?</v>
      </c>
      <c r="W4" t="e">
        <f t="shared" ref="W4:W67" ca="1" si="15">ShiftIndex(G4)</f>
        <v>#NAME?</v>
      </c>
      <c r="X4" t="e">
        <f t="shared" ref="X4:X67" ca="1" si="16">ShiftIndex(H4)</f>
        <v>#NAME?</v>
      </c>
      <c r="Z4" s="15">
        <v>0.25</v>
      </c>
    </row>
    <row r="5" spans="1:26" ht="14.45" customHeight="1">
      <c r="A5" s="21" t="s">
        <v>19</v>
      </c>
      <c r="B5" s="127" t="s">
        <v>20</v>
      </c>
      <c r="C5" s="128"/>
      <c r="D5" s="128"/>
      <c r="E5" s="128"/>
      <c r="F5" s="128"/>
      <c r="G5" s="128"/>
      <c r="H5" s="129"/>
      <c r="J5" t="e">
        <f t="shared" ca="1" si="3"/>
        <v>#NAME?</v>
      </c>
      <c r="K5" t="e">
        <f t="shared" ca="1" si="4"/>
        <v>#NAME?</v>
      </c>
      <c r="L5" t="e">
        <f t="shared" ca="1" si="5"/>
        <v>#NAME?</v>
      </c>
      <c r="M5" t="e">
        <f t="shared" ca="1" si="6"/>
        <v>#NAME?</v>
      </c>
      <c r="N5" t="e">
        <f t="shared" ca="1" si="7"/>
        <v>#NAME?</v>
      </c>
      <c r="O5" t="e">
        <f t="shared" ca="1" si="8"/>
        <v>#NAME?</v>
      </c>
      <c r="P5" t="e">
        <f t="shared" ca="1" si="9"/>
        <v>#NAME?</v>
      </c>
      <c r="R5" t="e">
        <f t="shared" ca="1" si="10"/>
        <v>#NAME?</v>
      </c>
      <c r="S5" t="e">
        <f t="shared" ca="1" si="11"/>
        <v>#NAME?</v>
      </c>
      <c r="T5" t="e">
        <f t="shared" ca="1" si="12"/>
        <v>#NAME?</v>
      </c>
      <c r="U5" t="e">
        <f t="shared" ca="1" si="13"/>
        <v>#NAME?</v>
      </c>
      <c r="V5" t="e">
        <f t="shared" ca="1" si="14"/>
        <v>#NAME?</v>
      </c>
      <c r="W5" t="e">
        <f t="shared" ca="1" si="15"/>
        <v>#NAME?</v>
      </c>
      <c r="X5" t="e">
        <f t="shared" ca="1" si="16"/>
        <v>#NAME?</v>
      </c>
      <c r="Z5" s="15">
        <v>0.5</v>
      </c>
    </row>
    <row r="6" spans="1:26" ht="14.45" customHeight="1">
      <c r="A6" s="21" t="s">
        <v>21</v>
      </c>
      <c r="B6" s="25"/>
      <c r="C6" s="25"/>
      <c r="D6" s="25"/>
      <c r="E6" s="25"/>
      <c r="F6" s="25"/>
      <c r="G6" s="25"/>
      <c r="H6" s="25"/>
      <c r="J6" t="e">
        <f t="shared" ca="1" si="3"/>
        <v>#NAME?</v>
      </c>
      <c r="K6" t="e">
        <f t="shared" ca="1" si="4"/>
        <v>#NAME?</v>
      </c>
      <c r="L6" t="e">
        <f t="shared" ca="1" si="5"/>
        <v>#NAME?</v>
      </c>
      <c r="M6" t="e">
        <f t="shared" ca="1" si="6"/>
        <v>#NAME?</v>
      </c>
      <c r="N6" t="e">
        <f t="shared" ca="1" si="7"/>
        <v>#NAME?</v>
      </c>
      <c r="O6" t="e">
        <f t="shared" ca="1" si="8"/>
        <v>#NAME?</v>
      </c>
      <c r="P6" t="e">
        <f t="shared" ca="1" si="9"/>
        <v>#NAME?</v>
      </c>
      <c r="R6" t="e">
        <f t="shared" ca="1" si="10"/>
        <v>#NAME?</v>
      </c>
      <c r="S6" t="e">
        <f t="shared" ca="1" si="11"/>
        <v>#NAME?</v>
      </c>
      <c r="T6" t="e">
        <f t="shared" ca="1" si="12"/>
        <v>#NAME?</v>
      </c>
      <c r="U6" t="e">
        <f t="shared" ca="1" si="13"/>
        <v>#NAME?</v>
      </c>
      <c r="V6" t="e">
        <f t="shared" ca="1" si="14"/>
        <v>#NAME?</v>
      </c>
      <c r="W6" t="e">
        <f t="shared" ca="1" si="15"/>
        <v>#NAME?</v>
      </c>
      <c r="X6" t="e">
        <f t="shared" ca="1" si="16"/>
        <v>#NAME?</v>
      </c>
    </row>
    <row r="7" spans="1:26" ht="14.45" customHeight="1">
      <c r="A7" s="21" t="s">
        <v>22</v>
      </c>
      <c r="B7" s="118" t="s">
        <v>31</v>
      </c>
      <c r="C7" s="25"/>
      <c r="D7" s="25" t="s">
        <v>24</v>
      </c>
      <c r="E7" s="116" t="s">
        <v>32</v>
      </c>
      <c r="F7" s="25"/>
      <c r="G7" s="110" t="s">
        <v>16</v>
      </c>
      <c r="H7" s="25"/>
      <c r="J7" t="e">
        <f t="shared" ca="1" si="3"/>
        <v>#NAME?</v>
      </c>
      <c r="K7" t="e">
        <f t="shared" ca="1" si="4"/>
        <v>#NAME?</v>
      </c>
      <c r="L7" t="e">
        <f t="shared" ca="1" si="5"/>
        <v>#NAME?</v>
      </c>
      <c r="M7" t="e">
        <f t="shared" ca="1" si="6"/>
        <v>#NAME?</v>
      </c>
      <c r="N7" t="e">
        <f t="shared" ca="1" si="7"/>
        <v>#NAME?</v>
      </c>
      <c r="O7" t="e">
        <f t="shared" ca="1" si="8"/>
        <v>#NAME?</v>
      </c>
      <c r="P7" t="e">
        <f t="shared" ca="1" si="9"/>
        <v>#NAME?</v>
      </c>
      <c r="R7" t="e">
        <f t="shared" ca="1" si="10"/>
        <v>#NAME?</v>
      </c>
      <c r="S7" t="e">
        <f t="shared" ca="1" si="11"/>
        <v>#NAME?</v>
      </c>
      <c r="T7" t="e">
        <f t="shared" ca="1" si="12"/>
        <v>#NAME?</v>
      </c>
      <c r="U7" t="e">
        <f t="shared" ca="1" si="13"/>
        <v>#NAME?</v>
      </c>
      <c r="V7" t="e">
        <f t="shared" ca="1" si="14"/>
        <v>#NAME?</v>
      </c>
      <c r="W7" t="e">
        <f t="shared" ca="1" si="15"/>
        <v>#NAME?</v>
      </c>
      <c r="X7" t="e">
        <f t="shared" ca="1" si="16"/>
        <v>#NAME?</v>
      </c>
      <c r="Z7" s="15">
        <v>1</v>
      </c>
    </row>
    <row r="8" spans="1:26" ht="14.45" customHeight="1">
      <c r="A8" s="21" t="s">
        <v>27</v>
      </c>
      <c r="B8" s="25"/>
      <c r="C8" s="25"/>
      <c r="D8" s="25"/>
      <c r="E8" s="25" t="s">
        <v>24</v>
      </c>
      <c r="F8" s="117" t="s">
        <v>31</v>
      </c>
      <c r="G8" s="25"/>
      <c r="H8" s="25"/>
      <c r="J8" t="e">
        <f t="shared" ca="1" si="3"/>
        <v>#NAME?</v>
      </c>
      <c r="K8" t="e">
        <f t="shared" ca="1" si="4"/>
        <v>#NAME?</v>
      </c>
      <c r="L8" t="e">
        <f t="shared" ca="1" si="5"/>
        <v>#NAME?</v>
      </c>
      <c r="M8" t="e">
        <f t="shared" ca="1" si="6"/>
        <v>#NAME?</v>
      </c>
      <c r="N8" t="e">
        <f t="shared" ca="1" si="7"/>
        <v>#NAME?</v>
      </c>
      <c r="O8" t="e">
        <f t="shared" ca="1" si="8"/>
        <v>#NAME?</v>
      </c>
      <c r="P8" t="e">
        <f t="shared" ca="1" si="9"/>
        <v>#NAME?</v>
      </c>
      <c r="R8" t="e">
        <f t="shared" ca="1" si="10"/>
        <v>#NAME?</v>
      </c>
      <c r="S8" t="e">
        <f t="shared" ca="1" si="11"/>
        <v>#NAME?</v>
      </c>
      <c r="T8" t="e">
        <f t="shared" ca="1" si="12"/>
        <v>#NAME?</v>
      </c>
      <c r="U8" t="e">
        <f t="shared" ca="1" si="13"/>
        <v>#NAME?</v>
      </c>
      <c r="V8" t="e">
        <f t="shared" ca="1" si="14"/>
        <v>#NAME?</v>
      </c>
      <c r="W8" t="e">
        <f t="shared" ca="1" si="15"/>
        <v>#NAME?</v>
      </c>
      <c r="X8" t="e">
        <f t="shared" ca="1" si="16"/>
        <v>#NAME?</v>
      </c>
      <c r="Z8" s="15">
        <v>0.5</v>
      </c>
    </row>
    <row r="9" spans="1:26" ht="15" customHeight="1">
      <c r="A9" s="21" t="s">
        <v>28</v>
      </c>
      <c r="B9" s="44" t="s">
        <v>26</v>
      </c>
      <c r="C9" s="118" t="s">
        <v>31</v>
      </c>
      <c r="D9" s="25"/>
      <c r="E9" s="25"/>
      <c r="F9" s="25"/>
      <c r="G9" s="25"/>
      <c r="H9" s="116" t="s">
        <v>32</v>
      </c>
      <c r="J9" t="e">
        <f t="shared" ca="1" si="3"/>
        <v>#NAME?</v>
      </c>
      <c r="K9" t="e">
        <f t="shared" ca="1" si="4"/>
        <v>#NAME?</v>
      </c>
      <c r="L9" t="e">
        <f t="shared" ca="1" si="5"/>
        <v>#NAME?</v>
      </c>
      <c r="M9" t="e">
        <f t="shared" ca="1" si="6"/>
        <v>#NAME?</v>
      </c>
      <c r="N9" t="e">
        <f t="shared" ca="1" si="7"/>
        <v>#NAME?</v>
      </c>
      <c r="O9" t="e">
        <f t="shared" ca="1" si="8"/>
        <v>#NAME?</v>
      </c>
      <c r="P9" t="e">
        <f t="shared" ca="1" si="9"/>
        <v>#NAME?</v>
      </c>
      <c r="R9" t="e">
        <f t="shared" ca="1" si="10"/>
        <v>#NAME?</v>
      </c>
      <c r="S9" t="e">
        <f t="shared" ca="1" si="11"/>
        <v>#NAME?</v>
      </c>
      <c r="T9" t="e">
        <f t="shared" ca="1" si="12"/>
        <v>#NAME?</v>
      </c>
      <c r="U9" t="e">
        <f t="shared" ca="1" si="13"/>
        <v>#NAME?</v>
      </c>
      <c r="V9" t="e">
        <f t="shared" ca="1" si="14"/>
        <v>#NAME?</v>
      </c>
      <c r="W9" t="e">
        <f t="shared" ca="1" si="15"/>
        <v>#NAME?</v>
      </c>
      <c r="X9" t="e">
        <f t="shared" ca="1" si="16"/>
        <v>#NAME?</v>
      </c>
      <c r="Z9" s="15">
        <v>0.75</v>
      </c>
    </row>
    <row r="10" spans="1:26" ht="14.45" customHeight="1">
      <c r="A10" s="21" t="s">
        <v>30</v>
      </c>
      <c r="B10" s="25"/>
      <c r="C10" s="25"/>
      <c r="D10" s="28" t="s">
        <v>34</v>
      </c>
      <c r="E10" s="25" t="s">
        <v>24</v>
      </c>
      <c r="F10" s="25"/>
      <c r="G10" s="118" t="s">
        <v>31</v>
      </c>
      <c r="H10" s="117" t="s">
        <v>36</v>
      </c>
      <c r="J10" t="e">
        <f t="shared" ca="1" si="3"/>
        <v>#NAME?</v>
      </c>
      <c r="K10" t="e">
        <f t="shared" ca="1" si="4"/>
        <v>#NAME?</v>
      </c>
      <c r="L10" t="e">
        <f t="shared" ca="1" si="5"/>
        <v>#NAME?</v>
      </c>
      <c r="M10" t="e">
        <f t="shared" ca="1" si="6"/>
        <v>#NAME?</v>
      </c>
      <c r="N10" t="e">
        <f t="shared" ca="1" si="7"/>
        <v>#NAME?</v>
      </c>
      <c r="O10" t="e">
        <f t="shared" ca="1" si="8"/>
        <v>#NAME?</v>
      </c>
      <c r="P10" t="e">
        <f t="shared" ca="1" si="9"/>
        <v>#NAME?</v>
      </c>
      <c r="R10" t="e">
        <f t="shared" ca="1" si="10"/>
        <v>#NAME?</v>
      </c>
      <c r="S10" t="e">
        <f t="shared" ca="1" si="11"/>
        <v>#NAME?</v>
      </c>
      <c r="T10" t="e">
        <f t="shared" ca="1" si="12"/>
        <v>#NAME?</v>
      </c>
      <c r="U10" t="e">
        <f t="shared" ca="1" si="13"/>
        <v>#NAME?</v>
      </c>
      <c r="V10" t="e">
        <f t="shared" ca="1" si="14"/>
        <v>#NAME?</v>
      </c>
      <c r="W10" t="e">
        <f t="shared" ca="1" si="15"/>
        <v>#NAME?</v>
      </c>
      <c r="X10" t="e">
        <f t="shared" ca="1" si="16"/>
        <v>#NAME?</v>
      </c>
      <c r="Z10" s="15">
        <v>0.75</v>
      </c>
    </row>
    <row r="11" spans="1:26" ht="14.45" customHeight="1">
      <c r="A11" s="21" t="s">
        <v>33</v>
      </c>
      <c r="B11" s="28" t="s">
        <v>25</v>
      </c>
      <c r="C11" s="117" t="s">
        <v>31</v>
      </c>
      <c r="D11" s="25"/>
      <c r="E11" s="25"/>
      <c r="F11" s="28" t="s">
        <v>25</v>
      </c>
      <c r="G11" s="25"/>
      <c r="H11" s="25"/>
      <c r="J11" t="e">
        <f t="shared" ca="1" si="3"/>
        <v>#NAME?</v>
      </c>
      <c r="K11" t="e">
        <f t="shared" ca="1" si="4"/>
        <v>#NAME?</v>
      </c>
      <c r="L11" t="e">
        <f t="shared" ca="1" si="5"/>
        <v>#NAME?</v>
      </c>
      <c r="M11" t="e">
        <f t="shared" ca="1" si="6"/>
        <v>#NAME?</v>
      </c>
      <c r="N11" t="e">
        <f t="shared" ca="1" si="7"/>
        <v>#NAME?</v>
      </c>
      <c r="O11" t="e">
        <f t="shared" ca="1" si="8"/>
        <v>#NAME?</v>
      </c>
      <c r="P11" t="e">
        <f t="shared" ca="1" si="9"/>
        <v>#NAME?</v>
      </c>
      <c r="R11" t="e">
        <f t="shared" ca="1" si="10"/>
        <v>#NAME?</v>
      </c>
      <c r="S11" t="e">
        <f t="shared" ca="1" si="11"/>
        <v>#NAME?</v>
      </c>
      <c r="T11" t="e">
        <f t="shared" ca="1" si="12"/>
        <v>#NAME?</v>
      </c>
      <c r="U11" t="e">
        <f t="shared" ca="1" si="13"/>
        <v>#NAME?</v>
      </c>
      <c r="V11" t="e">
        <f t="shared" ca="1" si="14"/>
        <v>#NAME?</v>
      </c>
      <c r="W11" t="e">
        <f t="shared" ca="1" si="15"/>
        <v>#NAME?</v>
      </c>
      <c r="X11" t="e">
        <f t="shared" ca="1" si="16"/>
        <v>#NAME?</v>
      </c>
      <c r="Z11" s="15">
        <v>1</v>
      </c>
    </row>
    <row r="12" spans="1:26" ht="15" customHeight="1">
      <c r="A12" s="22" t="s">
        <v>35</v>
      </c>
      <c r="B12" s="25"/>
      <c r="C12" s="25"/>
      <c r="D12" s="25" t="s">
        <v>24</v>
      </c>
      <c r="E12" s="44" t="s">
        <v>26</v>
      </c>
      <c r="F12" s="118" t="s">
        <v>36</v>
      </c>
      <c r="G12" s="116" t="s">
        <v>32</v>
      </c>
      <c r="H12" s="25"/>
      <c r="J12" t="e">
        <f t="shared" ca="1" si="3"/>
        <v>#NAME?</v>
      </c>
      <c r="K12" t="e">
        <f t="shared" ca="1" si="4"/>
        <v>#NAME?</v>
      </c>
      <c r="L12" t="e">
        <f t="shared" ca="1" si="5"/>
        <v>#NAME?</v>
      </c>
      <c r="M12" t="e">
        <f t="shared" ca="1" si="6"/>
        <v>#NAME?</v>
      </c>
      <c r="N12" t="e">
        <f t="shared" ca="1" si="7"/>
        <v>#NAME?</v>
      </c>
      <c r="O12" t="e">
        <f t="shared" ca="1" si="8"/>
        <v>#NAME?</v>
      </c>
      <c r="P12" t="e">
        <f t="shared" ca="1" si="9"/>
        <v>#NAME?</v>
      </c>
      <c r="R12" t="e">
        <f t="shared" ca="1" si="10"/>
        <v>#NAME?</v>
      </c>
      <c r="S12" t="e">
        <f t="shared" ca="1" si="11"/>
        <v>#NAME?</v>
      </c>
      <c r="T12" t="e">
        <f t="shared" ca="1" si="12"/>
        <v>#NAME?</v>
      </c>
      <c r="U12" t="e">
        <f t="shared" ca="1" si="13"/>
        <v>#NAME?</v>
      </c>
      <c r="V12" t="e">
        <f t="shared" ca="1" si="14"/>
        <v>#NAME?</v>
      </c>
      <c r="W12" t="e">
        <f t="shared" ca="1" si="15"/>
        <v>#NAME?</v>
      </c>
      <c r="X12" t="e">
        <f t="shared" ca="1" si="16"/>
        <v>#NAME?</v>
      </c>
      <c r="Z12" s="15">
        <v>0.5</v>
      </c>
    </row>
    <row r="13" spans="1:26" ht="15" customHeight="1">
      <c r="A13" s="22" t="s">
        <v>37</v>
      </c>
      <c r="B13" s="127" t="s">
        <v>20</v>
      </c>
      <c r="C13" s="128"/>
      <c r="D13" s="128"/>
      <c r="E13" s="128"/>
      <c r="F13" s="128"/>
      <c r="G13" s="128"/>
      <c r="H13" s="129"/>
      <c r="J13" t="e">
        <f t="shared" ca="1" si="3"/>
        <v>#NAME?</v>
      </c>
      <c r="K13" t="e">
        <f t="shared" ca="1" si="4"/>
        <v>#NAME?</v>
      </c>
      <c r="L13" t="e">
        <f t="shared" ca="1" si="5"/>
        <v>#NAME?</v>
      </c>
      <c r="M13" t="e">
        <f t="shared" ca="1" si="6"/>
        <v>#NAME?</v>
      </c>
      <c r="N13" t="e">
        <f t="shared" ca="1" si="7"/>
        <v>#NAME?</v>
      </c>
      <c r="O13" t="e">
        <f t="shared" ca="1" si="8"/>
        <v>#NAME?</v>
      </c>
      <c r="P13" t="e">
        <f t="shared" ca="1" si="9"/>
        <v>#NAME?</v>
      </c>
      <c r="R13" t="e">
        <f t="shared" ca="1" si="10"/>
        <v>#NAME?</v>
      </c>
      <c r="S13" t="e">
        <f t="shared" ca="1" si="11"/>
        <v>#NAME?</v>
      </c>
      <c r="T13" t="e">
        <f t="shared" ca="1" si="12"/>
        <v>#NAME?</v>
      </c>
      <c r="U13" t="e">
        <f t="shared" ca="1" si="13"/>
        <v>#NAME?</v>
      </c>
      <c r="V13" t="e">
        <f t="shared" ca="1" si="14"/>
        <v>#NAME?</v>
      </c>
      <c r="W13" t="e">
        <f t="shared" ca="1" si="15"/>
        <v>#NAME?</v>
      </c>
      <c r="X13" t="e">
        <f t="shared" ca="1" si="16"/>
        <v>#NAME?</v>
      </c>
      <c r="Z13" s="15">
        <v>0.25</v>
      </c>
    </row>
    <row r="14" spans="1:26" ht="14.45" customHeight="1">
      <c r="A14" s="21" t="s">
        <v>39</v>
      </c>
      <c r="B14" s="127" t="s">
        <v>260</v>
      </c>
      <c r="C14" s="128"/>
      <c r="D14" s="128"/>
      <c r="E14" s="128"/>
      <c r="F14" s="128"/>
      <c r="G14" s="128"/>
      <c r="H14" s="129"/>
      <c r="J14" t="e">
        <f t="shared" ca="1" si="3"/>
        <v>#NAME?</v>
      </c>
      <c r="K14" t="e">
        <f t="shared" ca="1" si="4"/>
        <v>#NAME?</v>
      </c>
      <c r="L14" t="e">
        <f t="shared" ca="1" si="5"/>
        <v>#NAME?</v>
      </c>
      <c r="M14" t="e">
        <f t="shared" ca="1" si="6"/>
        <v>#NAME?</v>
      </c>
      <c r="N14" t="e">
        <f t="shared" ca="1" si="7"/>
        <v>#NAME?</v>
      </c>
      <c r="O14" t="e">
        <f t="shared" ca="1" si="8"/>
        <v>#NAME?</v>
      </c>
      <c r="P14" t="e">
        <f t="shared" ca="1" si="9"/>
        <v>#NAME?</v>
      </c>
      <c r="R14" t="e">
        <f t="shared" ca="1" si="10"/>
        <v>#NAME?</v>
      </c>
      <c r="S14" t="e">
        <f t="shared" ca="1" si="11"/>
        <v>#NAME?</v>
      </c>
      <c r="T14" t="e">
        <f t="shared" ca="1" si="12"/>
        <v>#NAME?</v>
      </c>
      <c r="U14" t="e">
        <f t="shared" ca="1" si="13"/>
        <v>#NAME?</v>
      </c>
      <c r="V14" t="e">
        <f t="shared" ca="1" si="14"/>
        <v>#NAME?</v>
      </c>
      <c r="W14" t="e">
        <f t="shared" ca="1" si="15"/>
        <v>#NAME?</v>
      </c>
      <c r="X14" t="e">
        <f t="shared" ca="1" si="16"/>
        <v>#NAME?</v>
      </c>
      <c r="Z14" s="15">
        <v>0.25</v>
      </c>
    </row>
    <row r="15" spans="1:26">
      <c r="A15" s="21" t="s">
        <v>41</v>
      </c>
      <c r="B15" s="25"/>
      <c r="C15" s="115" t="s">
        <v>287</v>
      </c>
      <c r="D15" s="116" t="s">
        <v>32</v>
      </c>
      <c r="E15" s="25"/>
      <c r="F15" s="25"/>
      <c r="G15" s="117" t="s">
        <v>31</v>
      </c>
      <c r="H15" s="110" t="s">
        <v>16</v>
      </c>
      <c r="J15" t="e">
        <f t="shared" ca="1" si="3"/>
        <v>#NAME?</v>
      </c>
      <c r="K15" t="e">
        <f t="shared" ca="1" si="4"/>
        <v>#NAME?</v>
      </c>
      <c r="L15" t="e">
        <f t="shared" ca="1" si="5"/>
        <v>#NAME?</v>
      </c>
      <c r="M15" t="e">
        <f t="shared" ca="1" si="6"/>
        <v>#NAME?</v>
      </c>
      <c r="N15" t="e">
        <f t="shared" ca="1" si="7"/>
        <v>#NAME?</v>
      </c>
      <c r="O15" t="e">
        <f t="shared" ca="1" si="8"/>
        <v>#NAME?</v>
      </c>
      <c r="P15" t="e">
        <f t="shared" ca="1" si="9"/>
        <v>#NAME?</v>
      </c>
      <c r="R15" t="e">
        <f t="shared" ca="1" si="10"/>
        <v>#NAME?</v>
      </c>
      <c r="S15" t="e">
        <f t="shared" ca="1" si="11"/>
        <v>#NAME?</v>
      </c>
      <c r="T15" t="e">
        <f t="shared" ca="1" si="12"/>
        <v>#NAME?</v>
      </c>
      <c r="U15" t="e">
        <f t="shared" ca="1" si="13"/>
        <v>#NAME?</v>
      </c>
      <c r="V15" t="e">
        <f t="shared" ca="1" si="14"/>
        <v>#NAME?</v>
      </c>
      <c r="W15" t="e">
        <f t="shared" ca="1" si="15"/>
        <v>#NAME?</v>
      </c>
      <c r="X15" t="e">
        <f t="shared" ca="1" si="16"/>
        <v>#NAME?</v>
      </c>
      <c r="Z15" s="15">
        <v>1</v>
      </c>
    </row>
    <row r="16" spans="1:26">
      <c r="A16" s="21" t="s">
        <v>43</v>
      </c>
      <c r="B16" s="25"/>
      <c r="C16" s="25"/>
      <c r="D16" s="44" t="s">
        <v>26</v>
      </c>
      <c r="E16" s="117" t="s">
        <v>36</v>
      </c>
      <c r="F16" s="25"/>
      <c r="G16" s="25"/>
      <c r="H16" s="25"/>
      <c r="J16" t="e">
        <f t="shared" ca="1" si="3"/>
        <v>#NAME?</v>
      </c>
      <c r="K16" t="e">
        <f t="shared" ca="1" si="4"/>
        <v>#NAME?</v>
      </c>
      <c r="L16" t="e">
        <f t="shared" ca="1" si="5"/>
        <v>#NAME?</v>
      </c>
      <c r="M16" t="e">
        <f t="shared" ca="1" si="6"/>
        <v>#NAME?</v>
      </c>
      <c r="N16" t="e">
        <f t="shared" ca="1" si="7"/>
        <v>#NAME?</v>
      </c>
      <c r="O16" t="e">
        <f t="shared" ca="1" si="8"/>
        <v>#NAME?</v>
      </c>
      <c r="P16" t="e">
        <f t="shared" ca="1" si="9"/>
        <v>#NAME?</v>
      </c>
      <c r="R16" t="e">
        <f t="shared" ca="1" si="10"/>
        <v>#NAME?</v>
      </c>
      <c r="S16" t="e">
        <f t="shared" ca="1" si="11"/>
        <v>#NAME?</v>
      </c>
      <c r="T16" t="e">
        <f t="shared" ca="1" si="12"/>
        <v>#NAME?</v>
      </c>
      <c r="U16" t="e">
        <f t="shared" ca="1" si="13"/>
        <v>#NAME?</v>
      </c>
      <c r="V16" t="e">
        <f t="shared" ca="1" si="14"/>
        <v>#NAME?</v>
      </c>
      <c r="W16" t="e">
        <f t="shared" ca="1" si="15"/>
        <v>#NAME?</v>
      </c>
      <c r="X16" t="e">
        <f t="shared" ca="1" si="16"/>
        <v>#NAME?</v>
      </c>
      <c r="Z16" s="15">
        <v>0.5</v>
      </c>
    </row>
    <row r="17" spans="1:26">
      <c r="A17" s="21" t="s">
        <v>44</v>
      </c>
      <c r="B17" s="115" t="s">
        <v>287</v>
      </c>
      <c r="C17" s="25"/>
      <c r="D17" s="25" t="s">
        <v>24</v>
      </c>
      <c r="E17" s="25"/>
      <c r="F17" s="25"/>
      <c r="G17" s="44" t="s">
        <v>26</v>
      </c>
      <c r="H17" s="116" t="s">
        <v>45</v>
      </c>
      <c r="J17" t="e">
        <f t="shared" ca="1" si="3"/>
        <v>#NAME?</v>
      </c>
      <c r="K17" t="e">
        <f t="shared" ca="1" si="4"/>
        <v>#NAME?</v>
      </c>
      <c r="L17" t="e">
        <f t="shared" ca="1" si="5"/>
        <v>#NAME?</v>
      </c>
      <c r="M17" t="e">
        <f t="shared" ca="1" si="6"/>
        <v>#NAME?</v>
      </c>
      <c r="N17" t="e">
        <f t="shared" ca="1" si="7"/>
        <v>#NAME?</v>
      </c>
      <c r="O17" t="e">
        <f t="shared" ca="1" si="8"/>
        <v>#NAME?</v>
      </c>
      <c r="P17" t="e">
        <f t="shared" ca="1" si="9"/>
        <v>#NAME?</v>
      </c>
      <c r="R17" t="e">
        <f t="shared" ca="1" si="10"/>
        <v>#NAME?</v>
      </c>
      <c r="S17" t="e">
        <f t="shared" ca="1" si="11"/>
        <v>#NAME?</v>
      </c>
      <c r="T17" t="e">
        <f t="shared" ca="1" si="12"/>
        <v>#NAME?</v>
      </c>
      <c r="U17" t="e">
        <f t="shared" ca="1" si="13"/>
        <v>#NAME?</v>
      </c>
      <c r="V17" t="e">
        <f t="shared" ca="1" si="14"/>
        <v>#NAME?</v>
      </c>
      <c r="W17" t="e">
        <f t="shared" ca="1" si="15"/>
        <v>#NAME?</v>
      </c>
      <c r="X17" t="e">
        <f t="shared" ca="1" si="16"/>
        <v>#NAME?</v>
      </c>
      <c r="Z17" s="15">
        <v>1</v>
      </c>
    </row>
    <row r="18" spans="1:26">
      <c r="A18" s="22" t="s">
        <v>46</v>
      </c>
      <c r="B18" s="25"/>
      <c r="C18" s="25"/>
      <c r="D18" s="25"/>
      <c r="E18" s="116" t="s">
        <v>45</v>
      </c>
      <c r="F18" s="25"/>
      <c r="G18" s="25"/>
      <c r="H18" s="25"/>
      <c r="J18" t="e">
        <f t="shared" ca="1" si="3"/>
        <v>#NAME?</v>
      </c>
      <c r="K18" t="e">
        <f t="shared" ca="1" si="4"/>
        <v>#NAME?</v>
      </c>
      <c r="L18" t="e">
        <f t="shared" ca="1" si="5"/>
        <v>#NAME?</v>
      </c>
      <c r="M18" t="e">
        <f t="shared" ca="1" si="6"/>
        <v>#NAME?</v>
      </c>
      <c r="N18" t="e">
        <f t="shared" ca="1" si="7"/>
        <v>#NAME?</v>
      </c>
      <c r="O18" t="e">
        <f t="shared" ca="1" si="8"/>
        <v>#NAME?</v>
      </c>
      <c r="P18" t="e">
        <f t="shared" ca="1" si="9"/>
        <v>#NAME?</v>
      </c>
      <c r="R18" t="e">
        <f t="shared" ca="1" si="10"/>
        <v>#NAME?</v>
      </c>
      <c r="S18" t="e">
        <f t="shared" ca="1" si="11"/>
        <v>#NAME?</v>
      </c>
      <c r="T18" t="e">
        <f t="shared" ca="1" si="12"/>
        <v>#NAME?</v>
      </c>
      <c r="U18" t="e">
        <f t="shared" ca="1" si="13"/>
        <v>#NAME?</v>
      </c>
      <c r="V18" t="e">
        <f t="shared" ca="1" si="14"/>
        <v>#NAME?</v>
      </c>
      <c r="W18" t="e">
        <f t="shared" ca="1" si="15"/>
        <v>#NAME?</v>
      </c>
      <c r="X18" t="e">
        <f t="shared" ca="1" si="16"/>
        <v>#NAME?</v>
      </c>
      <c r="Z18" s="15">
        <v>0.25</v>
      </c>
    </row>
    <row r="19" spans="1:26">
      <c r="A19" s="21" t="s">
        <v>47</v>
      </c>
      <c r="B19" s="25"/>
      <c r="C19" s="25"/>
      <c r="D19" s="25"/>
      <c r="E19" s="25"/>
      <c r="F19" s="117" t="s">
        <v>36</v>
      </c>
      <c r="G19" s="25"/>
      <c r="H19" s="118" t="s">
        <v>36</v>
      </c>
      <c r="J19" t="e">
        <f t="shared" ca="1" si="3"/>
        <v>#NAME?</v>
      </c>
      <c r="K19" t="e">
        <f t="shared" ca="1" si="4"/>
        <v>#NAME?</v>
      </c>
      <c r="L19" t="e">
        <f t="shared" ca="1" si="5"/>
        <v>#NAME?</v>
      </c>
      <c r="M19" t="e">
        <f t="shared" ca="1" si="6"/>
        <v>#NAME?</v>
      </c>
      <c r="N19" t="e">
        <f t="shared" ca="1" si="7"/>
        <v>#NAME?</v>
      </c>
      <c r="O19" t="e">
        <f t="shared" ca="1" si="8"/>
        <v>#NAME?</v>
      </c>
      <c r="P19" t="e">
        <f t="shared" ca="1" si="9"/>
        <v>#NAME?</v>
      </c>
      <c r="R19" t="e">
        <f t="shared" ca="1" si="10"/>
        <v>#NAME?</v>
      </c>
      <c r="S19" t="e">
        <f t="shared" ca="1" si="11"/>
        <v>#NAME?</v>
      </c>
      <c r="T19" t="e">
        <f t="shared" ca="1" si="12"/>
        <v>#NAME?</v>
      </c>
      <c r="U19" t="e">
        <f t="shared" ca="1" si="13"/>
        <v>#NAME?</v>
      </c>
      <c r="V19" t="e">
        <f t="shared" ca="1" si="14"/>
        <v>#NAME?</v>
      </c>
      <c r="W19" t="e">
        <f t="shared" ca="1" si="15"/>
        <v>#NAME?</v>
      </c>
      <c r="X19" t="e">
        <f t="shared" ca="1" si="16"/>
        <v>#NAME?</v>
      </c>
      <c r="Z19" s="15">
        <v>0.5</v>
      </c>
    </row>
    <row r="20" spans="1:26" ht="15" customHeight="1">
      <c r="A20" s="21" t="s">
        <v>50</v>
      </c>
      <c r="B20" s="25"/>
      <c r="C20" s="25"/>
      <c r="D20" s="25"/>
      <c r="E20" s="25" t="s">
        <v>24</v>
      </c>
      <c r="F20" s="116" t="s">
        <v>45</v>
      </c>
      <c r="G20" s="110" t="s">
        <v>59</v>
      </c>
      <c r="H20" s="25"/>
      <c r="J20" t="e">
        <f t="shared" ca="1" si="3"/>
        <v>#NAME?</v>
      </c>
      <c r="K20" t="e">
        <f t="shared" ca="1" si="4"/>
        <v>#NAME?</v>
      </c>
      <c r="L20" t="e">
        <f t="shared" ca="1" si="5"/>
        <v>#NAME?</v>
      </c>
      <c r="M20" t="e">
        <f t="shared" ca="1" si="6"/>
        <v>#NAME?</v>
      </c>
      <c r="N20" t="e">
        <f t="shared" ca="1" si="7"/>
        <v>#NAME?</v>
      </c>
      <c r="O20" t="e">
        <f t="shared" ca="1" si="8"/>
        <v>#NAME?</v>
      </c>
      <c r="P20" t="e">
        <f t="shared" ca="1" si="9"/>
        <v>#NAME?</v>
      </c>
      <c r="R20" t="e">
        <f t="shared" ca="1" si="10"/>
        <v>#NAME?</v>
      </c>
      <c r="S20" t="e">
        <f t="shared" ca="1" si="11"/>
        <v>#NAME?</v>
      </c>
      <c r="T20" t="e">
        <f t="shared" ca="1" si="12"/>
        <v>#NAME?</v>
      </c>
      <c r="U20" t="e">
        <f t="shared" ca="1" si="13"/>
        <v>#NAME?</v>
      </c>
      <c r="V20" t="e">
        <f t="shared" ca="1" si="14"/>
        <v>#NAME?</v>
      </c>
      <c r="W20" t="e">
        <f t="shared" ca="1" si="15"/>
        <v>#NAME?</v>
      </c>
      <c r="X20" t="e">
        <f t="shared" ca="1" si="16"/>
        <v>#NAME?</v>
      </c>
      <c r="Z20" s="15">
        <v>0.375</v>
      </c>
    </row>
    <row r="21" spans="1:26">
      <c r="A21" s="21" t="s">
        <v>51</v>
      </c>
      <c r="B21" s="127" t="s">
        <v>20</v>
      </c>
      <c r="C21" s="128"/>
      <c r="D21" s="128"/>
      <c r="E21" s="128"/>
      <c r="F21" s="128"/>
      <c r="G21" s="128"/>
      <c r="H21" s="129"/>
      <c r="J21" t="e">
        <f t="shared" ca="1" si="3"/>
        <v>#NAME?</v>
      </c>
      <c r="K21" t="e">
        <f t="shared" ca="1" si="4"/>
        <v>#NAME?</v>
      </c>
      <c r="L21" t="e">
        <f t="shared" ca="1" si="5"/>
        <v>#NAME?</v>
      </c>
      <c r="M21" t="e">
        <f t="shared" ca="1" si="6"/>
        <v>#NAME?</v>
      </c>
      <c r="N21" t="e">
        <f t="shared" ca="1" si="7"/>
        <v>#NAME?</v>
      </c>
      <c r="O21" t="e">
        <f t="shared" ca="1" si="8"/>
        <v>#NAME?</v>
      </c>
      <c r="P21" t="e">
        <f t="shared" ca="1" si="9"/>
        <v>#NAME?</v>
      </c>
      <c r="R21" t="e">
        <f t="shared" ca="1" si="10"/>
        <v>#NAME?</v>
      </c>
      <c r="S21" t="e">
        <f t="shared" ca="1" si="11"/>
        <v>#NAME?</v>
      </c>
      <c r="T21" t="e">
        <f t="shared" ca="1" si="12"/>
        <v>#NAME?</v>
      </c>
      <c r="U21" t="e">
        <f t="shared" ca="1" si="13"/>
        <v>#NAME?</v>
      </c>
      <c r="V21" t="e">
        <f t="shared" ca="1" si="14"/>
        <v>#NAME?</v>
      </c>
      <c r="W21" t="e">
        <f t="shared" ca="1" si="15"/>
        <v>#NAME?</v>
      </c>
      <c r="X21" t="e">
        <f t="shared" ca="1" si="16"/>
        <v>#NAME?</v>
      </c>
      <c r="Z21" s="15">
        <v>0.5</v>
      </c>
    </row>
    <row r="22" spans="1:26">
      <c r="A22" s="21" t="s">
        <v>52</v>
      </c>
      <c r="B22" s="28" t="s">
        <v>34</v>
      </c>
      <c r="C22" s="25"/>
      <c r="D22" s="25" t="s">
        <v>24</v>
      </c>
      <c r="E22" s="25"/>
      <c r="F22" s="25"/>
      <c r="G22" s="116" t="s">
        <v>45</v>
      </c>
      <c r="H22" s="25"/>
      <c r="J22" t="e">
        <f t="shared" ca="1" si="3"/>
        <v>#NAME?</v>
      </c>
      <c r="K22" t="e">
        <f t="shared" ca="1" si="4"/>
        <v>#NAME?</v>
      </c>
      <c r="L22" t="e">
        <f t="shared" ca="1" si="5"/>
        <v>#NAME?</v>
      </c>
      <c r="M22" t="e">
        <f t="shared" ca="1" si="6"/>
        <v>#NAME?</v>
      </c>
      <c r="N22" t="e">
        <f t="shared" ca="1" si="7"/>
        <v>#NAME?</v>
      </c>
      <c r="O22" t="e">
        <f t="shared" ca="1" si="8"/>
        <v>#NAME?</v>
      </c>
      <c r="P22" t="e">
        <f t="shared" ca="1" si="9"/>
        <v>#NAME?</v>
      </c>
      <c r="R22" t="e">
        <f t="shared" ca="1" si="10"/>
        <v>#NAME?</v>
      </c>
      <c r="S22" t="e">
        <f t="shared" ca="1" si="11"/>
        <v>#NAME?</v>
      </c>
      <c r="T22" t="e">
        <f t="shared" ca="1" si="12"/>
        <v>#NAME?</v>
      </c>
      <c r="U22" t="e">
        <f t="shared" ca="1" si="13"/>
        <v>#NAME?</v>
      </c>
      <c r="V22" t="e">
        <f t="shared" ca="1" si="14"/>
        <v>#NAME?</v>
      </c>
      <c r="W22" t="e">
        <f t="shared" ca="1" si="15"/>
        <v>#NAME?</v>
      </c>
      <c r="X22" t="e">
        <f t="shared" ca="1" si="16"/>
        <v>#NAME?</v>
      </c>
      <c r="Z22" s="15">
        <v>0.875</v>
      </c>
    </row>
    <row r="23" spans="1:26">
      <c r="A23" s="21" t="s">
        <v>53</v>
      </c>
      <c r="B23" s="116" t="s">
        <v>32</v>
      </c>
      <c r="C23" s="25"/>
      <c r="D23" s="25" t="s">
        <v>24</v>
      </c>
      <c r="E23" s="118" t="s">
        <v>31</v>
      </c>
      <c r="F23" s="44" t="s">
        <v>26</v>
      </c>
      <c r="G23" s="25"/>
      <c r="H23" s="25"/>
      <c r="J23" t="e">
        <f t="shared" ca="1" si="3"/>
        <v>#NAME?</v>
      </c>
      <c r="K23" t="e">
        <f t="shared" ca="1" si="4"/>
        <v>#NAME?</v>
      </c>
      <c r="L23" t="e">
        <f t="shared" ca="1" si="5"/>
        <v>#NAME?</v>
      </c>
      <c r="M23" t="e">
        <f t="shared" ca="1" si="6"/>
        <v>#NAME?</v>
      </c>
      <c r="N23" t="e">
        <f t="shared" ca="1" si="7"/>
        <v>#NAME?</v>
      </c>
      <c r="O23" t="e">
        <f t="shared" ca="1" si="8"/>
        <v>#NAME?</v>
      </c>
      <c r="P23" t="e">
        <f t="shared" ca="1" si="9"/>
        <v>#NAME?</v>
      </c>
      <c r="R23" t="e">
        <f t="shared" ca="1" si="10"/>
        <v>#NAME?</v>
      </c>
      <c r="S23" t="e">
        <f t="shared" ca="1" si="11"/>
        <v>#NAME?</v>
      </c>
      <c r="T23" t="e">
        <f t="shared" ca="1" si="12"/>
        <v>#NAME?</v>
      </c>
      <c r="U23" t="e">
        <f t="shared" ca="1" si="13"/>
        <v>#NAME?</v>
      </c>
      <c r="V23" t="e">
        <f t="shared" ca="1" si="14"/>
        <v>#NAME?</v>
      </c>
      <c r="W23" t="e">
        <f t="shared" ca="1" si="15"/>
        <v>#NAME?</v>
      </c>
      <c r="X23" t="e">
        <f t="shared" ca="1" si="16"/>
        <v>#NAME?</v>
      </c>
      <c r="Z23" s="15">
        <v>0.5</v>
      </c>
    </row>
    <row r="24" spans="1:26">
      <c r="A24" s="21" t="s">
        <v>54</v>
      </c>
      <c r="B24" s="25"/>
      <c r="C24" s="25"/>
      <c r="D24" s="25" t="s">
        <v>24</v>
      </c>
      <c r="E24" s="25"/>
      <c r="F24" s="116" t="s">
        <v>32</v>
      </c>
      <c r="G24" s="25"/>
      <c r="H24" s="110" t="s">
        <v>59</v>
      </c>
      <c r="J24" t="e">
        <f t="shared" ca="1" si="3"/>
        <v>#NAME?</v>
      </c>
      <c r="K24" t="e">
        <f t="shared" ca="1" si="4"/>
        <v>#NAME?</v>
      </c>
      <c r="L24" t="e">
        <f t="shared" ca="1" si="5"/>
        <v>#NAME?</v>
      </c>
      <c r="M24" t="e">
        <f t="shared" ca="1" si="6"/>
        <v>#NAME?</v>
      </c>
      <c r="N24" t="e">
        <f t="shared" ca="1" si="7"/>
        <v>#NAME?</v>
      </c>
      <c r="O24" t="e">
        <f t="shared" ca="1" si="8"/>
        <v>#NAME?</v>
      </c>
      <c r="P24" t="e">
        <f t="shared" ca="1" si="9"/>
        <v>#NAME?</v>
      </c>
      <c r="R24" t="e">
        <f t="shared" ca="1" si="10"/>
        <v>#NAME?</v>
      </c>
      <c r="S24" t="e">
        <f t="shared" ca="1" si="11"/>
        <v>#NAME?</v>
      </c>
      <c r="T24" t="e">
        <f t="shared" ca="1" si="12"/>
        <v>#NAME?</v>
      </c>
      <c r="U24" t="e">
        <f t="shared" ca="1" si="13"/>
        <v>#NAME?</v>
      </c>
      <c r="V24" t="e">
        <f t="shared" ca="1" si="14"/>
        <v>#NAME?</v>
      </c>
      <c r="W24" t="e">
        <f t="shared" ca="1" si="15"/>
        <v>#NAME?</v>
      </c>
      <c r="X24" t="e">
        <f t="shared" ca="1" si="16"/>
        <v>#NAME?</v>
      </c>
      <c r="Z24" s="15">
        <v>0.75</v>
      </c>
    </row>
    <row r="25" spans="1:26">
      <c r="A25" s="21" t="s">
        <v>55</v>
      </c>
      <c r="B25" s="25"/>
      <c r="C25" s="25"/>
      <c r="D25" s="118" t="s">
        <v>36</v>
      </c>
      <c r="E25" s="115" t="s">
        <v>287</v>
      </c>
      <c r="F25" s="25"/>
      <c r="G25" s="25"/>
      <c r="H25" s="25"/>
      <c r="J25" t="e">
        <f t="shared" ca="1" si="3"/>
        <v>#NAME?</v>
      </c>
      <c r="K25" t="e">
        <f t="shared" ca="1" si="4"/>
        <v>#NAME?</v>
      </c>
      <c r="L25" t="e">
        <f t="shared" ca="1" si="5"/>
        <v>#NAME?</v>
      </c>
      <c r="M25" t="e">
        <f t="shared" ca="1" si="6"/>
        <v>#NAME?</v>
      </c>
      <c r="N25" t="e">
        <f t="shared" ca="1" si="7"/>
        <v>#NAME?</v>
      </c>
      <c r="O25" t="e">
        <f t="shared" ca="1" si="8"/>
        <v>#NAME?</v>
      </c>
      <c r="P25" t="e">
        <f t="shared" ca="1" si="9"/>
        <v>#NAME?</v>
      </c>
      <c r="R25" t="e">
        <f t="shared" ca="1" si="10"/>
        <v>#NAME?</v>
      </c>
      <c r="S25" t="e">
        <f t="shared" ca="1" si="11"/>
        <v>#NAME?</v>
      </c>
      <c r="T25" t="e">
        <f t="shared" ca="1" si="12"/>
        <v>#NAME?</v>
      </c>
      <c r="U25" t="e">
        <f t="shared" ca="1" si="13"/>
        <v>#NAME?</v>
      </c>
      <c r="V25" t="e">
        <f t="shared" ca="1" si="14"/>
        <v>#NAME?</v>
      </c>
      <c r="W25" t="e">
        <f t="shared" ca="1" si="15"/>
        <v>#NAME?</v>
      </c>
      <c r="X25" t="e">
        <f t="shared" ca="1" si="16"/>
        <v>#NAME?</v>
      </c>
      <c r="Z25" s="15">
        <v>0.5</v>
      </c>
    </row>
    <row r="26" spans="1:26">
      <c r="A26" s="21" t="s">
        <v>56</v>
      </c>
      <c r="B26" s="25"/>
      <c r="C26" s="25"/>
      <c r="D26" s="118" t="s">
        <v>31</v>
      </c>
      <c r="E26" s="25"/>
      <c r="F26" s="28" t="s">
        <v>34</v>
      </c>
      <c r="G26" s="117" t="s">
        <v>36</v>
      </c>
      <c r="H26" s="25"/>
      <c r="J26" t="e">
        <f t="shared" ca="1" si="3"/>
        <v>#NAME?</v>
      </c>
      <c r="K26" t="e">
        <f t="shared" ca="1" si="4"/>
        <v>#NAME?</v>
      </c>
      <c r="L26" t="e">
        <f t="shared" ca="1" si="5"/>
        <v>#NAME?</v>
      </c>
      <c r="M26" t="e">
        <f t="shared" ca="1" si="6"/>
        <v>#NAME?</v>
      </c>
      <c r="N26" t="e">
        <f t="shared" ca="1" si="7"/>
        <v>#NAME?</v>
      </c>
      <c r="O26" t="e">
        <f t="shared" ca="1" si="8"/>
        <v>#NAME?</v>
      </c>
      <c r="P26" t="e">
        <f t="shared" ca="1" si="9"/>
        <v>#NAME?</v>
      </c>
      <c r="R26" t="e">
        <f t="shared" ca="1" si="10"/>
        <v>#NAME?</v>
      </c>
      <c r="S26" t="e">
        <f t="shared" ca="1" si="11"/>
        <v>#NAME?</v>
      </c>
      <c r="T26" t="e">
        <f t="shared" ca="1" si="12"/>
        <v>#NAME?</v>
      </c>
      <c r="U26" t="e">
        <f t="shared" ca="1" si="13"/>
        <v>#NAME?</v>
      </c>
      <c r="V26" t="e">
        <f t="shared" ca="1" si="14"/>
        <v>#NAME?</v>
      </c>
      <c r="W26" t="e">
        <f t="shared" ca="1" si="15"/>
        <v>#NAME?</v>
      </c>
      <c r="X26" t="e">
        <f t="shared" ca="1" si="16"/>
        <v>#NAME?</v>
      </c>
      <c r="Z26" s="15">
        <v>0.5</v>
      </c>
    </row>
    <row r="27" spans="1:26">
      <c r="A27" s="21" t="s">
        <v>58</v>
      </c>
      <c r="B27" s="127" t="s">
        <v>367</v>
      </c>
      <c r="C27" s="128"/>
      <c r="D27" s="128"/>
      <c r="E27" s="128"/>
      <c r="F27" s="128"/>
      <c r="G27" s="128"/>
      <c r="H27" s="129"/>
      <c r="J27" t="e">
        <f t="shared" ca="1" si="3"/>
        <v>#NAME?</v>
      </c>
      <c r="K27" t="e">
        <f t="shared" ca="1" si="4"/>
        <v>#NAME?</v>
      </c>
      <c r="L27" t="e">
        <f t="shared" ca="1" si="5"/>
        <v>#NAME?</v>
      </c>
      <c r="M27" t="e">
        <f t="shared" ca="1" si="6"/>
        <v>#NAME?</v>
      </c>
      <c r="N27" t="e">
        <f t="shared" ca="1" si="7"/>
        <v>#NAME?</v>
      </c>
      <c r="O27" t="e">
        <f t="shared" ca="1" si="8"/>
        <v>#NAME?</v>
      </c>
      <c r="P27" t="e">
        <f t="shared" ca="1" si="9"/>
        <v>#NAME?</v>
      </c>
      <c r="R27" t="e">
        <f t="shared" ca="1" si="10"/>
        <v>#NAME?</v>
      </c>
      <c r="S27" t="e">
        <f t="shared" ca="1" si="11"/>
        <v>#NAME?</v>
      </c>
      <c r="T27" t="e">
        <f t="shared" ca="1" si="12"/>
        <v>#NAME?</v>
      </c>
      <c r="U27" t="e">
        <f t="shared" ca="1" si="13"/>
        <v>#NAME?</v>
      </c>
      <c r="V27" t="e">
        <f t="shared" ca="1" si="14"/>
        <v>#NAME?</v>
      </c>
      <c r="W27" t="e">
        <f t="shared" ca="1" si="15"/>
        <v>#NAME?</v>
      </c>
      <c r="X27" t="e">
        <f t="shared" ca="1" si="16"/>
        <v>#NAME?</v>
      </c>
      <c r="Z27" s="15">
        <v>0.75</v>
      </c>
    </row>
    <row r="28" spans="1:26">
      <c r="A28" s="21" t="s">
        <v>60</v>
      </c>
      <c r="B28" s="127" t="s">
        <v>260</v>
      </c>
      <c r="C28" s="128"/>
      <c r="D28" s="128"/>
      <c r="E28" s="128"/>
      <c r="F28" s="128"/>
      <c r="G28" s="128"/>
      <c r="H28" s="129"/>
      <c r="J28" t="e">
        <f t="shared" ca="1" si="3"/>
        <v>#NAME?</v>
      </c>
      <c r="K28" t="e">
        <f t="shared" ca="1" si="4"/>
        <v>#NAME?</v>
      </c>
      <c r="L28" t="e">
        <f t="shared" ca="1" si="5"/>
        <v>#NAME?</v>
      </c>
      <c r="M28" t="e">
        <f t="shared" ca="1" si="6"/>
        <v>#NAME?</v>
      </c>
      <c r="N28" t="e">
        <f t="shared" ca="1" si="7"/>
        <v>#NAME?</v>
      </c>
      <c r="O28" t="e">
        <f t="shared" ca="1" si="8"/>
        <v>#NAME?</v>
      </c>
      <c r="P28" t="e">
        <f t="shared" ca="1" si="9"/>
        <v>#NAME?</v>
      </c>
      <c r="R28" t="e">
        <f t="shared" ca="1" si="10"/>
        <v>#NAME?</v>
      </c>
      <c r="S28" t="e">
        <f t="shared" ca="1" si="11"/>
        <v>#NAME?</v>
      </c>
      <c r="T28" t="e">
        <f t="shared" ca="1" si="12"/>
        <v>#NAME?</v>
      </c>
      <c r="U28" t="e">
        <f t="shared" ca="1" si="13"/>
        <v>#NAME?</v>
      </c>
      <c r="V28" t="e">
        <f t="shared" ca="1" si="14"/>
        <v>#NAME?</v>
      </c>
      <c r="W28" t="e">
        <f t="shared" ca="1" si="15"/>
        <v>#NAME?</v>
      </c>
      <c r="X28" t="e">
        <f t="shared" ca="1" si="16"/>
        <v>#NAME?</v>
      </c>
      <c r="Z28" s="15">
        <v>1</v>
      </c>
    </row>
    <row r="29" spans="1:26">
      <c r="A29" s="21" t="s">
        <v>61</v>
      </c>
      <c r="B29" s="25" t="s">
        <v>24</v>
      </c>
      <c r="C29" s="110" t="s">
        <v>16</v>
      </c>
      <c r="D29" s="25"/>
      <c r="E29" s="25"/>
      <c r="F29" s="25"/>
      <c r="G29" s="25"/>
      <c r="H29" s="28" t="s">
        <v>34</v>
      </c>
      <c r="J29" t="e">
        <f t="shared" ca="1" si="3"/>
        <v>#NAME?</v>
      </c>
      <c r="K29" t="e">
        <f t="shared" ca="1" si="4"/>
        <v>#NAME?</v>
      </c>
      <c r="L29" t="e">
        <f t="shared" ca="1" si="5"/>
        <v>#NAME?</v>
      </c>
      <c r="M29" t="e">
        <f t="shared" ca="1" si="6"/>
        <v>#NAME?</v>
      </c>
      <c r="N29" t="e">
        <f t="shared" ca="1" si="7"/>
        <v>#NAME?</v>
      </c>
      <c r="O29" t="e">
        <f t="shared" ca="1" si="8"/>
        <v>#NAME?</v>
      </c>
      <c r="P29" t="e">
        <f t="shared" ca="1" si="9"/>
        <v>#NAME?</v>
      </c>
      <c r="R29" t="e">
        <f t="shared" ca="1" si="10"/>
        <v>#NAME?</v>
      </c>
      <c r="S29" t="e">
        <f t="shared" ca="1" si="11"/>
        <v>#NAME?</v>
      </c>
      <c r="T29" t="e">
        <f t="shared" ca="1" si="12"/>
        <v>#NAME?</v>
      </c>
      <c r="U29" t="e">
        <f t="shared" ca="1" si="13"/>
        <v>#NAME?</v>
      </c>
      <c r="V29" t="e">
        <f t="shared" ca="1" si="14"/>
        <v>#NAME?</v>
      </c>
      <c r="W29" t="e">
        <f t="shared" ca="1" si="15"/>
        <v>#NAME?</v>
      </c>
      <c r="X29" t="e">
        <f t="shared" ca="1" si="16"/>
        <v>#NAME?</v>
      </c>
      <c r="Z29" s="15">
        <v>1</v>
      </c>
    </row>
    <row r="30" spans="1:26">
      <c r="A30" s="21" t="s">
        <v>62</v>
      </c>
      <c r="B30" s="110" t="s">
        <v>59</v>
      </c>
      <c r="C30" s="25" t="s">
        <v>24</v>
      </c>
      <c r="D30" s="116" t="s">
        <v>45</v>
      </c>
      <c r="E30" s="117" t="s">
        <v>31</v>
      </c>
      <c r="F30" s="25"/>
      <c r="G30" s="25"/>
      <c r="H30" s="25"/>
      <c r="J30" t="e">
        <f t="shared" ca="1" si="3"/>
        <v>#NAME?</v>
      </c>
      <c r="K30" t="e">
        <f t="shared" ca="1" si="4"/>
        <v>#NAME?</v>
      </c>
      <c r="L30" t="e">
        <f t="shared" ca="1" si="5"/>
        <v>#NAME?</v>
      </c>
      <c r="M30" t="e">
        <f t="shared" ca="1" si="6"/>
        <v>#NAME?</v>
      </c>
      <c r="N30" t="e">
        <f t="shared" ca="1" si="7"/>
        <v>#NAME?</v>
      </c>
      <c r="O30" t="e">
        <f t="shared" ca="1" si="8"/>
        <v>#NAME?</v>
      </c>
      <c r="P30" t="e">
        <f t="shared" ca="1" si="9"/>
        <v>#NAME?</v>
      </c>
      <c r="R30" t="e">
        <f t="shared" ca="1" si="10"/>
        <v>#NAME?</v>
      </c>
      <c r="S30" t="e">
        <f t="shared" ca="1" si="11"/>
        <v>#NAME?</v>
      </c>
      <c r="T30" t="e">
        <f t="shared" ca="1" si="12"/>
        <v>#NAME?</v>
      </c>
      <c r="U30" t="e">
        <f t="shared" ca="1" si="13"/>
        <v>#NAME?</v>
      </c>
      <c r="V30" t="e">
        <f t="shared" ca="1" si="14"/>
        <v>#NAME?</v>
      </c>
      <c r="W30" t="e">
        <f t="shared" ca="1" si="15"/>
        <v>#NAME?</v>
      </c>
      <c r="X30" t="e">
        <f t="shared" ca="1" si="16"/>
        <v>#NAME?</v>
      </c>
      <c r="Z30" s="15">
        <v>1</v>
      </c>
    </row>
    <row r="31" spans="1:26">
      <c r="A31" s="21" t="s">
        <v>63</v>
      </c>
      <c r="B31" s="127" t="s">
        <v>20</v>
      </c>
      <c r="C31" s="128"/>
      <c r="D31" s="128"/>
      <c r="E31" s="128"/>
      <c r="F31" s="128"/>
      <c r="G31" s="128"/>
      <c r="H31" s="129"/>
      <c r="J31" t="e">
        <f t="shared" ca="1" si="3"/>
        <v>#NAME?</v>
      </c>
      <c r="K31" t="e">
        <f t="shared" ca="1" si="4"/>
        <v>#NAME?</v>
      </c>
      <c r="L31" t="e">
        <f t="shared" ca="1" si="5"/>
        <v>#NAME?</v>
      </c>
      <c r="M31" t="e">
        <f t="shared" ca="1" si="6"/>
        <v>#NAME?</v>
      </c>
      <c r="N31" t="e">
        <f t="shared" ca="1" si="7"/>
        <v>#NAME?</v>
      </c>
      <c r="O31" t="e">
        <f t="shared" ca="1" si="8"/>
        <v>#NAME?</v>
      </c>
      <c r="P31" t="e">
        <f t="shared" ca="1" si="9"/>
        <v>#NAME?</v>
      </c>
      <c r="R31" t="e">
        <f t="shared" ca="1" si="10"/>
        <v>#NAME?</v>
      </c>
      <c r="S31" t="e">
        <f t="shared" ca="1" si="11"/>
        <v>#NAME?</v>
      </c>
      <c r="T31" t="e">
        <f t="shared" ca="1" si="12"/>
        <v>#NAME?</v>
      </c>
      <c r="U31" t="e">
        <f t="shared" ca="1" si="13"/>
        <v>#NAME?</v>
      </c>
      <c r="V31" t="e">
        <f t="shared" ca="1" si="14"/>
        <v>#NAME?</v>
      </c>
      <c r="W31" t="e">
        <f t="shared" ca="1" si="15"/>
        <v>#NAME?</v>
      </c>
      <c r="X31" t="e">
        <f t="shared" ca="1" si="16"/>
        <v>#NAME?</v>
      </c>
      <c r="Z31" s="15">
        <v>0.5</v>
      </c>
    </row>
    <row r="32" spans="1:26" ht="14.45" customHeight="1">
      <c r="A32" s="21" t="s">
        <v>64</v>
      </c>
      <c r="B32" s="117" t="s">
        <v>31</v>
      </c>
      <c r="C32" s="28" t="s">
        <v>34</v>
      </c>
      <c r="D32" s="25" t="s">
        <v>24</v>
      </c>
      <c r="E32" s="25"/>
      <c r="F32" s="25"/>
      <c r="G32" s="25"/>
      <c r="H32" s="25"/>
      <c r="J32" t="e">
        <f t="shared" ca="1" si="3"/>
        <v>#NAME?</v>
      </c>
      <c r="K32" t="e">
        <f t="shared" ca="1" si="4"/>
        <v>#NAME?</v>
      </c>
      <c r="L32" t="e">
        <f t="shared" ca="1" si="5"/>
        <v>#NAME?</v>
      </c>
      <c r="M32" t="e">
        <f t="shared" ca="1" si="6"/>
        <v>#NAME?</v>
      </c>
      <c r="N32" t="e">
        <f t="shared" ca="1" si="7"/>
        <v>#NAME?</v>
      </c>
      <c r="O32" t="e">
        <f t="shared" ca="1" si="8"/>
        <v>#NAME?</v>
      </c>
      <c r="P32" t="e">
        <f t="shared" ca="1" si="9"/>
        <v>#NAME?</v>
      </c>
      <c r="R32" t="e">
        <f t="shared" ca="1" si="10"/>
        <v>#NAME?</v>
      </c>
      <c r="S32" t="e">
        <f t="shared" ca="1" si="11"/>
        <v>#NAME?</v>
      </c>
      <c r="T32" t="e">
        <f t="shared" ca="1" si="12"/>
        <v>#NAME?</v>
      </c>
      <c r="U32" t="e">
        <f t="shared" ca="1" si="13"/>
        <v>#NAME?</v>
      </c>
      <c r="V32" t="e">
        <f t="shared" ca="1" si="14"/>
        <v>#NAME?</v>
      </c>
      <c r="W32" t="e">
        <f t="shared" ca="1" si="15"/>
        <v>#NAME?</v>
      </c>
      <c r="X32" t="e">
        <f t="shared" ca="1" si="16"/>
        <v>#NAME?</v>
      </c>
      <c r="Z32" s="15">
        <v>0.5</v>
      </c>
    </row>
    <row r="33" spans="1:26" ht="14.45" customHeight="1">
      <c r="A33" s="21" t="s">
        <v>65</v>
      </c>
      <c r="B33" s="127" t="s">
        <v>263</v>
      </c>
      <c r="C33" s="128"/>
      <c r="D33" s="128"/>
      <c r="E33" s="128"/>
      <c r="F33" s="128"/>
      <c r="G33" s="128"/>
      <c r="H33" s="129"/>
      <c r="J33" t="e">
        <f t="shared" ca="1" si="3"/>
        <v>#NAME?</v>
      </c>
      <c r="K33" t="e">
        <f t="shared" ca="1" si="4"/>
        <v>#NAME?</v>
      </c>
      <c r="L33" t="e">
        <f t="shared" ca="1" si="5"/>
        <v>#NAME?</v>
      </c>
      <c r="M33" t="e">
        <f t="shared" ca="1" si="6"/>
        <v>#NAME?</v>
      </c>
      <c r="N33" t="e">
        <f t="shared" ca="1" si="7"/>
        <v>#NAME?</v>
      </c>
      <c r="O33" t="e">
        <f t="shared" ca="1" si="8"/>
        <v>#NAME?</v>
      </c>
      <c r="P33" t="e">
        <f t="shared" ca="1" si="9"/>
        <v>#NAME?</v>
      </c>
      <c r="R33" t="e">
        <f t="shared" ca="1" si="10"/>
        <v>#NAME?</v>
      </c>
      <c r="S33" t="e">
        <f t="shared" ca="1" si="11"/>
        <v>#NAME?</v>
      </c>
      <c r="T33" t="e">
        <f t="shared" ca="1" si="12"/>
        <v>#NAME?</v>
      </c>
      <c r="U33" t="e">
        <f t="shared" ca="1" si="13"/>
        <v>#NAME?</v>
      </c>
      <c r="V33" t="e">
        <f t="shared" ca="1" si="14"/>
        <v>#NAME?</v>
      </c>
      <c r="W33" t="e">
        <f t="shared" ca="1" si="15"/>
        <v>#NAME?</v>
      </c>
      <c r="X33" t="e">
        <f t="shared" ca="1" si="16"/>
        <v>#NAME?</v>
      </c>
      <c r="Z33" s="15">
        <v>1</v>
      </c>
    </row>
    <row r="34" spans="1:26">
      <c r="A34" s="21" t="s">
        <v>66</v>
      </c>
      <c r="B34" s="110" t="s">
        <v>16</v>
      </c>
      <c r="C34" s="25"/>
      <c r="D34" s="25"/>
      <c r="E34" s="25"/>
      <c r="F34" s="110" t="s">
        <v>16</v>
      </c>
      <c r="G34" s="25"/>
      <c r="H34" s="25"/>
      <c r="J34" t="e">
        <f t="shared" ca="1" si="3"/>
        <v>#NAME?</v>
      </c>
      <c r="K34" t="e">
        <f t="shared" ca="1" si="4"/>
        <v>#NAME?</v>
      </c>
      <c r="L34" t="e">
        <f t="shared" ca="1" si="5"/>
        <v>#NAME?</v>
      </c>
      <c r="M34" t="e">
        <f t="shared" ca="1" si="6"/>
        <v>#NAME?</v>
      </c>
      <c r="N34" t="e">
        <f t="shared" ca="1" si="7"/>
        <v>#NAME?</v>
      </c>
      <c r="O34" t="e">
        <f t="shared" ca="1" si="8"/>
        <v>#NAME?</v>
      </c>
      <c r="P34" t="e">
        <f t="shared" ca="1" si="9"/>
        <v>#NAME?</v>
      </c>
      <c r="R34" t="e">
        <f t="shared" ca="1" si="10"/>
        <v>#NAME?</v>
      </c>
      <c r="S34" t="e">
        <f t="shared" ca="1" si="11"/>
        <v>#NAME?</v>
      </c>
      <c r="T34" t="e">
        <f t="shared" ca="1" si="12"/>
        <v>#NAME?</v>
      </c>
      <c r="U34" t="e">
        <f t="shared" ca="1" si="13"/>
        <v>#NAME?</v>
      </c>
      <c r="V34" t="e">
        <f t="shared" ca="1" si="14"/>
        <v>#NAME?</v>
      </c>
      <c r="W34" t="e">
        <f t="shared" ca="1" si="15"/>
        <v>#NAME?</v>
      </c>
      <c r="X34" t="e">
        <f t="shared" ca="1" si="16"/>
        <v>#NAME?</v>
      </c>
      <c r="Z34" s="15">
        <v>0.25</v>
      </c>
    </row>
    <row r="35" spans="1:26">
      <c r="A35" s="21" t="s">
        <v>68</v>
      </c>
      <c r="B35" s="25"/>
      <c r="C35" s="118" t="s">
        <v>36</v>
      </c>
      <c r="D35" s="25"/>
      <c r="E35" s="110" t="s">
        <v>16</v>
      </c>
      <c r="F35" s="25"/>
      <c r="G35" s="25"/>
      <c r="H35" s="117" t="s">
        <v>31</v>
      </c>
      <c r="J35" t="e">
        <f t="shared" ca="1" si="3"/>
        <v>#NAME?</v>
      </c>
      <c r="K35" t="e">
        <f t="shared" ca="1" si="4"/>
        <v>#NAME?</v>
      </c>
      <c r="L35" t="e">
        <f t="shared" ca="1" si="5"/>
        <v>#NAME?</v>
      </c>
      <c r="M35" t="e">
        <f t="shared" ca="1" si="6"/>
        <v>#NAME?</v>
      </c>
      <c r="N35" t="e">
        <f t="shared" ca="1" si="7"/>
        <v>#NAME?</v>
      </c>
      <c r="O35" t="e">
        <f t="shared" ca="1" si="8"/>
        <v>#NAME?</v>
      </c>
      <c r="P35" t="e">
        <f t="shared" ca="1" si="9"/>
        <v>#NAME?</v>
      </c>
      <c r="R35" t="e">
        <f t="shared" ca="1" si="10"/>
        <v>#NAME?</v>
      </c>
      <c r="S35" t="e">
        <f t="shared" ca="1" si="11"/>
        <v>#NAME?</v>
      </c>
      <c r="T35" t="e">
        <f t="shared" ca="1" si="12"/>
        <v>#NAME?</v>
      </c>
      <c r="U35" t="e">
        <f t="shared" ca="1" si="13"/>
        <v>#NAME?</v>
      </c>
      <c r="V35" t="e">
        <f t="shared" ca="1" si="14"/>
        <v>#NAME?</v>
      </c>
      <c r="W35" t="e">
        <f t="shared" ca="1" si="15"/>
        <v>#NAME?</v>
      </c>
      <c r="X35" t="e">
        <f t="shared" ca="1" si="16"/>
        <v>#NAME?</v>
      </c>
      <c r="Z35" s="15">
        <v>0.75</v>
      </c>
    </row>
    <row r="36" spans="1:26">
      <c r="A36" s="21" t="s">
        <v>69</v>
      </c>
      <c r="B36" s="25" t="s">
        <v>24</v>
      </c>
      <c r="C36" s="28" t="s">
        <v>25</v>
      </c>
      <c r="D36" s="110" t="s">
        <v>16</v>
      </c>
      <c r="E36" s="118" t="s">
        <v>36</v>
      </c>
      <c r="F36" s="25"/>
      <c r="G36" s="25"/>
      <c r="H36" s="25"/>
      <c r="J36" t="e">
        <f t="shared" ca="1" si="3"/>
        <v>#NAME?</v>
      </c>
      <c r="K36" t="e">
        <f t="shared" ca="1" si="4"/>
        <v>#NAME?</v>
      </c>
      <c r="L36" t="e">
        <f t="shared" ca="1" si="5"/>
        <v>#NAME?</v>
      </c>
      <c r="M36" t="e">
        <f t="shared" ca="1" si="6"/>
        <v>#NAME?</v>
      </c>
      <c r="N36" t="e">
        <f t="shared" ca="1" si="7"/>
        <v>#NAME?</v>
      </c>
      <c r="O36" t="e">
        <f t="shared" ca="1" si="8"/>
        <v>#NAME?</v>
      </c>
      <c r="P36" t="e">
        <f t="shared" ca="1" si="9"/>
        <v>#NAME?</v>
      </c>
      <c r="R36" t="e">
        <f t="shared" ca="1" si="10"/>
        <v>#NAME?</v>
      </c>
      <c r="S36" t="e">
        <f t="shared" ca="1" si="11"/>
        <v>#NAME?</v>
      </c>
      <c r="T36" t="e">
        <f t="shared" ca="1" si="12"/>
        <v>#NAME?</v>
      </c>
      <c r="U36" t="e">
        <f t="shared" ca="1" si="13"/>
        <v>#NAME?</v>
      </c>
      <c r="V36" t="e">
        <f t="shared" ca="1" si="14"/>
        <v>#NAME?</v>
      </c>
      <c r="W36" t="e">
        <f t="shared" ca="1" si="15"/>
        <v>#NAME?</v>
      </c>
      <c r="X36" t="e">
        <f t="shared" ca="1" si="16"/>
        <v>#NAME?</v>
      </c>
      <c r="Z36" s="15">
        <v>1</v>
      </c>
    </row>
    <row r="37" spans="1:26">
      <c r="A37" s="21" t="s">
        <v>70</v>
      </c>
      <c r="B37" s="25" t="s">
        <v>24</v>
      </c>
      <c r="C37" s="116" t="s">
        <v>45</v>
      </c>
      <c r="D37" s="25" t="s">
        <v>24</v>
      </c>
      <c r="E37" s="25"/>
      <c r="F37" s="25"/>
      <c r="G37" s="25"/>
      <c r="H37" s="25"/>
      <c r="J37" t="e">
        <f t="shared" ca="1" si="3"/>
        <v>#NAME?</v>
      </c>
      <c r="K37" t="e">
        <f t="shared" ca="1" si="4"/>
        <v>#NAME?</v>
      </c>
      <c r="L37" t="e">
        <f t="shared" ca="1" si="5"/>
        <v>#NAME?</v>
      </c>
      <c r="M37" t="e">
        <f t="shared" ca="1" si="6"/>
        <v>#NAME?</v>
      </c>
      <c r="N37" t="e">
        <f t="shared" ca="1" si="7"/>
        <v>#NAME?</v>
      </c>
      <c r="O37" t="e">
        <f t="shared" ca="1" si="8"/>
        <v>#NAME?</v>
      </c>
      <c r="P37" t="e">
        <f t="shared" ca="1" si="9"/>
        <v>#NAME?</v>
      </c>
      <c r="R37" t="e">
        <f t="shared" ca="1" si="10"/>
        <v>#NAME?</v>
      </c>
      <c r="S37" t="e">
        <f t="shared" ca="1" si="11"/>
        <v>#NAME?</v>
      </c>
      <c r="T37" t="e">
        <f t="shared" ca="1" si="12"/>
        <v>#NAME?</v>
      </c>
      <c r="U37" t="e">
        <f t="shared" ca="1" si="13"/>
        <v>#NAME?</v>
      </c>
      <c r="V37" t="e">
        <f t="shared" ca="1" si="14"/>
        <v>#NAME?</v>
      </c>
      <c r="W37" t="e">
        <f t="shared" ca="1" si="15"/>
        <v>#NAME?</v>
      </c>
      <c r="X37" t="e">
        <f t="shared" ca="1" si="16"/>
        <v>#NAME?</v>
      </c>
      <c r="Z37" s="15">
        <v>1</v>
      </c>
    </row>
    <row r="38" spans="1:26">
      <c r="A38" s="21" t="s">
        <v>71</v>
      </c>
      <c r="B38" s="25"/>
      <c r="C38" s="25"/>
      <c r="D38" s="117" t="s">
        <v>36</v>
      </c>
      <c r="E38" s="25"/>
      <c r="F38" s="115" t="s">
        <v>287</v>
      </c>
      <c r="G38" s="25"/>
      <c r="H38" s="44" t="s">
        <v>26</v>
      </c>
      <c r="J38" t="e">
        <f t="shared" ca="1" si="3"/>
        <v>#NAME?</v>
      </c>
      <c r="K38" t="e">
        <f t="shared" ca="1" si="4"/>
        <v>#NAME?</v>
      </c>
      <c r="L38" t="e">
        <f t="shared" ca="1" si="5"/>
        <v>#NAME?</v>
      </c>
      <c r="M38" t="e">
        <f t="shared" ca="1" si="6"/>
        <v>#NAME?</v>
      </c>
      <c r="N38" t="e">
        <f t="shared" ca="1" si="7"/>
        <v>#NAME?</v>
      </c>
      <c r="O38" t="e">
        <f t="shared" ca="1" si="8"/>
        <v>#NAME?</v>
      </c>
      <c r="P38" t="e">
        <f t="shared" ca="1" si="9"/>
        <v>#NAME?</v>
      </c>
      <c r="R38" t="e">
        <f t="shared" ca="1" si="10"/>
        <v>#NAME?</v>
      </c>
      <c r="S38" t="e">
        <f t="shared" ca="1" si="11"/>
        <v>#NAME?</v>
      </c>
      <c r="T38" t="e">
        <f t="shared" ca="1" si="12"/>
        <v>#NAME?</v>
      </c>
      <c r="U38" t="e">
        <f t="shared" ca="1" si="13"/>
        <v>#NAME?</v>
      </c>
      <c r="V38" t="e">
        <f t="shared" ca="1" si="14"/>
        <v>#NAME?</v>
      </c>
      <c r="W38" t="e">
        <f t="shared" ca="1" si="15"/>
        <v>#NAME?</v>
      </c>
      <c r="X38" t="e">
        <f t="shared" ca="1" si="16"/>
        <v>#NAME?</v>
      </c>
      <c r="Z38" s="15">
        <v>0.75</v>
      </c>
    </row>
    <row r="39" spans="1:26">
      <c r="A39" s="21" t="s">
        <v>72</v>
      </c>
      <c r="B39" s="117" t="s">
        <v>36</v>
      </c>
      <c r="C39" s="116" t="s">
        <v>32</v>
      </c>
      <c r="D39" s="115" t="s">
        <v>287</v>
      </c>
      <c r="E39" s="25"/>
      <c r="F39" s="110" t="s">
        <v>59</v>
      </c>
      <c r="G39" s="25"/>
      <c r="H39" s="25"/>
      <c r="J39" t="e">
        <f t="shared" ca="1" si="3"/>
        <v>#NAME?</v>
      </c>
      <c r="K39" t="e">
        <f t="shared" ca="1" si="4"/>
        <v>#NAME?</v>
      </c>
      <c r="L39" t="e">
        <f t="shared" ca="1" si="5"/>
        <v>#NAME?</v>
      </c>
      <c r="M39" t="e">
        <f t="shared" ca="1" si="6"/>
        <v>#NAME?</v>
      </c>
      <c r="N39" t="e">
        <f t="shared" ca="1" si="7"/>
        <v>#NAME?</v>
      </c>
      <c r="O39" t="e">
        <f t="shared" ca="1" si="8"/>
        <v>#NAME?</v>
      </c>
      <c r="P39" t="e">
        <f t="shared" ca="1" si="9"/>
        <v>#NAME?</v>
      </c>
      <c r="R39" t="e">
        <f t="shared" ca="1" si="10"/>
        <v>#NAME?</v>
      </c>
      <c r="S39" t="e">
        <f t="shared" ca="1" si="11"/>
        <v>#NAME?</v>
      </c>
      <c r="T39" t="e">
        <f t="shared" ca="1" si="12"/>
        <v>#NAME?</v>
      </c>
      <c r="U39" t="e">
        <f t="shared" ca="1" si="13"/>
        <v>#NAME?</v>
      </c>
      <c r="V39" t="e">
        <f t="shared" ca="1" si="14"/>
        <v>#NAME?</v>
      </c>
      <c r="W39" t="e">
        <f t="shared" ca="1" si="15"/>
        <v>#NAME?</v>
      </c>
      <c r="X39" t="e">
        <f t="shared" ca="1" si="16"/>
        <v>#NAME?</v>
      </c>
      <c r="Z39" s="15">
        <v>1</v>
      </c>
    </row>
    <row r="40" spans="1:26">
      <c r="A40" s="21" t="s">
        <v>74</v>
      </c>
      <c r="B40" s="25"/>
      <c r="C40" s="117" t="s">
        <v>36</v>
      </c>
      <c r="D40" s="25" t="s">
        <v>24</v>
      </c>
      <c r="E40" s="28" t="s">
        <v>34</v>
      </c>
      <c r="F40" s="25"/>
      <c r="G40" s="118" t="s">
        <v>36</v>
      </c>
      <c r="H40" s="25"/>
      <c r="J40" t="e">
        <f t="shared" ca="1" si="3"/>
        <v>#NAME?</v>
      </c>
      <c r="K40" t="e">
        <f t="shared" ca="1" si="4"/>
        <v>#NAME?</v>
      </c>
      <c r="L40" t="e">
        <f t="shared" ca="1" si="5"/>
        <v>#NAME?</v>
      </c>
      <c r="M40" t="e">
        <f t="shared" ca="1" si="6"/>
        <v>#NAME?</v>
      </c>
      <c r="N40" t="e">
        <f t="shared" ca="1" si="7"/>
        <v>#NAME?</v>
      </c>
      <c r="O40" t="e">
        <f t="shared" ca="1" si="8"/>
        <v>#NAME?</v>
      </c>
      <c r="P40" t="e">
        <f t="shared" ca="1" si="9"/>
        <v>#NAME?</v>
      </c>
      <c r="R40" t="e">
        <f t="shared" ca="1" si="10"/>
        <v>#NAME?</v>
      </c>
      <c r="S40" t="e">
        <f t="shared" ca="1" si="11"/>
        <v>#NAME?</v>
      </c>
      <c r="T40" t="e">
        <f t="shared" ca="1" si="12"/>
        <v>#NAME?</v>
      </c>
      <c r="U40" t="e">
        <f t="shared" ca="1" si="13"/>
        <v>#NAME?</v>
      </c>
      <c r="V40" t="e">
        <f t="shared" ca="1" si="14"/>
        <v>#NAME?</v>
      </c>
      <c r="W40" t="e">
        <f t="shared" ca="1" si="15"/>
        <v>#NAME?</v>
      </c>
      <c r="X40" t="e">
        <f t="shared" ca="1" si="16"/>
        <v>#NAME?</v>
      </c>
      <c r="Z40" s="15">
        <v>0.5</v>
      </c>
    </row>
    <row r="41" spans="1:26" ht="15" customHeight="1">
      <c r="A41" s="21" t="s">
        <v>75</v>
      </c>
      <c r="B41" s="127" t="s">
        <v>18</v>
      </c>
      <c r="C41" s="128"/>
      <c r="D41" s="128"/>
      <c r="E41" s="128"/>
      <c r="F41" s="128"/>
      <c r="G41" s="128"/>
      <c r="H41" s="129"/>
      <c r="J41" t="e">
        <f t="shared" ca="1" si="3"/>
        <v>#NAME?</v>
      </c>
      <c r="K41" t="e">
        <f t="shared" ca="1" si="4"/>
        <v>#NAME?</v>
      </c>
      <c r="L41" t="e">
        <f t="shared" ca="1" si="5"/>
        <v>#NAME?</v>
      </c>
      <c r="M41" t="e">
        <f t="shared" ca="1" si="6"/>
        <v>#NAME?</v>
      </c>
      <c r="N41" t="e">
        <f t="shared" ca="1" si="7"/>
        <v>#NAME?</v>
      </c>
      <c r="O41" t="e">
        <f t="shared" ca="1" si="8"/>
        <v>#NAME?</v>
      </c>
      <c r="P41" t="e">
        <f t="shared" ca="1" si="9"/>
        <v>#NAME?</v>
      </c>
      <c r="R41" t="e">
        <f t="shared" ca="1" si="10"/>
        <v>#NAME?</v>
      </c>
      <c r="S41" t="e">
        <f t="shared" ca="1" si="11"/>
        <v>#NAME?</v>
      </c>
      <c r="T41" t="e">
        <f t="shared" ca="1" si="12"/>
        <v>#NAME?</v>
      </c>
      <c r="U41" t="e">
        <f t="shared" ca="1" si="13"/>
        <v>#NAME?</v>
      </c>
      <c r="V41" t="e">
        <f t="shared" ca="1" si="14"/>
        <v>#NAME?</v>
      </c>
      <c r="W41" t="e">
        <f t="shared" ca="1" si="15"/>
        <v>#NAME?</v>
      </c>
      <c r="X41" t="e">
        <f t="shared" ca="1" si="16"/>
        <v>#NAME?</v>
      </c>
    </row>
    <row r="42" spans="1:26">
      <c r="A42" s="21" t="s">
        <v>76</v>
      </c>
      <c r="B42" s="127" t="s">
        <v>20</v>
      </c>
      <c r="C42" s="128"/>
      <c r="D42" s="128"/>
      <c r="E42" s="128"/>
      <c r="F42" s="128"/>
      <c r="G42" s="128"/>
      <c r="H42" s="129"/>
      <c r="J42" t="e">
        <f t="shared" ca="1" si="3"/>
        <v>#NAME?</v>
      </c>
      <c r="K42" t="e">
        <f t="shared" ca="1" si="4"/>
        <v>#NAME?</v>
      </c>
      <c r="L42" t="e">
        <f t="shared" ca="1" si="5"/>
        <v>#NAME?</v>
      </c>
      <c r="M42" t="e">
        <f t="shared" ca="1" si="6"/>
        <v>#NAME?</v>
      </c>
      <c r="N42" t="e">
        <f t="shared" ca="1" si="7"/>
        <v>#NAME?</v>
      </c>
      <c r="O42" t="e">
        <f t="shared" ca="1" si="8"/>
        <v>#NAME?</v>
      </c>
      <c r="P42" t="e">
        <f t="shared" ca="1" si="9"/>
        <v>#NAME?</v>
      </c>
      <c r="R42" t="e">
        <f t="shared" ca="1" si="10"/>
        <v>#NAME?</v>
      </c>
      <c r="S42" t="e">
        <f t="shared" ca="1" si="11"/>
        <v>#NAME?</v>
      </c>
      <c r="T42" t="e">
        <f t="shared" ca="1" si="12"/>
        <v>#NAME?</v>
      </c>
      <c r="U42" t="e">
        <f t="shared" ca="1" si="13"/>
        <v>#NAME?</v>
      </c>
      <c r="V42" t="e">
        <f t="shared" ca="1" si="14"/>
        <v>#NAME?</v>
      </c>
      <c r="W42" t="e">
        <f t="shared" ca="1" si="15"/>
        <v>#NAME?</v>
      </c>
      <c r="X42" t="e">
        <f t="shared" ca="1" si="16"/>
        <v>#NAME?</v>
      </c>
      <c r="Z42" s="15">
        <v>0.5</v>
      </c>
    </row>
    <row r="43" spans="1:26" ht="15" customHeight="1">
      <c r="A43" s="21" t="s">
        <v>77</v>
      </c>
      <c r="B43" s="25"/>
      <c r="C43" s="25"/>
      <c r="D43" s="25"/>
      <c r="E43" s="25"/>
      <c r="F43" s="25"/>
      <c r="G43" s="25"/>
      <c r="H43" s="25"/>
      <c r="J43" t="e">
        <f t="shared" ca="1" si="3"/>
        <v>#NAME?</v>
      </c>
      <c r="K43" t="e">
        <f t="shared" ca="1" si="4"/>
        <v>#NAME?</v>
      </c>
      <c r="L43" t="e">
        <f t="shared" ca="1" si="5"/>
        <v>#NAME?</v>
      </c>
      <c r="M43" t="e">
        <f t="shared" ca="1" si="6"/>
        <v>#NAME?</v>
      </c>
      <c r="N43" t="e">
        <f t="shared" ca="1" si="7"/>
        <v>#NAME?</v>
      </c>
      <c r="O43" t="e">
        <f t="shared" ca="1" si="8"/>
        <v>#NAME?</v>
      </c>
      <c r="P43" t="e">
        <f t="shared" ca="1" si="9"/>
        <v>#NAME?</v>
      </c>
      <c r="R43" t="e">
        <f t="shared" ca="1" si="10"/>
        <v>#NAME?</v>
      </c>
      <c r="S43" t="e">
        <f t="shared" ca="1" si="11"/>
        <v>#NAME?</v>
      </c>
      <c r="T43" t="e">
        <f t="shared" ca="1" si="12"/>
        <v>#NAME?</v>
      </c>
      <c r="U43" t="e">
        <f t="shared" ca="1" si="13"/>
        <v>#NAME?</v>
      </c>
      <c r="V43" t="e">
        <f t="shared" ca="1" si="14"/>
        <v>#NAME?</v>
      </c>
      <c r="W43" t="e">
        <f t="shared" ca="1" si="15"/>
        <v>#NAME?</v>
      </c>
      <c r="X43" t="e">
        <f t="shared" ca="1" si="16"/>
        <v>#NAME?</v>
      </c>
    </row>
    <row r="44" spans="1:26" ht="14.45" customHeight="1">
      <c r="A44" s="21" t="s">
        <v>79</v>
      </c>
      <c r="B44" s="116" t="s">
        <v>45</v>
      </c>
      <c r="C44" s="115" t="s">
        <v>287</v>
      </c>
      <c r="D44" s="25" t="s">
        <v>24</v>
      </c>
      <c r="E44" s="25"/>
      <c r="F44" s="25"/>
      <c r="G44" s="25"/>
      <c r="H44" s="118" t="s">
        <v>31</v>
      </c>
      <c r="J44" t="e">
        <f t="shared" ca="1" si="3"/>
        <v>#NAME?</v>
      </c>
      <c r="K44" t="e">
        <f t="shared" ca="1" si="4"/>
        <v>#NAME?</v>
      </c>
      <c r="L44" t="e">
        <f t="shared" ca="1" si="5"/>
        <v>#NAME?</v>
      </c>
      <c r="M44" t="e">
        <f t="shared" ca="1" si="6"/>
        <v>#NAME?</v>
      </c>
      <c r="N44" t="e">
        <f t="shared" ca="1" si="7"/>
        <v>#NAME?</v>
      </c>
      <c r="O44" t="e">
        <f t="shared" ca="1" si="8"/>
        <v>#NAME?</v>
      </c>
      <c r="P44" t="e">
        <f t="shared" ca="1" si="9"/>
        <v>#NAME?</v>
      </c>
      <c r="R44" t="e">
        <f t="shared" ca="1" si="10"/>
        <v>#NAME?</v>
      </c>
      <c r="S44" t="e">
        <f t="shared" ca="1" si="11"/>
        <v>#NAME?</v>
      </c>
      <c r="T44" t="e">
        <f t="shared" ca="1" si="12"/>
        <v>#NAME?</v>
      </c>
      <c r="U44" t="e">
        <f t="shared" ca="1" si="13"/>
        <v>#NAME?</v>
      </c>
      <c r="V44" t="e">
        <f t="shared" ca="1" si="14"/>
        <v>#NAME?</v>
      </c>
      <c r="W44" t="e">
        <f t="shared" ca="1" si="15"/>
        <v>#NAME?</v>
      </c>
      <c r="X44" t="e">
        <f t="shared" ca="1" si="16"/>
        <v>#NAME?</v>
      </c>
      <c r="Z44" s="15">
        <v>0.875</v>
      </c>
    </row>
    <row r="45" spans="1:26">
      <c r="A45" s="21" t="s">
        <v>80</v>
      </c>
      <c r="B45" s="25"/>
      <c r="C45" s="25"/>
      <c r="D45" s="25"/>
      <c r="E45" s="25"/>
      <c r="F45" s="25"/>
      <c r="G45" s="25"/>
      <c r="H45" s="25"/>
      <c r="J45" t="e">
        <f t="shared" ca="1" si="3"/>
        <v>#NAME?</v>
      </c>
      <c r="K45" t="e">
        <f t="shared" ca="1" si="4"/>
        <v>#NAME?</v>
      </c>
      <c r="L45" t="e">
        <f t="shared" ca="1" si="5"/>
        <v>#NAME?</v>
      </c>
      <c r="M45" t="e">
        <f t="shared" ca="1" si="6"/>
        <v>#NAME?</v>
      </c>
      <c r="N45" t="e">
        <f t="shared" ca="1" si="7"/>
        <v>#NAME?</v>
      </c>
      <c r="O45" t="e">
        <f t="shared" ca="1" si="8"/>
        <v>#NAME?</v>
      </c>
      <c r="P45" t="e">
        <f t="shared" ca="1" si="9"/>
        <v>#NAME?</v>
      </c>
      <c r="R45" t="e">
        <f t="shared" ca="1" si="10"/>
        <v>#NAME?</v>
      </c>
      <c r="S45" t="e">
        <f t="shared" ca="1" si="11"/>
        <v>#NAME?</v>
      </c>
      <c r="T45" t="e">
        <f t="shared" ca="1" si="12"/>
        <v>#NAME?</v>
      </c>
      <c r="U45" t="e">
        <f t="shared" ca="1" si="13"/>
        <v>#NAME?</v>
      </c>
      <c r="V45" t="e">
        <f t="shared" ca="1" si="14"/>
        <v>#NAME?</v>
      </c>
      <c r="W45" t="e">
        <f t="shared" ca="1" si="15"/>
        <v>#NAME?</v>
      </c>
      <c r="X45" t="e">
        <f t="shared" ca="1" si="16"/>
        <v>#NAME?</v>
      </c>
      <c r="Z45" s="15">
        <v>0.75</v>
      </c>
    </row>
    <row r="46" spans="1:26">
      <c r="A46" s="21" t="s">
        <v>81</v>
      </c>
      <c r="B46" s="25"/>
      <c r="C46" s="44" t="s">
        <v>26</v>
      </c>
      <c r="D46" s="115" t="s">
        <v>287</v>
      </c>
      <c r="E46" s="110" t="s">
        <v>59</v>
      </c>
      <c r="F46" s="25"/>
      <c r="G46" s="25"/>
      <c r="H46" s="25"/>
      <c r="J46" t="e">
        <f t="shared" ca="1" si="3"/>
        <v>#NAME?</v>
      </c>
      <c r="K46" t="e">
        <f t="shared" ca="1" si="4"/>
        <v>#NAME?</v>
      </c>
      <c r="L46" t="e">
        <f t="shared" ca="1" si="5"/>
        <v>#NAME?</v>
      </c>
      <c r="M46" t="e">
        <f t="shared" ca="1" si="6"/>
        <v>#NAME?</v>
      </c>
      <c r="N46" t="e">
        <f t="shared" ca="1" si="7"/>
        <v>#NAME?</v>
      </c>
      <c r="O46" t="e">
        <f t="shared" ca="1" si="8"/>
        <v>#NAME?</v>
      </c>
      <c r="P46" t="e">
        <f t="shared" ca="1" si="9"/>
        <v>#NAME?</v>
      </c>
      <c r="R46" t="e">
        <f t="shared" ca="1" si="10"/>
        <v>#NAME?</v>
      </c>
      <c r="S46" t="e">
        <f t="shared" ca="1" si="11"/>
        <v>#NAME?</v>
      </c>
      <c r="T46" t="e">
        <f t="shared" ca="1" si="12"/>
        <v>#NAME?</v>
      </c>
      <c r="U46" t="e">
        <f t="shared" ca="1" si="13"/>
        <v>#NAME?</v>
      </c>
      <c r="V46" t="e">
        <f t="shared" ca="1" si="14"/>
        <v>#NAME?</v>
      </c>
      <c r="W46" t="e">
        <f t="shared" ca="1" si="15"/>
        <v>#NAME?</v>
      </c>
      <c r="X46" t="e">
        <f t="shared" ca="1" si="16"/>
        <v>#NAME?</v>
      </c>
      <c r="Z46" s="15">
        <v>0.75</v>
      </c>
    </row>
    <row r="47" spans="1:26">
      <c r="A47" s="21" t="s">
        <v>338</v>
      </c>
      <c r="B47" s="118" t="s">
        <v>337</v>
      </c>
      <c r="C47" s="25"/>
      <c r="D47" s="25"/>
      <c r="E47" s="25" t="s">
        <v>288</v>
      </c>
      <c r="F47" s="25"/>
      <c r="G47" s="25"/>
      <c r="H47" s="25"/>
      <c r="J47" t="e">
        <f t="shared" ca="1" si="3"/>
        <v>#NAME?</v>
      </c>
      <c r="K47" t="e">
        <f t="shared" ca="1" si="4"/>
        <v>#NAME?</v>
      </c>
      <c r="L47" t="e">
        <f t="shared" ca="1" si="5"/>
        <v>#NAME?</v>
      </c>
      <c r="M47" t="e">
        <f t="shared" ca="1" si="6"/>
        <v>#NAME?</v>
      </c>
      <c r="N47" t="e">
        <f t="shared" ca="1" si="7"/>
        <v>#NAME?</v>
      </c>
      <c r="O47" t="e">
        <f t="shared" ca="1" si="8"/>
        <v>#NAME?</v>
      </c>
      <c r="P47" t="e">
        <f t="shared" ca="1" si="9"/>
        <v>#NAME?</v>
      </c>
      <c r="R47" t="e">
        <f t="shared" ca="1" si="10"/>
        <v>#NAME?</v>
      </c>
      <c r="S47" t="e">
        <f t="shared" ca="1" si="11"/>
        <v>#NAME?</v>
      </c>
      <c r="T47" t="e">
        <f t="shared" ca="1" si="12"/>
        <v>#NAME?</v>
      </c>
      <c r="U47" t="e">
        <f t="shared" ca="1" si="13"/>
        <v>#NAME?</v>
      </c>
      <c r="V47" t="e">
        <f t="shared" ca="1" si="14"/>
        <v>#NAME?</v>
      </c>
      <c r="W47" t="e">
        <f t="shared" ca="1" si="15"/>
        <v>#NAME?</v>
      </c>
      <c r="X47" t="e">
        <f t="shared" ca="1" si="16"/>
        <v>#NAME?</v>
      </c>
    </row>
    <row r="48" spans="1:26">
      <c r="A48" s="21" t="s">
        <v>82</v>
      </c>
      <c r="B48" s="127" t="s">
        <v>18</v>
      </c>
      <c r="C48" s="128"/>
      <c r="D48" s="128"/>
      <c r="E48" s="128"/>
      <c r="F48" s="128"/>
      <c r="G48" s="128"/>
      <c r="H48" s="129"/>
      <c r="J48" t="e">
        <f t="shared" ca="1" si="3"/>
        <v>#NAME?</v>
      </c>
      <c r="K48" t="e">
        <f t="shared" ca="1" si="4"/>
        <v>#NAME?</v>
      </c>
      <c r="L48" t="e">
        <f t="shared" ca="1" si="5"/>
        <v>#NAME?</v>
      </c>
      <c r="M48" t="e">
        <f t="shared" ca="1" si="6"/>
        <v>#NAME?</v>
      </c>
      <c r="N48" t="e">
        <f t="shared" ca="1" si="7"/>
        <v>#NAME?</v>
      </c>
      <c r="O48" t="e">
        <f t="shared" ca="1" si="8"/>
        <v>#NAME?</v>
      </c>
      <c r="P48" t="e">
        <f t="shared" ca="1" si="9"/>
        <v>#NAME?</v>
      </c>
      <c r="R48" t="e">
        <f t="shared" ca="1" si="10"/>
        <v>#NAME?</v>
      </c>
      <c r="S48" t="e">
        <f t="shared" ca="1" si="11"/>
        <v>#NAME?</v>
      </c>
      <c r="T48" t="e">
        <f t="shared" ca="1" si="12"/>
        <v>#NAME?</v>
      </c>
      <c r="U48" t="e">
        <f t="shared" ca="1" si="13"/>
        <v>#NAME?</v>
      </c>
      <c r="V48" t="e">
        <f t="shared" ca="1" si="14"/>
        <v>#NAME?</v>
      </c>
      <c r="W48" t="e">
        <f t="shared" ca="1" si="15"/>
        <v>#NAME?</v>
      </c>
      <c r="X48" t="e">
        <f t="shared" ca="1" si="16"/>
        <v>#NAME?</v>
      </c>
      <c r="Z48" s="15">
        <v>0.5</v>
      </c>
    </row>
    <row r="49" spans="1:26">
      <c r="A49" s="21" t="s">
        <v>83</v>
      </c>
      <c r="B49" s="127"/>
      <c r="C49" s="128"/>
      <c r="D49" s="128"/>
      <c r="E49" s="128"/>
      <c r="F49" s="128"/>
      <c r="G49" s="128"/>
      <c r="H49" s="129"/>
      <c r="J49" t="e">
        <f t="shared" ca="1" si="3"/>
        <v>#NAME?</v>
      </c>
      <c r="K49" t="e">
        <f t="shared" ca="1" si="4"/>
        <v>#NAME?</v>
      </c>
      <c r="L49" t="e">
        <f t="shared" ca="1" si="5"/>
        <v>#NAME?</v>
      </c>
      <c r="M49" t="e">
        <f t="shared" ca="1" si="6"/>
        <v>#NAME?</v>
      </c>
      <c r="N49" t="e">
        <f t="shared" ca="1" si="7"/>
        <v>#NAME?</v>
      </c>
      <c r="O49" t="e">
        <f t="shared" ca="1" si="8"/>
        <v>#NAME?</v>
      </c>
      <c r="P49" t="e">
        <f t="shared" ca="1" si="9"/>
        <v>#NAME?</v>
      </c>
      <c r="R49" t="e">
        <f t="shared" ca="1" si="10"/>
        <v>#NAME?</v>
      </c>
      <c r="S49" t="e">
        <f t="shared" ca="1" si="11"/>
        <v>#NAME?</v>
      </c>
      <c r="T49" t="e">
        <f t="shared" ca="1" si="12"/>
        <v>#NAME?</v>
      </c>
      <c r="U49" t="e">
        <f t="shared" ca="1" si="13"/>
        <v>#NAME?</v>
      </c>
      <c r="V49" t="e">
        <f t="shared" ca="1" si="14"/>
        <v>#NAME?</v>
      </c>
      <c r="W49" t="e">
        <f t="shared" ca="1" si="15"/>
        <v>#NAME?</v>
      </c>
      <c r="X49" t="e">
        <f t="shared" ca="1" si="16"/>
        <v>#NAME?</v>
      </c>
      <c r="Z49" s="15">
        <v>0.625</v>
      </c>
    </row>
    <row r="50" spans="1:26" ht="15" customHeight="1">
      <c r="A50" s="21" t="s">
        <v>85</v>
      </c>
      <c r="B50" s="118" t="s">
        <v>36</v>
      </c>
      <c r="C50" s="25" t="s">
        <v>24</v>
      </c>
      <c r="D50" s="117" t="s">
        <v>31</v>
      </c>
      <c r="E50" s="28" t="s">
        <v>25</v>
      </c>
      <c r="F50" s="25"/>
      <c r="G50" s="25"/>
      <c r="H50" s="25"/>
      <c r="J50" t="e">
        <f t="shared" ca="1" si="3"/>
        <v>#NAME?</v>
      </c>
      <c r="K50" t="e">
        <f t="shared" ca="1" si="4"/>
        <v>#NAME?</v>
      </c>
      <c r="L50" t="e">
        <f t="shared" ca="1" si="5"/>
        <v>#NAME?</v>
      </c>
      <c r="M50" t="e">
        <f t="shared" ca="1" si="6"/>
        <v>#NAME?</v>
      </c>
      <c r="N50" t="e">
        <f t="shared" ca="1" si="7"/>
        <v>#NAME?</v>
      </c>
      <c r="O50" t="e">
        <f t="shared" ca="1" si="8"/>
        <v>#NAME?</v>
      </c>
      <c r="P50" t="e">
        <f t="shared" ca="1" si="9"/>
        <v>#NAME?</v>
      </c>
      <c r="R50" t="e">
        <f t="shared" ca="1" si="10"/>
        <v>#NAME?</v>
      </c>
      <c r="S50" t="e">
        <f t="shared" ca="1" si="11"/>
        <v>#NAME?</v>
      </c>
      <c r="T50" t="e">
        <f t="shared" ca="1" si="12"/>
        <v>#NAME?</v>
      </c>
      <c r="U50" t="e">
        <f t="shared" ca="1" si="13"/>
        <v>#NAME?</v>
      </c>
      <c r="V50" t="e">
        <f t="shared" ca="1" si="14"/>
        <v>#NAME?</v>
      </c>
      <c r="W50" t="e">
        <f t="shared" ca="1" si="15"/>
        <v>#NAME?</v>
      </c>
      <c r="X50" t="e">
        <f t="shared" ca="1" si="16"/>
        <v>#NAME?</v>
      </c>
      <c r="Z50" s="15">
        <v>0.5</v>
      </c>
    </row>
    <row r="51" spans="1:26" ht="15" customHeight="1">
      <c r="A51" s="21" t="s">
        <v>290</v>
      </c>
      <c r="B51" s="25"/>
      <c r="C51" s="25"/>
      <c r="D51" s="25"/>
      <c r="E51" s="25"/>
      <c r="F51" s="25"/>
      <c r="G51" s="25"/>
      <c r="H51" s="25"/>
      <c r="J51" t="e">
        <f t="shared" ca="1" si="3"/>
        <v>#NAME?</v>
      </c>
      <c r="K51" t="e">
        <f t="shared" ca="1" si="4"/>
        <v>#NAME?</v>
      </c>
      <c r="L51" t="e">
        <f t="shared" ca="1" si="5"/>
        <v>#NAME?</v>
      </c>
      <c r="M51" t="e">
        <f t="shared" ca="1" si="6"/>
        <v>#NAME?</v>
      </c>
      <c r="N51" t="e">
        <f t="shared" ca="1" si="7"/>
        <v>#NAME?</v>
      </c>
      <c r="O51" t="e">
        <f t="shared" ca="1" si="8"/>
        <v>#NAME?</v>
      </c>
      <c r="P51" t="e">
        <f t="shared" ca="1" si="9"/>
        <v>#NAME?</v>
      </c>
      <c r="R51" t="e">
        <f t="shared" ca="1" si="10"/>
        <v>#NAME?</v>
      </c>
      <c r="S51" t="e">
        <f t="shared" ca="1" si="11"/>
        <v>#NAME?</v>
      </c>
      <c r="T51" t="e">
        <f t="shared" ca="1" si="12"/>
        <v>#NAME?</v>
      </c>
      <c r="U51" t="e">
        <f t="shared" ca="1" si="13"/>
        <v>#NAME?</v>
      </c>
      <c r="V51" t="e">
        <f t="shared" ca="1" si="14"/>
        <v>#NAME?</v>
      </c>
      <c r="W51" t="e">
        <f t="shared" ca="1" si="15"/>
        <v>#NAME?</v>
      </c>
      <c r="X51" t="e">
        <f t="shared" ca="1" si="16"/>
        <v>#NAME?</v>
      </c>
    </row>
    <row r="52" spans="1:26" ht="15" customHeight="1">
      <c r="A52" s="21" t="s">
        <v>290</v>
      </c>
      <c r="B52" s="25"/>
      <c r="C52" s="25"/>
      <c r="D52" s="25"/>
      <c r="E52" s="25"/>
      <c r="F52" s="25"/>
      <c r="G52" s="25"/>
      <c r="H52" s="25"/>
      <c r="J52" t="e">
        <f t="shared" ca="1" si="3"/>
        <v>#NAME?</v>
      </c>
      <c r="K52" t="e">
        <f t="shared" ca="1" si="4"/>
        <v>#NAME?</v>
      </c>
      <c r="L52" t="e">
        <f t="shared" ca="1" si="5"/>
        <v>#NAME?</v>
      </c>
      <c r="M52" t="e">
        <f t="shared" ca="1" si="6"/>
        <v>#NAME?</v>
      </c>
      <c r="N52" t="e">
        <f t="shared" ca="1" si="7"/>
        <v>#NAME?</v>
      </c>
      <c r="O52" t="e">
        <f t="shared" ca="1" si="8"/>
        <v>#NAME?</v>
      </c>
      <c r="P52" t="e">
        <f t="shared" ca="1" si="9"/>
        <v>#NAME?</v>
      </c>
      <c r="R52" t="e">
        <f t="shared" ca="1" si="10"/>
        <v>#NAME?</v>
      </c>
      <c r="S52" t="e">
        <f t="shared" ca="1" si="11"/>
        <v>#NAME?</v>
      </c>
      <c r="T52" t="e">
        <f t="shared" ca="1" si="12"/>
        <v>#NAME?</v>
      </c>
      <c r="U52" t="e">
        <f t="shared" ca="1" si="13"/>
        <v>#NAME?</v>
      </c>
      <c r="V52" t="e">
        <f t="shared" ca="1" si="14"/>
        <v>#NAME?</v>
      </c>
      <c r="W52" t="e">
        <f t="shared" ca="1" si="15"/>
        <v>#NAME?</v>
      </c>
      <c r="X52" t="e">
        <f t="shared" ca="1" si="16"/>
        <v>#NAME?</v>
      </c>
    </row>
    <row r="53" spans="1:26" s="52" customFormat="1">
      <c r="A53" s="50" t="s">
        <v>89</v>
      </c>
      <c r="B53" s="51" t="s">
        <v>340</v>
      </c>
      <c r="C53" s="51" t="s">
        <v>292</v>
      </c>
      <c r="D53" s="51" t="s">
        <v>317</v>
      </c>
      <c r="E53" s="51" t="s">
        <v>315</v>
      </c>
      <c r="F53" s="51" t="s">
        <v>293</v>
      </c>
      <c r="G53" s="51" t="s">
        <v>392</v>
      </c>
      <c r="H53" s="51" t="s">
        <v>291</v>
      </c>
      <c r="J53" t="e">
        <f t="shared" ca="1" si="3"/>
        <v>#NAME?</v>
      </c>
      <c r="K53" t="e">
        <f t="shared" ca="1" si="4"/>
        <v>#NAME?</v>
      </c>
      <c r="L53" t="e">
        <f t="shared" ca="1" si="5"/>
        <v>#NAME?</v>
      </c>
      <c r="M53" t="e">
        <f t="shared" ca="1" si="6"/>
        <v>#NAME?</v>
      </c>
      <c r="N53" t="e">
        <f t="shared" ca="1" si="7"/>
        <v>#NAME?</v>
      </c>
      <c r="O53" t="e">
        <f t="shared" ca="1" si="8"/>
        <v>#NAME?</v>
      </c>
      <c r="P53" t="e">
        <f t="shared" ca="1" si="9"/>
        <v>#NAME?</v>
      </c>
      <c r="Q53"/>
      <c r="R53" t="e">
        <f t="shared" ca="1" si="10"/>
        <v>#NAME?</v>
      </c>
      <c r="S53" t="e">
        <f t="shared" ca="1" si="11"/>
        <v>#NAME?</v>
      </c>
      <c r="T53" t="e">
        <f t="shared" ca="1" si="12"/>
        <v>#NAME?</v>
      </c>
      <c r="U53" t="e">
        <f t="shared" ca="1" si="13"/>
        <v>#NAME?</v>
      </c>
      <c r="V53" t="e">
        <f t="shared" ca="1" si="14"/>
        <v>#NAME?</v>
      </c>
      <c r="W53" t="e">
        <f t="shared" ca="1" si="15"/>
        <v>#NAME?</v>
      </c>
      <c r="X53" t="e">
        <f t="shared" ca="1" si="16"/>
        <v>#NAME?</v>
      </c>
      <c r="Z53" s="57">
        <f>SUM(Z3:Z51)</f>
        <v>28.75</v>
      </c>
    </row>
    <row r="54" spans="1:26" ht="15" customHeight="1">
      <c r="A54" s="106" t="s">
        <v>99</v>
      </c>
      <c r="B54" s="107" t="str">
        <f>B58</f>
        <v>Mon 27 Jul</v>
      </c>
      <c r="C54" s="107" t="str">
        <f>C58</f>
        <v>Tues 28 Jul</v>
      </c>
      <c r="D54" s="107" t="str">
        <f t="shared" ref="D54:H54" si="17">D58</f>
        <v>Wed 29 Jul</v>
      </c>
      <c r="E54" s="107" t="str">
        <f t="shared" si="17"/>
        <v>Thu 30 Jul</v>
      </c>
      <c r="F54" s="107" t="str">
        <f t="shared" si="17"/>
        <v>Fri 31 Jul</v>
      </c>
      <c r="G54" s="107" t="str">
        <f t="shared" si="17"/>
        <v>Sat 1 Aug</v>
      </c>
      <c r="H54" s="107" t="str">
        <f t="shared" si="17"/>
        <v>Sun 2 Aug</v>
      </c>
      <c r="J54" t="e">
        <f t="shared" ca="1" si="3"/>
        <v>#NAME?</v>
      </c>
      <c r="K54" t="e">
        <f t="shared" ca="1" si="4"/>
        <v>#NAME?</v>
      </c>
      <c r="L54" t="e">
        <f t="shared" ca="1" si="5"/>
        <v>#NAME?</v>
      </c>
      <c r="M54" t="e">
        <f t="shared" ca="1" si="6"/>
        <v>#NAME?</v>
      </c>
      <c r="N54" t="e">
        <f t="shared" ca="1" si="7"/>
        <v>#NAME?</v>
      </c>
      <c r="O54" t="e">
        <f t="shared" ca="1" si="8"/>
        <v>#NAME?</v>
      </c>
      <c r="P54" t="e">
        <f t="shared" ca="1" si="9"/>
        <v>#NAME?</v>
      </c>
      <c r="R54" t="e">
        <f t="shared" ca="1" si="10"/>
        <v>#NAME?</v>
      </c>
      <c r="S54" t="e">
        <f t="shared" ca="1" si="11"/>
        <v>#NAME?</v>
      </c>
      <c r="T54" t="e">
        <f t="shared" ca="1" si="12"/>
        <v>#NAME?</v>
      </c>
      <c r="U54" t="e">
        <f t="shared" ca="1" si="13"/>
        <v>#NAME?</v>
      </c>
      <c r="V54" t="e">
        <f t="shared" ca="1" si="14"/>
        <v>#NAME?</v>
      </c>
      <c r="W54" t="e">
        <f t="shared" ca="1" si="15"/>
        <v>#NAME?</v>
      </c>
      <c r="X54" t="e">
        <f t="shared" ca="1" si="16"/>
        <v>#NAME?</v>
      </c>
    </row>
    <row r="55" spans="1:26" ht="15" customHeight="1">
      <c r="A55" s="22" t="s">
        <v>107</v>
      </c>
      <c r="B55" s="25"/>
      <c r="C55" s="25"/>
      <c r="D55" s="25"/>
      <c r="E55" s="25"/>
      <c r="F55" s="25"/>
      <c r="G55" s="25"/>
      <c r="H55" s="25"/>
      <c r="J55" t="e">
        <f t="shared" ca="1" si="3"/>
        <v>#NAME?</v>
      </c>
      <c r="K55" t="e">
        <f t="shared" ca="1" si="4"/>
        <v>#NAME?</v>
      </c>
      <c r="L55" t="e">
        <f t="shared" ca="1" si="5"/>
        <v>#NAME?</v>
      </c>
      <c r="M55" t="e">
        <f t="shared" ca="1" si="6"/>
        <v>#NAME?</v>
      </c>
      <c r="N55" t="e">
        <f t="shared" ca="1" si="7"/>
        <v>#NAME?</v>
      </c>
      <c r="O55" t="e">
        <f t="shared" ca="1" si="8"/>
        <v>#NAME?</v>
      </c>
      <c r="P55" t="e">
        <f t="shared" ca="1" si="9"/>
        <v>#NAME?</v>
      </c>
      <c r="R55" t="e">
        <f t="shared" ca="1" si="10"/>
        <v>#NAME?</v>
      </c>
      <c r="S55" t="e">
        <f t="shared" ca="1" si="11"/>
        <v>#NAME?</v>
      </c>
      <c r="T55" t="e">
        <f t="shared" ca="1" si="12"/>
        <v>#NAME?</v>
      </c>
      <c r="U55" t="e">
        <f t="shared" ca="1" si="13"/>
        <v>#NAME?</v>
      </c>
      <c r="V55" t="e">
        <f t="shared" ca="1" si="14"/>
        <v>#NAME?</v>
      </c>
      <c r="W55" t="e">
        <f t="shared" ca="1" si="15"/>
        <v>#NAME?</v>
      </c>
      <c r="X55" t="e">
        <f t="shared" ca="1" si="16"/>
        <v>#NAME?</v>
      </c>
    </row>
    <row r="56" spans="1:26" ht="15" customHeight="1">
      <c r="A56" s="22" t="s">
        <v>109</v>
      </c>
      <c r="B56" s="25"/>
      <c r="C56" s="25"/>
      <c r="D56" s="25"/>
      <c r="E56" s="25"/>
      <c r="F56" s="25"/>
      <c r="G56" s="25"/>
      <c r="H56" s="25"/>
      <c r="J56" t="e">
        <f t="shared" ca="1" si="3"/>
        <v>#NAME?</v>
      </c>
      <c r="K56" t="e">
        <f t="shared" ca="1" si="4"/>
        <v>#NAME?</v>
      </c>
      <c r="L56" t="e">
        <f t="shared" ca="1" si="5"/>
        <v>#NAME?</v>
      </c>
      <c r="M56" t="e">
        <f t="shared" ca="1" si="6"/>
        <v>#NAME?</v>
      </c>
      <c r="N56" t="e">
        <f t="shared" ca="1" si="7"/>
        <v>#NAME?</v>
      </c>
      <c r="O56" t="e">
        <f t="shared" ca="1" si="8"/>
        <v>#NAME?</v>
      </c>
      <c r="P56" t="e">
        <f t="shared" ca="1" si="9"/>
        <v>#NAME?</v>
      </c>
      <c r="R56" t="e">
        <f t="shared" ca="1" si="10"/>
        <v>#NAME?</v>
      </c>
      <c r="S56" t="e">
        <f t="shared" ca="1" si="11"/>
        <v>#NAME?</v>
      </c>
      <c r="T56" t="e">
        <f t="shared" ca="1" si="12"/>
        <v>#NAME?</v>
      </c>
      <c r="U56" t="e">
        <f t="shared" ca="1" si="13"/>
        <v>#NAME?</v>
      </c>
      <c r="V56" t="e">
        <f t="shared" ca="1" si="14"/>
        <v>#NAME?</v>
      </c>
      <c r="W56" t="e">
        <f t="shared" ca="1" si="15"/>
        <v>#NAME?</v>
      </c>
      <c r="X56" t="e">
        <f t="shared" ca="1" si="16"/>
        <v>#NAME?</v>
      </c>
    </row>
    <row r="57" spans="1:26" ht="15" customHeight="1">
      <c r="A57" s="22" t="s">
        <v>429</v>
      </c>
      <c r="B57" s="25"/>
      <c r="C57" s="25"/>
      <c r="D57" s="25"/>
      <c r="E57" s="25"/>
      <c r="F57" s="25"/>
      <c r="G57" s="25"/>
      <c r="H57" s="25"/>
      <c r="J57" t="e">
        <f t="shared" ca="1" si="3"/>
        <v>#NAME?</v>
      </c>
      <c r="K57" t="e">
        <f t="shared" ca="1" si="4"/>
        <v>#NAME?</v>
      </c>
      <c r="L57" t="e">
        <f t="shared" ca="1" si="5"/>
        <v>#NAME?</v>
      </c>
      <c r="M57" t="e">
        <f t="shared" ca="1" si="6"/>
        <v>#NAME?</v>
      </c>
      <c r="N57" t="e">
        <f t="shared" ca="1" si="7"/>
        <v>#NAME?</v>
      </c>
      <c r="O57" t="e">
        <f t="shared" ca="1" si="8"/>
        <v>#NAME?</v>
      </c>
      <c r="P57" t="e">
        <f t="shared" ca="1" si="9"/>
        <v>#NAME?</v>
      </c>
      <c r="R57" t="e">
        <f t="shared" ca="1" si="10"/>
        <v>#NAME?</v>
      </c>
      <c r="S57" t="e">
        <f t="shared" ca="1" si="11"/>
        <v>#NAME?</v>
      </c>
      <c r="T57" t="e">
        <f t="shared" ca="1" si="12"/>
        <v>#NAME?</v>
      </c>
      <c r="U57" t="e">
        <f t="shared" ca="1" si="13"/>
        <v>#NAME?</v>
      </c>
      <c r="V57" t="e">
        <f t="shared" ca="1" si="14"/>
        <v>#NAME?</v>
      </c>
      <c r="W57" t="e">
        <f t="shared" ca="1" si="15"/>
        <v>#NAME?</v>
      </c>
      <c r="X57" t="e">
        <f t="shared" ca="1" si="16"/>
        <v>#NAME?</v>
      </c>
    </row>
    <row r="58" spans="1:26" ht="15" customHeight="1">
      <c r="A58" s="106" t="s">
        <v>113</v>
      </c>
      <c r="B58" s="107" t="s">
        <v>458</v>
      </c>
      <c r="C58" s="107" t="s">
        <v>459</v>
      </c>
      <c r="D58" s="107" t="s">
        <v>460</v>
      </c>
      <c r="E58" s="107" t="s">
        <v>461</v>
      </c>
      <c r="F58" s="107" t="s">
        <v>462</v>
      </c>
      <c r="G58" s="107" t="s">
        <v>463</v>
      </c>
      <c r="H58" s="107" t="s">
        <v>464</v>
      </c>
      <c r="J58" t="e">
        <f t="shared" ca="1" si="3"/>
        <v>#NAME?</v>
      </c>
      <c r="K58" t="e">
        <f t="shared" ca="1" si="4"/>
        <v>#NAME?</v>
      </c>
      <c r="L58" t="e">
        <f t="shared" ca="1" si="5"/>
        <v>#NAME?</v>
      </c>
      <c r="M58" t="e">
        <f t="shared" ca="1" si="6"/>
        <v>#NAME?</v>
      </c>
      <c r="N58" t="e">
        <f t="shared" ca="1" si="7"/>
        <v>#NAME?</v>
      </c>
      <c r="O58" t="e">
        <f t="shared" ca="1" si="8"/>
        <v>#NAME?</v>
      </c>
      <c r="P58" t="e">
        <f t="shared" ca="1" si="9"/>
        <v>#NAME?</v>
      </c>
      <c r="R58" t="e">
        <f t="shared" ca="1" si="10"/>
        <v>#NAME?</v>
      </c>
      <c r="S58" t="e">
        <f t="shared" ca="1" si="11"/>
        <v>#NAME?</v>
      </c>
      <c r="T58" t="e">
        <f t="shared" ca="1" si="12"/>
        <v>#NAME?</v>
      </c>
      <c r="U58" t="e">
        <f t="shared" ca="1" si="13"/>
        <v>#NAME?</v>
      </c>
      <c r="V58" t="e">
        <f t="shared" ca="1" si="14"/>
        <v>#NAME?</v>
      </c>
      <c r="W58" t="e">
        <f t="shared" ca="1" si="15"/>
        <v>#NAME?</v>
      </c>
      <c r="X58" t="e">
        <f t="shared" ca="1" si="16"/>
        <v>#NAME?</v>
      </c>
    </row>
    <row r="59" spans="1:26" ht="15" customHeight="1">
      <c r="A59" s="22" t="s">
        <v>114</v>
      </c>
      <c r="B59" s="120" t="s">
        <v>116</v>
      </c>
      <c r="C59" s="28" t="s">
        <v>115</v>
      </c>
      <c r="D59" s="25"/>
      <c r="E59" s="25"/>
      <c r="F59" s="25"/>
      <c r="G59" s="25" t="s">
        <v>123</v>
      </c>
      <c r="H59" s="25" t="s">
        <v>152</v>
      </c>
      <c r="J59" t="e">
        <f t="shared" ca="1" si="3"/>
        <v>#NAME?</v>
      </c>
      <c r="K59" t="e">
        <f t="shared" ca="1" si="4"/>
        <v>#NAME?</v>
      </c>
      <c r="L59" t="e">
        <f t="shared" ca="1" si="5"/>
        <v>#NAME?</v>
      </c>
      <c r="M59" t="e">
        <f t="shared" ca="1" si="6"/>
        <v>#NAME?</v>
      </c>
      <c r="N59" t="e">
        <f t="shared" ca="1" si="7"/>
        <v>#NAME?</v>
      </c>
      <c r="O59" t="e">
        <f t="shared" ca="1" si="8"/>
        <v>#NAME?</v>
      </c>
      <c r="P59" t="e">
        <f t="shared" ca="1" si="9"/>
        <v>#NAME?</v>
      </c>
      <c r="R59" t="e">
        <f t="shared" ca="1" si="10"/>
        <v>#NAME?</v>
      </c>
      <c r="S59" t="e">
        <f t="shared" ca="1" si="11"/>
        <v>#NAME?</v>
      </c>
      <c r="T59" t="e">
        <f t="shared" ca="1" si="12"/>
        <v>#NAME?</v>
      </c>
      <c r="U59" t="e">
        <f t="shared" ca="1" si="13"/>
        <v>#NAME?</v>
      </c>
      <c r="V59" t="e">
        <f t="shared" ca="1" si="14"/>
        <v>#NAME?</v>
      </c>
      <c r="W59" t="e">
        <f t="shared" ca="1" si="15"/>
        <v>#NAME?</v>
      </c>
      <c r="X59" t="e">
        <f t="shared" ca="1" si="16"/>
        <v>#NAME?</v>
      </c>
      <c r="Z59" s="15">
        <v>1</v>
      </c>
    </row>
    <row r="60" spans="1:26" ht="15" customHeight="1">
      <c r="A60" s="22" t="s">
        <v>117</v>
      </c>
      <c r="B60" s="25"/>
      <c r="C60" s="28" t="s">
        <v>119</v>
      </c>
      <c r="D60" s="120" t="s">
        <v>118</v>
      </c>
      <c r="E60" s="121" t="s">
        <v>116</v>
      </c>
      <c r="F60" s="28" t="s">
        <v>115</v>
      </c>
      <c r="G60" s="25"/>
      <c r="H60" s="25"/>
      <c r="J60" t="e">
        <f t="shared" ca="1" si="3"/>
        <v>#NAME?</v>
      </c>
      <c r="K60" t="e">
        <f t="shared" ca="1" si="4"/>
        <v>#NAME?</v>
      </c>
      <c r="L60" t="e">
        <f t="shared" ca="1" si="5"/>
        <v>#NAME?</v>
      </c>
      <c r="M60" t="e">
        <f t="shared" ca="1" si="6"/>
        <v>#NAME?</v>
      </c>
      <c r="N60" t="e">
        <f t="shared" ca="1" si="7"/>
        <v>#NAME?</v>
      </c>
      <c r="O60" t="e">
        <f t="shared" ca="1" si="8"/>
        <v>#NAME?</v>
      </c>
      <c r="P60" t="e">
        <f t="shared" ca="1" si="9"/>
        <v>#NAME?</v>
      </c>
      <c r="R60" t="e">
        <f t="shared" ca="1" si="10"/>
        <v>#NAME?</v>
      </c>
      <c r="S60" t="e">
        <f t="shared" ca="1" si="11"/>
        <v>#NAME?</v>
      </c>
      <c r="T60" t="e">
        <f t="shared" ca="1" si="12"/>
        <v>#NAME?</v>
      </c>
      <c r="U60" t="e">
        <f t="shared" ca="1" si="13"/>
        <v>#NAME?</v>
      </c>
      <c r="V60" t="e">
        <f t="shared" ca="1" si="14"/>
        <v>#NAME?</v>
      </c>
      <c r="W60" t="e">
        <f t="shared" ca="1" si="15"/>
        <v>#NAME?</v>
      </c>
      <c r="X60" t="e">
        <f t="shared" ca="1" si="16"/>
        <v>#NAME?</v>
      </c>
      <c r="Z60" s="15">
        <v>1</v>
      </c>
    </row>
    <row r="61" spans="1:26" ht="15" customHeight="1">
      <c r="A61" s="22" t="s">
        <v>120</v>
      </c>
      <c r="B61" s="25"/>
      <c r="C61" s="25"/>
      <c r="D61" s="25"/>
      <c r="E61" s="25"/>
      <c r="F61" s="25"/>
      <c r="G61" s="25"/>
      <c r="H61" s="25"/>
      <c r="J61" t="e">
        <f t="shared" ca="1" si="3"/>
        <v>#NAME?</v>
      </c>
      <c r="K61" t="e">
        <f t="shared" ca="1" si="4"/>
        <v>#NAME?</v>
      </c>
      <c r="L61" t="e">
        <f t="shared" ca="1" si="5"/>
        <v>#NAME?</v>
      </c>
      <c r="M61" t="e">
        <f t="shared" ca="1" si="6"/>
        <v>#NAME?</v>
      </c>
      <c r="N61" t="e">
        <f t="shared" ca="1" si="7"/>
        <v>#NAME?</v>
      </c>
      <c r="O61" t="e">
        <f t="shared" ca="1" si="8"/>
        <v>#NAME?</v>
      </c>
      <c r="P61" t="e">
        <f t="shared" ca="1" si="9"/>
        <v>#NAME?</v>
      </c>
      <c r="R61" t="e">
        <f t="shared" ca="1" si="10"/>
        <v>#NAME?</v>
      </c>
      <c r="S61" t="e">
        <f t="shared" ca="1" si="11"/>
        <v>#NAME?</v>
      </c>
      <c r="T61" t="e">
        <f t="shared" ca="1" si="12"/>
        <v>#NAME?</v>
      </c>
      <c r="U61" t="e">
        <f t="shared" ca="1" si="13"/>
        <v>#NAME?</v>
      </c>
      <c r="V61" t="e">
        <f t="shared" ca="1" si="14"/>
        <v>#NAME?</v>
      </c>
      <c r="W61" t="e">
        <f t="shared" ca="1" si="15"/>
        <v>#NAME?</v>
      </c>
      <c r="X61" t="e">
        <f t="shared" ca="1" si="16"/>
        <v>#NAME?</v>
      </c>
      <c r="Z61" s="15">
        <v>0.25</v>
      </c>
    </row>
    <row r="62" spans="1:26" ht="15" customHeight="1">
      <c r="A62" s="22" t="s">
        <v>121</v>
      </c>
      <c r="B62" s="120" t="s">
        <v>122</v>
      </c>
      <c r="C62" s="120" t="s">
        <v>122</v>
      </c>
      <c r="D62" s="25"/>
      <c r="E62" s="25"/>
      <c r="F62" s="25"/>
      <c r="G62" s="127" t="s">
        <v>20</v>
      </c>
      <c r="H62" s="129"/>
      <c r="J62" t="e">
        <f t="shared" ca="1" si="3"/>
        <v>#NAME?</v>
      </c>
      <c r="K62" t="e">
        <f t="shared" ca="1" si="4"/>
        <v>#NAME?</v>
      </c>
      <c r="L62" t="e">
        <f t="shared" ca="1" si="5"/>
        <v>#NAME?</v>
      </c>
      <c r="M62" t="e">
        <f t="shared" ca="1" si="6"/>
        <v>#NAME?</v>
      </c>
      <c r="N62" t="e">
        <f t="shared" ca="1" si="7"/>
        <v>#NAME?</v>
      </c>
      <c r="O62" t="e">
        <f t="shared" ca="1" si="8"/>
        <v>#NAME?</v>
      </c>
      <c r="P62" t="e">
        <f t="shared" ca="1" si="9"/>
        <v>#NAME?</v>
      </c>
      <c r="R62" t="e">
        <f t="shared" ca="1" si="10"/>
        <v>#NAME?</v>
      </c>
      <c r="S62" t="e">
        <f t="shared" ca="1" si="11"/>
        <v>#NAME?</v>
      </c>
      <c r="T62" t="e">
        <f t="shared" ca="1" si="12"/>
        <v>#NAME?</v>
      </c>
      <c r="U62" t="e">
        <f t="shared" ca="1" si="13"/>
        <v>#NAME?</v>
      </c>
      <c r="V62" t="e">
        <f t="shared" ca="1" si="14"/>
        <v>#NAME?</v>
      </c>
      <c r="W62" t="e">
        <f t="shared" ca="1" si="15"/>
        <v>#NAME?</v>
      </c>
      <c r="X62" t="e">
        <f t="shared" ca="1" si="16"/>
        <v>#NAME?</v>
      </c>
      <c r="Z62" s="15">
        <v>0.5</v>
      </c>
    </row>
    <row r="63" spans="1:26" ht="15" customHeight="1">
      <c r="A63" s="106" t="s">
        <v>124</v>
      </c>
      <c r="B63" s="107" t="str">
        <f>B58</f>
        <v>Mon 27 Jul</v>
      </c>
      <c r="C63" s="107" t="str">
        <f t="shared" ref="C63:H63" si="18">C58</f>
        <v>Tues 28 Jul</v>
      </c>
      <c r="D63" s="107" t="str">
        <f t="shared" si="18"/>
        <v>Wed 29 Jul</v>
      </c>
      <c r="E63" s="107" t="str">
        <f t="shared" si="18"/>
        <v>Thu 30 Jul</v>
      </c>
      <c r="F63" s="107" t="str">
        <f t="shared" si="18"/>
        <v>Fri 31 Jul</v>
      </c>
      <c r="G63" s="107" t="str">
        <f t="shared" si="18"/>
        <v>Sat 1 Aug</v>
      </c>
      <c r="H63" s="107" t="str">
        <f t="shared" si="18"/>
        <v>Sun 2 Aug</v>
      </c>
      <c r="J63" t="e">
        <f t="shared" ca="1" si="3"/>
        <v>#NAME?</v>
      </c>
      <c r="K63" t="e">
        <f t="shared" ca="1" si="4"/>
        <v>#NAME?</v>
      </c>
      <c r="L63" t="e">
        <f t="shared" ca="1" si="5"/>
        <v>#NAME?</v>
      </c>
      <c r="M63" t="e">
        <f t="shared" ca="1" si="6"/>
        <v>#NAME?</v>
      </c>
      <c r="N63" t="e">
        <f t="shared" ca="1" si="7"/>
        <v>#NAME?</v>
      </c>
      <c r="O63" t="e">
        <f t="shared" ca="1" si="8"/>
        <v>#NAME?</v>
      </c>
      <c r="P63" t="e">
        <f t="shared" ca="1" si="9"/>
        <v>#NAME?</v>
      </c>
      <c r="R63" t="e">
        <f t="shared" ca="1" si="10"/>
        <v>#NAME?</v>
      </c>
      <c r="S63" t="e">
        <f t="shared" ca="1" si="11"/>
        <v>#NAME?</v>
      </c>
      <c r="T63" t="e">
        <f t="shared" ca="1" si="12"/>
        <v>#NAME?</v>
      </c>
      <c r="U63" t="e">
        <f t="shared" ca="1" si="13"/>
        <v>#NAME?</v>
      </c>
      <c r="V63" t="e">
        <f t="shared" ca="1" si="14"/>
        <v>#NAME?</v>
      </c>
      <c r="W63" t="e">
        <f t="shared" ca="1" si="15"/>
        <v>#NAME?</v>
      </c>
      <c r="X63" t="e">
        <f t="shared" ca="1" si="16"/>
        <v>#NAME?</v>
      </c>
      <c r="Z63" s="53">
        <f>SUM(Z59:Z62)</f>
        <v>2.75</v>
      </c>
    </row>
    <row r="64" spans="1:26" ht="15" customHeight="1">
      <c r="A64" s="22" t="s">
        <v>125</v>
      </c>
      <c r="B64" s="25"/>
      <c r="C64" s="25"/>
      <c r="D64" s="28" t="s">
        <v>119</v>
      </c>
      <c r="E64" s="121" t="s">
        <v>118</v>
      </c>
      <c r="F64" s="25"/>
      <c r="G64" s="120" t="s">
        <v>118</v>
      </c>
      <c r="H64" s="28" t="s">
        <v>119</v>
      </c>
      <c r="J64" t="e">
        <f t="shared" ca="1" si="3"/>
        <v>#NAME?</v>
      </c>
      <c r="K64" t="e">
        <f t="shared" ca="1" si="4"/>
        <v>#NAME?</v>
      </c>
      <c r="L64" t="e">
        <f t="shared" ca="1" si="5"/>
        <v>#NAME?</v>
      </c>
      <c r="M64" t="e">
        <f t="shared" ca="1" si="6"/>
        <v>#NAME?</v>
      </c>
      <c r="N64" t="e">
        <f t="shared" ca="1" si="7"/>
        <v>#NAME?</v>
      </c>
      <c r="O64" t="e">
        <f t="shared" ca="1" si="8"/>
        <v>#NAME?</v>
      </c>
      <c r="P64" t="e">
        <f t="shared" ca="1" si="9"/>
        <v>#NAME?</v>
      </c>
      <c r="R64" t="e">
        <f t="shared" ca="1" si="10"/>
        <v>#NAME?</v>
      </c>
      <c r="S64" t="e">
        <f t="shared" ca="1" si="11"/>
        <v>#NAME?</v>
      </c>
      <c r="T64" t="e">
        <f t="shared" ca="1" si="12"/>
        <v>#NAME?</v>
      </c>
      <c r="U64" t="e">
        <f t="shared" ca="1" si="13"/>
        <v>#NAME?</v>
      </c>
      <c r="V64" t="e">
        <f t="shared" ca="1" si="14"/>
        <v>#NAME?</v>
      </c>
      <c r="W64" t="e">
        <f t="shared" ca="1" si="15"/>
        <v>#NAME?</v>
      </c>
      <c r="X64" t="e">
        <f t="shared" ca="1" si="16"/>
        <v>#NAME?</v>
      </c>
      <c r="Z64" s="15">
        <v>1</v>
      </c>
    </row>
    <row r="65" spans="1:26" ht="15" customHeight="1">
      <c r="A65" s="22" t="s">
        <v>128</v>
      </c>
      <c r="B65" s="25"/>
      <c r="C65" s="121" t="s">
        <v>118</v>
      </c>
      <c r="D65" s="25"/>
      <c r="E65" s="25"/>
      <c r="F65" s="25"/>
      <c r="G65" s="25"/>
      <c r="H65" s="25"/>
      <c r="J65" t="e">
        <f t="shared" ca="1" si="3"/>
        <v>#NAME?</v>
      </c>
      <c r="K65" t="e">
        <f t="shared" ca="1" si="4"/>
        <v>#NAME?</v>
      </c>
      <c r="L65" t="e">
        <f t="shared" ca="1" si="5"/>
        <v>#NAME?</v>
      </c>
      <c r="M65" t="e">
        <f t="shared" ca="1" si="6"/>
        <v>#NAME?</v>
      </c>
      <c r="N65" t="e">
        <f t="shared" ca="1" si="7"/>
        <v>#NAME?</v>
      </c>
      <c r="O65" t="e">
        <f t="shared" ca="1" si="8"/>
        <v>#NAME?</v>
      </c>
      <c r="P65" t="e">
        <f t="shared" ca="1" si="9"/>
        <v>#NAME?</v>
      </c>
      <c r="R65" t="e">
        <f t="shared" ca="1" si="10"/>
        <v>#NAME?</v>
      </c>
      <c r="S65" t="e">
        <f t="shared" ca="1" si="11"/>
        <v>#NAME?</v>
      </c>
      <c r="T65" t="e">
        <f t="shared" ca="1" si="12"/>
        <v>#NAME?</v>
      </c>
      <c r="U65" t="e">
        <f t="shared" ca="1" si="13"/>
        <v>#NAME?</v>
      </c>
      <c r="V65" t="e">
        <f t="shared" ca="1" si="14"/>
        <v>#NAME?</v>
      </c>
      <c r="W65" t="e">
        <f t="shared" ca="1" si="15"/>
        <v>#NAME?</v>
      </c>
      <c r="X65" t="e">
        <f t="shared" ca="1" si="16"/>
        <v>#NAME?</v>
      </c>
      <c r="Z65" s="15">
        <v>0.25</v>
      </c>
    </row>
    <row r="66" spans="1:26" ht="15" customHeight="1">
      <c r="A66" s="22" t="s">
        <v>129</v>
      </c>
      <c r="B66" s="28" t="s">
        <v>119</v>
      </c>
      <c r="C66" s="25"/>
      <c r="D66" s="121" t="s">
        <v>118</v>
      </c>
      <c r="E66" s="25"/>
      <c r="F66" s="25"/>
      <c r="G66" s="25"/>
      <c r="H66" s="25"/>
      <c r="J66" t="e">
        <f t="shared" ca="1" si="3"/>
        <v>#NAME?</v>
      </c>
      <c r="K66" t="e">
        <f t="shared" ca="1" si="4"/>
        <v>#NAME?</v>
      </c>
      <c r="L66" t="e">
        <f t="shared" ca="1" si="5"/>
        <v>#NAME?</v>
      </c>
      <c r="M66" t="e">
        <f t="shared" ca="1" si="6"/>
        <v>#NAME?</v>
      </c>
      <c r="N66" t="e">
        <f t="shared" ca="1" si="7"/>
        <v>#NAME?</v>
      </c>
      <c r="O66" t="e">
        <f t="shared" ca="1" si="8"/>
        <v>#NAME?</v>
      </c>
      <c r="P66" t="e">
        <f t="shared" ca="1" si="9"/>
        <v>#NAME?</v>
      </c>
      <c r="R66" t="e">
        <f t="shared" ca="1" si="10"/>
        <v>#NAME?</v>
      </c>
      <c r="S66" t="e">
        <f t="shared" ca="1" si="11"/>
        <v>#NAME?</v>
      </c>
      <c r="T66" t="e">
        <f t="shared" ca="1" si="12"/>
        <v>#NAME?</v>
      </c>
      <c r="U66" t="e">
        <f t="shared" ca="1" si="13"/>
        <v>#NAME?</v>
      </c>
      <c r="V66" t="e">
        <f t="shared" ca="1" si="14"/>
        <v>#NAME?</v>
      </c>
      <c r="W66" t="e">
        <f t="shared" ca="1" si="15"/>
        <v>#NAME?</v>
      </c>
      <c r="X66" t="e">
        <f t="shared" ca="1" si="16"/>
        <v>#NAME?</v>
      </c>
      <c r="Z66" s="15">
        <v>0.5</v>
      </c>
    </row>
    <row r="67" spans="1:26" ht="26.25">
      <c r="A67" s="106" t="s">
        <v>130</v>
      </c>
      <c r="B67" s="108" t="str">
        <f>B58</f>
        <v>Mon 27 Jul</v>
      </c>
      <c r="C67" s="107" t="str">
        <f t="shared" ref="C67:H67" si="19">C58</f>
        <v>Tues 28 Jul</v>
      </c>
      <c r="D67" s="108" t="s">
        <v>457</v>
      </c>
      <c r="E67" s="107" t="str">
        <f t="shared" si="19"/>
        <v>Thu 30 Jul</v>
      </c>
      <c r="F67" s="107" t="str">
        <f t="shared" si="19"/>
        <v>Fri 31 Jul</v>
      </c>
      <c r="G67" s="107" t="str">
        <f t="shared" si="19"/>
        <v>Sat 1 Aug</v>
      </c>
      <c r="H67" s="107" t="str">
        <f t="shared" si="19"/>
        <v>Sun 2 Aug</v>
      </c>
      <c r="J67" t="e">
        <f t="shared" ca="1" si="3"/>
        <v>#NAME?</v>
      </c>
      <c r="K67" t="e">
        <f t="shared" ca="1" si="4"/>
        <v>#NAME?</v>
      </c>
      <c r="L67" t="e">
        <f t="shared" ca="1" si="5"/>
        <v>#NAME?</v>
      </c>
      <c r="M67" t="e">
        <f t="shared" ca="1" si="6"/>
        <v>#NAME?</v>
      </c>
      <c r="N67" t="e">
        <f t="shared" ca="1" si="7"/>
        <v>#NAME?</v>
      </c>
      <c r="O67" t="e">
        <f t="shared" ca="1" si="8"/>
        <v>#NAME?</v>
      </c>
      <c r="P67" t="e">
        <f t="shared" ca="1" si="9"/>
        <v>#NAME?</v>
      </c>
      <c r="R67" t="e">
        <f t="shared" ca="1" si="10"/>
        <v>#NAME?</v>
      </c>
      <c r="S67" t="e">
        <f t="shared" ca="1" si="11"/>
        <v>#NAME?</v>
      </c>
      <c r="T67" t="e">
        <f t="shared" ca="1" si="12"/>
        <v>#NAME?</v>
      </c>
      <c r="U67" t="e">
        <f t="shared" ca="1" si="13"/>
        <v>#NAME?</v>
      </c>
      <c r="V67" t="e">
        <f t="shared" ca="1" si="14"/>
        <v>#NAME?</v>
      </c>
      <c r="W67" t="e">
        <f t="shared" ca="1" si="15"/>
        <v>#NAME?</v>
      </c>
      <c r="X67" t="e">
        <f t="shared" ca="1" si="16"/>
        <v>#NAME?</v>
      </c>
      <c r="Z67" s="53">
        <f>SUM(Z64:Z66)</f>
        <v>1.75</v>
      </c>
    </row>
    <row r="68" spans="1:26" ht="15" customHeight="1">
      <c r="A68" s="22" t="s">
        <v>133</v>
      </c>
      <c r="B68" s="25"/>
      <c r="C68" s="25"/>
      <c r="D68" s="110" t="s">
        <v>139</v>
      </c>
      <c r="E68" s="25"/>
      <c r="F68" s="25"/>
      <c r="G68" s="25"/>
      <c r="H68" s="25" t="s">
        <v>123</v>
      </c>
      <c r="J68" t="e">
        <f t="shared" ref="J68:J131" ca="1" si="20">colorindex(B68)</f>
        <v>#NAME?</v>
      </c>
      <c r="K68" t="e">
        <f t="shared" ref="K68:K131" ca="1" si="21">colorindex(C68)</f>
        <v>#NAME?</v>
      </c>
      <c r="L68" t="e">
        <f t="shared" ref="L68:L131" ca="1" si="22">colorindex(D68)</f>
        <v>#NAME?</v>
      </c>
      <c r="M68" t="e">
        <f t="shared" ref="M68:M131" ca="1" si="23">colorindex(E68)</f>
        <v>#NAME?</v>
      </c>
      <c r="N68" t="e">
        <f t="shared" ref="N68:N131" ca="1" si="24">colorindex(F68)</f>
        <v>#NAME?</v>
      </c>
      <c r="O68" t="e">
        <f t="shared" ref="O68:O131" ca="1" si="25">colorindex(G68)</f>
        <v>#NAME?</v>
      </c>
      <c r="P68" t="e">
        <f t="shared" ref="P68:P131" ca="1" si="26">colorindex(H68)</f>
        <v>#NAME?</v>
      </c>
      <c r="R68" t="e">
        <f t="shared" ref="R68:R131" ca="1" si="27">ShiftIndex(B68)</f>
        <v>#NAME?</v>
      </c>
      <c r="S68" t="e">
        <f t="shared" ref="S68:S131" ca="1" si="28">ShiftIndex(C68)</f>
        <v>#NAME?</v>
      </c>
      <c r="T68" t="e">
        <f t="shared" ref="T68:T131" ca="1" si="29">ShiftIndex(D68)</f>
        <v>#NAME?</v>
      </c>
      <c r="U68" t="e">
        <f t="shared" ref="U68:U131" ca="1" si="30">ShiftIndex(E68)</f>
        <v>#NAME?</v>
      </c>
      <c r="V68" t="e">
        <f t="shared" ref="V68:V131" ca="1" si="31">ShiftIndex(F68)</f>
        <v>#NAME?</v>
      </c>
      <c r="W68" t="e">
        <f t="shared" ref="W68:W131" ca="1" si="32">ShiftIndex(G68)</f>
        <v>#NAME?</v>
      </c>
      <c r="X68" t="e">
        <f t="shared" ref="X68:X131" ca="1" si="33">ShiftIndex(H68)</f>
        <v>#NAME?</v>
      </c>
      <c r="Z68" s="15">
        <v>0.5</v>
      </c>
    </row>
    <row r="69" spans="1:26" ht="14.45" customHeight="1">
      <c r="A69" s="22" t="s">
        <v>135</v>
      </c>
      <c r="B69" s="25" t="s">
        <v>123</v>
      </c>
      <c r="C69" s="25" t="s">
        <v>123</v>
      </c>
      <c r="D69" s="25" t="s">
        <v>141</v>
      </c>
      <c r="E69" s="25"/>
      <c r="F69" s="25"/>
      <c r="G69" s="25"/>
      <c r="H69" s="25"/>
      <c r="J69" t="e">
        <f t="shared" ca="1" si="20"/>
        <v>#NAME?</v>
      </c>
      <c r="K69" t="e">
        <f t="shared" ca="1" si="21"/>
        <v>#NAME?</v>
      </c>
      <c r="L69" t="e">
        <f t="shared" ca="1" si="22"/>
        <v>#NAME?</v>
      </c>
      <c r="M69" t="e">
        <f t="shared" ca="1" si="23"/>
        <v>#NAME?</v>
      </c>
      <c r="N69" t="e">
        <f t="shared" ca="1" si="24"/>
        <v>#NAME?</v>
      </c>
      <c r="O69" t="e">
        <f t="shared" ca="1" si="25"/>
        <v>#NAME?</v>
      </c>
      <c r="P69" t="e">
        <f t="shared" ca="1" si="26"/>
        <v>#NAME?</v>
      </c>
      <c r="R69" t="e">
        <f t="shared" ca="1" si="27"/>
        <v>#NAME?</v>
      </c>
      <c r="S69" t="e">
        <f t="shared" ca="1" si="28"/>
        <v>#NAME?</v>
      </c>
      <c r="T69" t="e">
        <f t="shared" ca="1" si="29"/>
        <v>#NAME?</v>
      </c>
      <c r="U69" t="e">
        <f t="shared" ca="1" si="30"/>
        <v>#NAME?</v>
      </c>
      <c r="V69" t="e">
        <f t="shared" ca="1" si="31"/>
        <v>#NAME?</v>
      </c>
      <c r="W69" t="e">
        <f t="shared" ca="1" si="32"/>
        <v>#NAME?</v>
      </c>
      <c r="X69" t="e">
        <f t="shared" ca="1" si="33"/>
        <v>#NAME?</v>
      </c>
      <c r="Z69" s="15">
        <v>0.5</v>
      </c>
    </row>
    <row r="70" spans="1:26" ht="15" customHeight="1">
      <c r="A70" s="22" t="s">
        <v>136</v>
      </c>
      <c r="B70" s="25"/>
      <c r="C70" s="25"/>
      <c r="D70" s="25" t="s">
        <v>141</v>
      </c>
      <c r="E70" s="120" t="s">
        <v>118</v>
      </c>
      <c r="F70" s="121" t="s">
        <v>118</v>
      </c>
      <c r="G70" s="28" t="s">
        <v>119</v>
      </c>
      <c r="H70" s="121" t="s">
        <v>118</v>
      </c>
      <c r="J70" t="e">
        <f t="shared" ca="1" si="20"/>
        <v>#NAME?</v>
      </c>
      <c r="K70" t="e">
        <f t="shared" ca="1" si="21"/>
        <v>#NAME?</v>
      </c>
      <c r="L70" t="e">
        <f t="shared" ca="1" si="22"/>
        <v>#NAME?</v>
      </c>
      <c r="M70" t="e">
        <f t="shared" ca="1" si="23"/>
        <v>#NAME?</v>
      </c>
      <c r="N70" t="e">
        <f t="shared" ca="1" si="24"/>
        <v>#NAME?</v>
      </c>
      <c r="O70" t="e">
        <f t="shared" ca="1" si="25"/>
        <v>#NAME?</v>
      </c>
      <c r="P70" t="e">
        <f t="shared" ca="1" si="26"/>
        <v>#NAME?</v>
      </c>
      <c r="R70" t="e">
        <f t="shared" ca="1" si="27"/>
        <v>#NAME?</v>
      </c>
      <c r="S70" t="e">
        <f t="shared" ca="1" si="28"/>
        <v>#NAME?</v>
      </c>
      <c r="T70" t="e">
        <f t="shared" ca="1" si="29"/>
        <v>#NAME?</v>
      </c>
      <c r="U70" t="e">
        <f t="shared" ca="1" si="30"/>
        <v>#NAME?</v>
      </c>
      <c r="V70" t="e">
        <f t="shared" ca="1" si="31"/>
        <v>#NAME?</v>
      </c>
      <c r="W70" t="e">
        <f t="shared" ca="1" si="32"/>
        <v>#NAME?</v>
      </c>
      <c r="X70" t="e">
        <f t="shared" ca="1" si="33"/>
        <v>#NAME?</v>
      </c>
      <c r="Z70" s="24">
        <v>1</v>
      </c>
    </row>
    <row r="71" spans="1:26" ht="15" customHeight="1">
      <c r="A71" s="22" t="s">
        <v>137</v>
      </c>
      <c r="B71" s="121" t="s">
        <v>118</v>
      </c>
      <c r="C71" s="25"/>
      <c r="D71" s="25" t="s">
        <v>141</v>
      </c>
      <c r="E71" s="120" t="s">
        <v>116</v>
      </c>
      <c r="F71" s="25"/>
      <c r="G71" s="120" t="s">
        <v>116</v>
      </c>
      <c r="H71" s="25"/>
      <c r="J71" t="e">
        <f t="shared" ca="1" si="20"/>
        <v>#NAME?</v>
      </c>
      <c r="K71" t="e">
        <f t="shared" ca="1" si="21"/>
        <v>#NAME?</v>
      </c>
      <c r="L71" t="e">
        <f t="shared" ca="1" si="22"/>
        <v>#NAME?</v>
      </c>
      <c r="M71" t="e">
        <f t="shared" ca="1" si="23"/>
        <v>#NAME?</v>
      </c>
      <c r="N71" t="e">
        <f t="shared" ca="1" si="24"/>
        <v>#NAME?</v>
      </c>
      <c r="O71" t="e">
        <f t="shared" ca="1" si="25"/>
        <v>#NAME?</v>
      </c>
      <c r="P71" t="e">
        <f t="shared" ca="1" si="26"/>
        <v>#NAME?</v>
      </c>
      <c r="R71" t="e">
        <f t="shared" ca="1" si="27"/>
        <v>#NAME?</v>
      </c>
      <c r="S71" t="e">
        <f t="shared" ca="1" si="28"/>
        <v>#NAME?</v>
      </c>
      <c r="T71" t="e">
        <f t="shared" ca="1" si="29"/>
        <v>#NAME?</v>
      </c>
      <c r="U71" t="e">
        <f t="shared" ca="1" si="30"/>
        <v>#NAME?</v>
      </c>
      <c r="V71" t="e">
        <f t="shared" ca="1" si="31"/>
        <v>#NAME?</v>
      </c>
      <c r="W71" t="e">
        <f t="shared" ca="1" si="32"/>
        <v>#NAME?</v>
      </c>
      <c r="X71" t="e">
        <f t="shared" ca="1" si="33"/>
        <v>#NAME?</v>
      </c>
      <c r="Z71" s="24">
        <v>1</v>
      </c>
    </row>
    <row r="72" spans="1:26" ht="15" customHeight="1">
      <c r="A72" s="22" t="s">
        <v>140</v>
      </c>
      <c r="B72" s="121" t="s">
        <v>116</v>
      </c>
      <c r="C72" s="25"/>
      <c r="D72" s="25" t="s">
        <v>123</v>
      </c>
      <c r="E72" s="25" t="s">
        <v>123</v>
      </c>
      <c r="F72" s="25" t="s">
        <v>123</v>
      </c>
      <c r="G72" s="25"/>
      <c r="H72" s="25"/>
      <c r="J72" t="e">
        <f t="shared" ca="1" si="20"/>
        <v>#NAME?</v>
      </c>
      <c r="K72" t="e">
        <f t="shared" ca="1" si="21"/>
        <v>#NAME?</v>
      </c>
      <c r="L72" t="e">
        <f t="shared" ca="1" si="22"/>
        <v>#NAME?</v>
      </c>
      <c r="M72" t="e">
        <f t="shared" ca="1" si="23"/>
        <v>#NAME?</v>
      </c>
      <c r="N72" t="e">
        <f t="shared" ca="1" si="24"/>
        <v>#NAME?</v>
      </c>
      <c r="O72" t="e">
        <f t="shared" ca="1" si="25"/>
        <v>#NAME?</v>
      </c>
      <c r="P72" t="e">
        <f t="shared" ca="1" si="26"/>
        <v>#NAME?</v>
      </c>
      <c r="R72" t="e">
        <f t="shared" ca="1" si="27"/>
        <v>#NAME?</v>
      </c>
      <c r="S72" t="e">
        <f t="shared" ca="1" si="28"/>
        <v>#NAME?</v>
      </c>
      <c r="T72" t="e">
        <f t="shared" ca="1" si="29"/>
        <v>#NAME?</v>
      </c>
      <c r="U72" t="e">
        <f t="shared" ca="1" si="30"/>
        <v>#NAME?</v>
      </c>
      <c r="V72" t="e">
        <f t="shared" ca="1" si="31"/>
        <v>#NAME?</v>
      </c>
      <c r="W72" t="e">
        <f t="shared" ca="1" si="32"/>
        <v>#NAME?</v>
      </c>
      <c r="X72" t="e">
        <f t="shared" ca="1" si="33"/>
        <v>#NAME?</v>
      </c>
      <c r="Z72" s="24">
        <v>1</v>
      </c>
    </row>
    <row r="73" spans="1:26" ht="15" customHeight="1">
      <c r="A73" s="22" t="s">
        <v>143</v>
      </c>
      <c r="B73" s="127" t="s">
        <v>18</v>
      </c>
      <c r="C73" s="128"/>
      <c r="D73" s="128"/>
      <c r="E73" s="128"/>
      <c r="F73" s="128"/>
      <c r="G73" s="128"/>
      <c r="H73" s="129"/>
      <c r="J73" t="e">
        <f t="shared" ca="1" si="20"/>
        <v>#NAME?</v>
      </c>
      <c r="K73" t="e">
        <f t="shared" ca="1" si="21"/>
        <v>#NAME?</v>
      </c>
      <c r="L73" t="e">
        <f t="shared" ca="1" si="22"/>
        <v>#NAME?</v>
      </c>
      <c r="M73" t="e">
        <f t="shared" ca="1" si="23"/>
        <v>#NAME?</v>
      </c>
      <c r="N73" t="e">
        <f t="shared" ca="1" si="24"/>
        <v>#NAME?</v>
      </c>
      <c r="O73" t="e">
        <f t="shared" ca="1" si="25"/>
        <v>#NAME?</v>
      </c>
      <c r="P73" t="e">
        <f t="shared" ca="1" si="26"/>
        <v>#NAME?</v>
      </c>
      <c r="R73" t="e">
        <f t="shared" ca="1" si="27"/>
        <v>#NAME?</v>
      </c>
      <c r="S73" t="e">
        <f t="shared" ca="1" si="28"/>
        <v>#NAME?</v>
      </c>
      <c r="T73" t="e">
        <f t="shared" ca="1" si="29"/>
        <v>#NAME?</v>
      </c>
      <c r="U73" t="e">
        <f t="shared" ca="1" si="30"/>
        <v>#NAME?</v>
      </c>
      <c r="V73" t="e">
        <f t="shared" ca="1" si="31"/>
        <v>#NAME?</v>
      </c>
      <c r="W73" t="e">
        <f t="shared" ca="1" si="32"/>
        <v>#NAME?</v>
      </c>
      <c r="X73" t="e">
        <f t="shared" ca="1" si="33"/>
        <v>#NAME?</v>
      </c>
      <c r="Z73" s="24">
        <v>1</v>
      </c>
    </row>
    <row r="74" spans="1:26" ht="15" customHeight="1">
      <c r="A74" s="22" t="s">
        <v>145</v>
      </c>
      <c r="B74" s="25"/>
      <c r="C74" s="25"/>
      <c r="D74" s="25" t="s">
        <v>141</v>
      </c>
      <c r="E74" s="109" t="s">
        <v>18</v>
      </c>
      <c r="F74" s="110" t="s">
        <v>139</v>
      </c>
      <c r="G74" s="28" t="s">
        <v>115</v>
      </c>
      <c r="H74" s="121" t="s">
        <v>116</v>
      </c>
      <c r="J74" t="e">
        <f t="shared" ca="1" si="20"/>
        <v>#NAME?</v>
      </c>
      <c r="K74" t="e">
        <f t="shared" ca="1" si="21"/>
        <v>#NAME?</v>
      </c>
      <c r="L74" t="e">
        <f t="shared" ca="1" si="22"/>
        <v>#NAME?</v>
      </c>
      <c r="M74" t="e">
        <f t="shared" ca="1" si="23"/>
        <v>#NAME?</v>
      </c>
      <c r="N74" t="e">
        <f t="shared" ca="1" si="24"/>
        <v>#NAME?</v>
      </c>
      <c r="O74" t="e">
        <f t="shared" ca="1" si="25"/>
        <v>#NAME?</v>
      </c>
      <c r="P74" t="e">
        <f t="shared" ca="1" si="26"/>
        <v>#NAME?</v>
      </c>
      <c r="R74" t="e">
        <f t="shared" ca="1" si="27"/>
        <v>#NAME?</v>
      </c>
      <c r="S74" t="e">
        <f t="shared" ca="1" si="28"/>
        <v>#NAME?</v>
      </c>
      <c r="T74" t="e">
        <f t="shared" ca="1" si="29"/>
        <v>#NAME?</v>
      </c>
      <c r="U74" t="e">
        <f t="shared" ca="1" si="30"/>
        <v>#NAME?</v>
      </c>
      <c r="V74" t="e">
        <f t="shared" ca="1" si="31"/>
        <v>#NAME?</v>
      </c>
      <c r="W74" t="e">
        <f t="shared" ca="1" si="32"/>
        <v>#NAME?</v>
      </c>
      <c r="X74" t="e">
        <f t="shared" ca="1" si="33"/>
        <v>#NAME?</v>
      </c>
      <c r="Z74" s="24">
        <v>1</v>
      </c>
    </row>
    <row r="75" spans="1:26" ht="26.25">
      <c r="A75" s="106" t="s">
        <v>146</v>
      </c>
      <c r="B75" s="108" t="str">
        <f>B58</f>
        <v>Mon 27 Jul</v>
      </c>
      <c r="C75" s="107" t="str">
        <f>C67</f>
        <v>Tues 28 Jul</v>
      </c>
      <c r="D75" s="108" t="s">
        <v>457</v>
      </c>
      <c r="E75" s="107" t="str">
        <f>E67</f>
        <v>Thu 30 Jul</v>
      </c>
      <c r="F75" s="107" t="str">
        <f>F67</f>
        <v>Fri 31 Jul</v>
      </c>
      <c r="G75" s="107" t="str">
        <f>G67</f>
        <v>Sat 1 Aug</v>
      </c>
      <c r="H75" s="107" t="str">
        <f>H67</f>
        <v>Sun 2 Aug</v>
      </c>
      <c r="J75" t="e">
        <f t="shared" ca="1" si="20"/>
        <v>#NAME?</v>
      </c>
      <c r="K75" t="e">
        <f t="shared" ca="1" si="21"/>
        <v>#NAME?</v>
      </c>
      <c r="L75" t="e">
        <f t="shared" ca="1" si="22"/>
        <v>#NAME?</v>
      </c>
      <c r="M75" t="e">
        <f t="shared" ca="1" si="23"/>
        <v>#NAME?</v>
      </c>
      <c r="N75" t="e">
        <f t="shared" ca="1" si="24"/>
        <v>#NAME?</v>
      </c>
      <c r="O75" t="e">
        <f t="shared" ca="1" si="25"/>
        <v>#NAME?</v>
      </c>
      <c r="P75" t="e">
        <f t="shared" ca="1" si="26"/>
        <v>#NAME?</v>
      </c>
      <c r="R75" t="e">
        <f t="shared" ca="1" si="27"/>
        <v>#NAME?</v>
      </c>
      <c r="S75" t="e">
        <f t="shared" ca="1" si="28"/>
        <v>#NAME?</v>
      </c>
      <c r="T75" t="e">
        <f t="shared" ca="1" si="29"/>
        <v>#NAME?</v>
      </c>
      <c r="U75" t="e">
        <f t="shared" ca="1" si="30"/>
        <v>#NAME?</v>
      </c>
      <c r="V75" t="e">
        <f t="shared" ca="1" si="31"/>
        <v>#NAME?</v>
      </c>
      <c r="W75" t="e">
        <f t="shared" ca="1" si="32"/>
        <v>#NAME?</v>
      </c>
      <c r="X75" t="e">
        <f t="shared" ca="1" si="33"/>
        <v>#NAME?</v>
      </c>
      <c r="Z75" s="53">
        <f>SUM(Z68:Z74)</f>
        <v>6</v>
      </c>
    </row>
    <row r="76" spans="1:26" ht="15" customHeight="1">
      <c r="A76" s="22" t="s">
        <v>147</v>
      </c>
      <c r="B76" s="110" t="s">
        <v>139</v>
      </c>
      <c r="C76" s="120" t="s">
        <v>116</v>
      </c>
      <c r="D76" s="121" t="s">
        <v>116</v>
      </c>
      <c r="E76" s="110" t="s">
        <v>139</v>
      </c>
      <c r="F76" s="25"/>
      <c r="G76" s="25"/>
      <c r="H76" s="110" t="s">
        <v>142</v>
      </c>
      <c r="J76" t="e">
        <f t="shared" ca="1" si="20"/>
        <v>#NAME?</v>
      </c>
      <c r="K76" t="e">
        <f t="shared" ca="1" si="21"/>
        <v>#NAME?</v>
      </c>
      <c r="L76" t="e">
        <f t="shared" ca="1" si="22"/>
        <v>#NAME?</v>
      </c>
      <c r="M76" t="e">
        <f t="shared" ca="1" si="23"/>
        <v>#NAME?</v>
      </c>
      <c r="N76" t="e">
        <f t="shared" ca="1" si="24"/>
        <v>#NAME?</v>
      </c>
      <c r="O76" t="e">
        <f t="shared" ca="1" si="25"/>
        <v>#NAME?</v>
      </c>
      <c r="P76" t="e">
        <f t="shared" ca="1" si="26"/>
        <v>#NAME?</v>
      </c>
      <c r="R76" t="e">
        <f t="shared" ca="1" si="27"/>
        <v>#NAME?</v>
      </c>
      <c r="S76" t="e">
        <f t="shared" ca="1" si="28"/>
        <v>#NAME?</v>
      </c>
      <c r="T76" t="e">
        <f t="shared" ca="1" si="29"/>
        <v>#NAME?</v>
      </c>
      <c r="U76" t="e">
        <f t="shared" ca="1" si="30"/>
        <v>#NAME?</v>
      </c>
      <c r="V76" t="e">
        <f t="shared" ca="1" si="31"/>
        <v>#NAME?</v>
      </c>
      <c r="W76" t="e">
        <f t="shared" ca="1" si="32"/>
        <v>#NAME?</v>
      </c>
      <c r="X76" t="e">
        <f t="shared" ca="1" si="33"/>
        <v>#NAME?</v>
      </c>
      <c r="Z76" s="24">
        <v>1</v>
      </c>
    </row>
    <row r="77" spans="1:26" ht="15" customHeight="1">
      <c r="A77" s="22" t="s">
        <v>151</v>
      </c>
      <c r="B77" s="25"/>
      <c r="C77" s="25"/>
      <c r="D77" s="25" t="s">
        <v>141</v>
      </c>
      <c r="E77" s="121" t="s">
        <v>118</v>
      </c>
      <c r="F77" s="120" t="s">
        <v>118</v>
      </c>
      <c r="G77" s="110" t="s">
        <v>142</v>
      </c>
      <c r="H77" s="28" t="s">
        <v>119</v>
      </c>
      <c r="J77" t="e">
        <f t="shared" ca="1" si="20"/>
        <v>#NAME?</v>
      </c>
      <c r="K77" t="e">
        <f t="shared" ca="1" si="21"/>
        <v>#NAME?</v>
      </c>
      <c r="L77" t="e">
        <f t="shared" ca="1" si="22"/>
        <v>#NAME?</v>
      </c>
      <c r="M77" t="e">
        <f t="shared" ca="1" si="23"/>
        <v>#NAME?</v>
      </c>
      <c r="N77" t="e">
        <f t="shared" ca="1" si="24"/>
        <v>#NAME?</v>
      </c>
      <c r="O77" t="e">
        <f t="shared" ca="1" si="25"/>
        <v>#NAME?</v>
      </c>
      <c r="P77" t="e">
        <f t="shared" ca="1" si="26"/>
        <v>#NAME?</v>
      </c>
      <c r="R77" t="e">
        <f t="shared" ca="1" si="27"/>
        <v>#NAME?</v>
      </c>
      <c r="S77" t="e">
        <f t="shared" ca="1" si="28"/>
        <v>#NAME?</v>
      </c>
      <c r="T77" t="e">
        <f t="shared" ca="1" si="29"/>
        <v>#NAME?</v>
      </c>
      <c r="U77" t="e">
        <f t="shared" ca="1" si="30"/>
        <v>#NAME?</v>
      </c>
      <c r="V77" t="e">
        <f t="shared" ca="1" si="31"/>
        <v>#NAME?</v>
      </c>
      <c r="W77" t="e">
        <f t="shared" ca="1" si="32"/>
        <v>#NAME?</v>
      </c>
      <c r="X77" t="e">
        <f t="shared" ca="1" si="33"/>
        <v>#NAME?</v>
      </c>
      <c r="Z77" s="15">
        <v>1</v>
      </c>
    </row>
    <row r="78" spans="1:26" ht="15" customHeight="1">
      <c r="A78" s="22" t="s">
        <v>153</v>
      </c>
      <c r="B78" s="25"/>
      <c r="C78" s="25"/>
      <c r="D78" s="25" t="s">
        <v>141</v>
      </c>
      <c r="E78" s="25"/>
      <c r="F78" s="120" t="s">
        <v>116</v>
      </c>
      <c r="G78" s="121" t="s">
        <v>116</v>
      </c>
      <c r="H78" s="25"/>
      <c r="J78" t="e">
        <f t="shared" ca="1" si="20"/>
        <v>#NAME?</v>
      </c>
      <c r="K78" t="e">
        <f t="shared" ca="1" si="21"/>
        <v>#NAME?</v>
      </c>
      <c r="L78" t="e">
        <f t="shared" ca="1" si="22"/>
        <v>#NAME?</v>
      </c>
      <c r="M78" t="e">
        <f t="shared" ca="1" si="23"/>
        <v>#NAME?</v>
      </c>
      <c r="N78" t="e">
        <f t="shared" ca="1" si="24"/>
        <v>#NAME?</v>
      </c>
      <c r="O78" t="e">
        <f t="shared" ca="1" si="25"/>
        <v>#NAME?</v>
      </c>
      <c r="P78" t="e">
        <f t="shared" ca="1" si="26"/>
        <v>#NAME?</v>
      </c>
      <c r="R78" t="e">
        <f t="shared" ca="1" si="27"/>
        <v>#NAME?</v>
      </c>
      <c r="S78" t="e">
        <f t="shared" ca="1" si="28"/>
        <v>#NAME?</v>
      </c>
      <c r="T78" t="e">
        <f t="shared" ca="1" si="29"/>
        <v>#NAME?</v>
      </c>
      <c r="U78" t="e">
        <f t="shared" ca="1" si="30"/>
        <v>#NAME?</v>
      </c>
      <c r="V78" t="e">
        <f t="shared" ca="1" si="31"/>
        <v>#NAME?</v>
      </c>
      <c r="W78" t="e">
        <f t="shared" ca="1" si="32"/>
        <v>#NAME?</v>
      </c>
      <c r="X78" t="e">
        <f t="shared" ca="1" si="33"/>
        <v>#NAME?</v>
      </c>
      <c r="Z78" s="15">
        <v>0.5</v>
      </c>
    </row>
    <row r="79" spans="1:26">
      <c r="A79" s="22" t="s">
        <v>154</v>
      </c>
      <c r="B79" s="121" t="s">
        <v>116</v>
      </c>
      <c r="C79" s="25"/>
      <c r="D79" s="25" t="s">
        <v>141</v>
      </c>
      <c r="E79" s="121" t="s">
        <v>116</v>
      </c>
      <c r="F79" s="121" t="s">
        <v>116</v>
      </c>
      <c r="G79" s="120" t="s">
        <v>116</v>
      </c>
      <c r="H79" s="120" t="s">
        <v>116</v>
      </c>
      <c r="J79" t="e">
        <f t="shared" ca="1" si="20"/>
        <v>#NAME?</v>
      </c>
      <c r="K79" t="e">
        <f t="shared" ca="1" si="21"/>
        <v>#NAME?</v>
      </c>
      <c r="L79" t="e">
        <f t="shared" ca="1" si="22"/>
        <v>#NAME?</v>
      </c>
      <c r="M79" t="e">
        <f t="shared" ca="1" si="23"/>
        <v>#NAME?</v>
      </c>
      <c r="N79" t="e">
        <f t="shared" ca="1" si="24"/>
        <v>#NAME?</v>
      </c>
      <c r="O79" t="e">
        <f t="shared" ca="1" si="25"/>
        <v>#NAME?</v>
      </c>
      <c r="P79" t="e">
        <f t="shared" ca="1" si="26"/>
        <v>#NAME?</v>
      </c>
      <c r="R79" t="e">
        <f t="shared" ca="1" si="27"/>
        <v>#NAME?</v>
      </c>
      <c r="S79" t="e">
        <f t="shared" ca="1" si="28"/>
        <v>#NAME?</v>
      </c>
      <c r="T79" t="e">
        <f t="shared" ca="1" si="29"/>
        <v>#NAME?</v>
      </c>
      <c r="U79" t="e">
        <f t="shared" ca="1" si="30"/>
        <v>#NAME?</v>
      </c>
      <c r="V79" t="e">
        <f t="shared" ca="1" si="31"/>
        <v>#NAME?</v>
      </c>
      <c r="W79" t="e">
        <f t="shared" ca="1" si="32"/>
        <v>#NAME?</v>
      </c>
      <c r="X79" t="e">
        <f t="shared" ca="1" si="33"/>
        <v>#NAME?</v>
      </c>
      <c r="Z79" s="15">
        <v>1</v>
      </c>
    </row>
    <row r="80" spans="1:26">
      <c r="A80" s="22" t="s">
        <v>155</v>
      </c>
      <c r="B80" s="25"/>
      <c r="C80" s="120" t="s">
        <v>118</v>
      </c>
      <c r="D80" s="25" t="s">
        <v>141</v>
      </c>
      <c r="E80" s="25"/>
      <c r="F80" s="25"/>
      <c r="G80" s="25"/>
      <c r="H80" s="120" t="s">
        <v>116</v>
      </c>
      <c r="J80" t="e">
        <f t="shared" ca="1" si="20"/>
        <v>#NAME?</v>
      </c>
      <c r="K80" t="e">
        <f t="shared" ca="1" si="21"/>
        <v>#NAME?</v>
      </c>
      <c r="L80" t="e">
        <f t="shared" ca="1" si="22"/>
        <v>#NAME?</v>
      </c>
      <c r="M80" t="e">
        <f t="shared" ca="1" si="23"/>
        <v>#NAME?</v>
      </c>
      <c r="N80" t="e">
        <f t="shared" ca="1" si="24"/>
        <v>#NAME?</v>
      </c>
      <c r="O80" t="e">
        <f t="shared" ca="1" si="25"/>
        <v>#NAME?</v>
      </c>
      <c r="P80" t="e">
        <f t="shared" ca="1" si="26"/>
        <v>#NAME?</v>
      </c>
      <c r="R80" t="e">
        <f t="shared" ca="1" si="27"/>
        <v>#NAME?</v>
      </c>
      <c r="S80" t="e">
        <f t="shared" ca="1" si="28"/>
        <v>#NAME?</v>
      </c>
      <c r="T80" t="e">
        <f t="shared" ca="1" si="29"/>
        <v>#NAME?</v>
      </c>
      <c r="U80" t="e">
        <f t="shared" ca="1" si="30"/>
        <v>#NAME?</v>
      </c>
      <c r="V80" t="e">
        <f t="shared" ca="1" si="31"/>
        <v>#NAME?</v>
      </c>
      <c r="W80" t="e">
        <f t="shared" ca="1" si="32"/>
        <v>#NAME?</v>
      </c>
      <c r="X80" t="e">
        <f t="shared" ca="1" si="33"/>
        <v>#NAME?</v>
      </c>
      <c r="Z80" s="15">
        <v>0.5</v>
      </c>
    </row>
    <row r="81" spans="1:26" ht="15" customHeight="1">
      <c r="A81" s="22" t="s">
        <v>156</v>
      </c>
      <c r="B81" s="25" t="s">
        <v>152</v>
      </c>
      <c r="C81" s="25" t="s">
        <v>152</v>
      </c>
      <c r="D81" s="25" t="s">
        <v>152</v>
      </c>
      <c r="E81" s="25" t="s">
        <v>152</v>
      </c>
      <c r="F81" s="25"/>
      <c r="G81" s="25"/>
      <c r="H81" s="25"/>
      <c r="J81" t="e">
        <f t="shared" ca="1" si="20"/>
        <v>#NAME?</v>
      </c>
      <c r="K81" t="e">
        <f t="shared" ca="1" si="21"/>
        <v>#NAME?</v>
      </c>
      <c r="L81" t="e">
        <f t="shared" ca="1" si="22"/>
        <v>#NAME?</v>
      </c>
      <c r="M81" t="e">
        <f t="shared" ca="1" si="23"/>
        <v>#NAME?</v>
      </c>
      <c r="N81" t="e">
        <f t="shared" ca="1" si="24"/>
        <v>#NAME?</v>
      </c>
      <c r="O81" t="e">
        <f t="shared" ca="1" si="25"/>
        <v>#NAME?</v>
      </c>
      <c r="P81" t="e">
        <f t="shared" ca="1" si="26"/>
        <v>#NAME?</v>
      </c>
      <c r="R81" t="e">
        <f t="shared" ca="1" si="27"/>
        <v>#NAME?</v>
      </c>
      <c r="S81" t="e">
        <f t="shared" ca="1" si="28"/>
        <v>#NAME?</v>
      </c>
      <c r="T81" t="e">
        <f t="shared" ca="1" si="29"/>
        <v>#NAME?</v>
      </c>
      <c r="U81" t="e">
        <f t="shared" ca="1" si="30"/>
        <v>#NAME?</v>
      </c>
      <c r="V81" t="e">
        <f t="shared" ca="1" si="31"/>
        <v>#NAME?</v>
      </c>
      <c r="W81" t="e">
        <f t="shared" ca="1" si="32"/>
        <v>#NAME?</v>
      </c>
      <c r="X81" t="e">
        <f t="shared" ca="1" si="33"/>
        <v>#NAME?</v>
      </c>
      <c r="Z81" s="15">
        <v>1</v>
      </c>
    </row>
    <row r="82" spans="1:26" ht="15" customHeight="1">
      <c r="A82" s="22" t="s">
        <v>158</v>
      </c>
      <c r="B82" s="127" t="s">
        <v>18</v>
      </c>
      <c r="C82" s="128"/>
      <c r="D82" s="128"/>
      <c r="E82" s="128"/>
      <c r="F82" s="128"/>
      <c r="G82" s="128"/>
      <c r="H82" s="129"/>
      <c r="J82" t="e">
        <f t="shared" ca="1" si="20"/>
        <v>#NAME?</v>
      </c>
      <c r="K82" t="e">
        <f t="shared" ca="1" si="21"/>
        <v>#NAME?</v>
      </c>
      <c r="L82" t="e">
        <f t="shared" ca="1" si="22"/>
        <v>#NAME?</v>
      </c>
      <c r="M82" t="e">
        <f t="shared" ca="1" si="23"/>
        <v>#NAME?</v>
      </c>
      <c r="N82" t="e">
        <f t="shared" ca="1" si="24"/>
        <v>#NAME?</v>
      </c>
      <c r="O82" t="e">
        <f t="shared" ca="1" si="25"/>
        <v>#NAME?</v>
      </c>
      <c r="P82" t="e">
        <f t="shared" ca="1" si="26"/>
        <v>#NAME?</v>
      </c>
      <c r="R82" t="e">
        <f t="shared" ca="1" si="27"/>
        <v>#NAME?</v>
      </c>
      <c r="S82" t="e">
        <f t="shared" ca="1" si="28"/>
        <v>#NAME?</v>
      </c>
      <c r="T82" t="e">
        <f t="shared" ca="1" si="29"/>
        <v>#NAME?</v>
      </c>
      <c r="U82" t="e">
        <f t="shared" ca="1" si="30"/>
        <v>#NAME?</v>
      </c>
      <c r="V82" t="e">
        <f t="shared" ca="1" si="31"/>
        <v>#NAME?</v>
      </c>
      <c r="W82" t="e">
        <f t="shared" ca="1" si="32"/>
        <v>#NAME?</v>
      </c>
      <c r="X82" t="e">
        <f t="shared" ca="1" si="33"/>
        <v>#NAME?</v>
      </c>
      <c r="Z82" s="15">
        <v>1</v>
      </c>
    </row>
    <row r="83" spans="1:26" ht="15" customHeight="1">
      <c r="A83" s="22" t="s">
        <v>159</v>
      </c>
      <c r="B83" s="127" t="s">
        <v>18</v>
      </c>
      <c r="C83" s="128"/>
      <c r="D83" s="128"/>
      <c r="E83" s="128"/>
      <c r="F83" s="128"/>
      <c r="G83" s="128"/>
      <c r="H83" s="129"/>
      <c r="J83" t="e">
        <f t="shared" ca="1" si="20"/>
        <v>#NAME?</v>
      </c>
      <c r="K83" t="e">
        <f t="shared" ca="1" si="21"/>
        <v>#NAME?</v>
      </c>
      <c r="L83" t="e">
        <f t="shared" ca="1" si="22"/>
        <v>#NAME?</v>
      </c>
      <c r="M83" t="e">
        <f t="shared" ca="1" si="23"/>
        <v>#NAME?</v>
      </c>
      <c r="N83" t="e">
        <f t="shared" ca="1" si="24"/>
        <v>#NAME?</v>
      </c>
      <c r="O83" t="e">
        <f t="shared" ca="1" si="25"/>
        <v>#NAME?</v>
      </c>
      <c r="P83" t="e">
        <f t="shared" ca="1" si="26"/>
        <v>#NAME?</v>
      </c>
      <c r="R83" t="e">
        <f t="shared" ca="1" si="27"/>
        <v>#NAME?</v>
      </c>
      <c r="S83" t="e">
        <f t="shared" ca="1" si="28"/>
        <v>#NAME?</v>
      </c>
      <c r="T83" t="e">
        <f t="shared" ca="1" si="29"/>
        <v>#NAME?</v>
      </c>
      <c r="U83" t="e">
        <f t="shared" ca="1" si="30"/>
        <v>#NAME?</v>
      </c>
      <c r="V83" t="e">
        <f t="shared" ca="1" si="31"/>
        <v>#NAME?</v>
      </c>
      <c r="W83" t="e">
        <f t="shared" ca="1" si="32"/>
        <v>#NAME?</v>
      </c>
      <c r="X83" t="e">
        <f t="shared" ca="1" si="33"/>
        <v>#NAME?</v>
      </c>
      <c r="Z83" s="15">
        <v>1</v>
      </c>
    </row>
    <row r="84" spans="1:26" ht="15" customHeight="1">
      <c r="A84" s="22" t="s">
        <v>160</v>
      </c>
      <c r="B84" s="25"/>
      <c r="C84" s="110" t="s">
        <v>139</v>
      </c>
      <c r="D84" s="121" t="s">
        <v>116</v>
      </c>
      <c r="E84" s="28" t="s">
        <v>115</v>
      </c>
      <c r="F84" s="121" t="s">
        <v>116</v>
      </c>
      <c r="G84" s="25"/>
      <c r="H84" s="25"/>
      <c r="J84" t="e">
        <f t="shared" ca="1" si="20"/>
        <v>#NAME?</v>
      </c>
      <c r="K84" t="e">
        <f t="shared" ca="1" si="21"/>
        <v>#NAME?</v>
      </c>
      <c r="L84" t="e">
        <f t="shared" ca="1" si="22"/>
        <v>#NAME?</v>
      </c>
      <c r="M84" t="e">
        <f t="shared" ca="1" si="23"/>
        <v>#NAME?</v>
      </c>
      <c r="N84" t="e">
        <f t="shared" ca="1" si="24"/>
        <v>#NAME?</v>
      </c>
      <c r="O84" t="e">
        <f t="shared" ca="1" si="25"/>
        <v>#NAME?</v>
      </c>
      <c r="P84" t="e">
        <f t="shared" ca="1" si="26"/>
        <v>#NAME?</v>
      </c>
      <c r="R84" t="e">
        <f t="shared" ca="1" si="27"/>
        <v>#NAME?</v>
      </c>
      <c r="S84" t="e">
        <f t="shared" ca="1" si="28"/>
        <v>#NAME?</v>
      </c>
      <c r="T84" t="e">
        <f t="shared" ca="1" si="29"/>
        <v>#NAME?</v>
      </c>
      <c r="U84" t="e">
        <f t="shared" ca="1" si="30"/>
        <v>#NAME?</v>
      </c>
      <c r="V84" t="e">
        <f t="shared" ca="1" si="31"/>
        <v>#NAME?</v>
      </c>
      <c r="W84" t="e">
        <f t="shared" ca="1" si="32"/>
        <v>#NAME?</v>
      </c>
      <c r="X84" t="e">
        <f t="shared" ca="1" si="33"/>
        <v>#NAME?</v>
      </c>
      <c r="Z84" s="15">
        <v>1</v>
      </c>
    </row>
    <row r="85" spans="1:26">
      <c r="A85" s="22" t="s">
        <v>161</v>
      </c>
      <c r="B85" s="25"/>
      <c r="C85" s="25"/>
      <c r="D85" s="25" t="s">
        <v>141</v>
      </c>
      <c r="E85" s="25"/>
      <c r="F85" s="25"/>
      <c r="G85" s="121" t="s">
        <v>116</v>
      </c>
      <c r="H85" s="25"/>
      <c r="J85" t="e">
        <f t="shared" ca="1" si="20"/>
        <v>#NAME?</v>
      </c>
      <c r="K85" t="e">
        <f t="shared" ca="1" si="21"/>
        <v>#NAME?</v>
      </c>
      <c r="L85" t="e">
        <f t="shared" ca="1" si="22"/>
        <v>#NAME?</v>
      </c>
      <c r="M85" t="e">
        <f t="shared" ca="1" si="23"/>
        <v>#NAME?</v>
      </c>
      <c r="N85" t="e">
        <f t="shared" ca="1" si="24"/>
        <v>#NAME?</v>
      </c>
      <c r="O85" t="e">
        <f t="shared" ca="1" si="25"/>
        <v>#NAME?</v>
      </c>
      <c r="P85" t="e">
        <f t="shared" ca="1" si="26"/>
        <v>#NAME?</v>
      </c>
      <c r="R85" t="e">
        <f t="shared" ca="1" si="27"/>
        <v>#NAME?</v>
      </c>
      <c r="S85" t="e">
        <f t="shared" ca="1" si="28"/>
        <v>#NAME?</v>
      </c>
      <c r="T85" t="e">
        <f t="shared" ca="1" si="29"/>
        <v>#NAME?</v>
      </c>
      <c r="U85" t="e">
        <f t="shared" ca="1" si="30"/>
        <v>#NAME?</v>
      </c>
      <c r="V85" t="e">
        <f t="shared" ca="1" si="31"/>
        <v>#NAME?</v>
      </c>
      <c r="W85" t="e">
        <f t="shared" ca="1" si="32"/>
        <v>#NAME?</v>
      </c>
      <c r="X85" t="e">
        <f t="shared" ca="1" si="33"/>
        <v>#NAME?</v>
      </c>
      <c r="Z85" s="15">
        <v>0.25</v>
      </c>
    </row>
    <row r="86" spans="1:26">
      <c r="A86" s="22" t="s">
        <v>162</v>
      </c>
      <c r="B86" s="25"/>
      <c r="C86" s="121" t="s">
        <v>116</v>
      </c>
      <c r="D86" s="120" t="s">
        <v>116</v>
      </c>
      <c r="E86" s="25"/>
      <c r="F86" s="25"/>
      <c r="G86" s="25" t="s">
        <v>152</v>
      </c>
      <c r="H86" s="25" t="s">
        <v>152</v>
      </c>
      <c r="J86" t="e">
        <f t="shared" ca="1" si="20"/>
        <v>#NAME?</v>
      </c>
      <c r="K86" t="e">
        <f t="shared" ca="1" si="21"/>
        <v>#NAME?</v>
      </c>
      <c r="L86" t="e">
        <f t="shared" ca="1" si="22"/>
        <v>#NAME?</v>
      </c>
      <c r="M86" t="e">
        <f t="shared" ca="1" si="23"/>
        <v>#NAME?</v>
      </c>
      <c r="N86" t="e">
        <f t="shared" ca="1" si="24"/>
        <v>#NAME?</v>
      </c>
      <c r="O86" t="e">
        <f t="shared" ca="1" si="25"/>
        <v>#NAME?</v>
      </c>
      <c r="P86" t="e">
        <f t="shared" ca="1" si="26"/>
        <v>#NAME?</v>
      </c>
      <c r="R86" t="e">
        <f t="shared" ca="1" si="27"/>
        <v>#NAME?</v>
      </c>
      <c r="S86" t="e">
        <f t="shared" ca="1" si="28"/>
        <v>#NAME?</v>
      </c>
      <c r="T86" t="e">
        <f t="shared" ca="1" si="29"/>
        <v>#NAME?</v>
      </c>
      <c r="U86" t="e">
        <f t="shared" ca="1" si="30"/>
        <v>#NAME?</v>
      </c>
      <c r="V86" t="e">
        <f t="shared" ca="1" si="31"/>
        <v>#NAME?</v>
      </c>
      <c r="W86" t="e">
        <f t="shared" ca="1" si="32"/>
        <v>#NAME?</v>
      </c>
      <c r="X86" t="e">
        <f t="shared" ca="1" si="33"/>
        <v>#NAME?</v>
      </c>
      <c r="Z86" s="15">
        <v>1</v>
      </c>
    </row>
    <row r="87" spans="1:26" ht="15" customHeight="1">
      <c r="A87" s="22" t="s">
        <v>163</v>
      </c>
      <c r="B87" s="25" t="s">
        <v>152</v>
      </c>
      <c r="C87" s="25"/>
      <c r="D87" s="25" t="s">
        <v>141</v>
      </c>
      <c r="E87" s="25"/>
      <c r="F87" s="120" t="s">
        <v>118</v>
      </c>
      <c r="G87" s="110" t="s">
        <v>139</v>
      </c>
      <c r="H87" s="121" t="s">
        <v>116</v>
      </c>
      <c r="J87" t="e">
        <f t="shared" ca="1" si="20"/>
        <v>#NAME?</v>
      </c>
      <c r="K87" t="e">
        <f t="shared" ca="1" si="21"/>
        <v>#NAME?</v>
      </c>
      <c r="L87" t="e">
        <f t="shared" ca="1" si="22"/>
        <v>#NAME?</v>
      </c>
      <c r="M87" t="e">
        <f t="shared" ca="1" si="23"/>
        <v>#NAME?</v>
      </c>
      <c r="N87" t="e">
        <f t="shared" ca="1" si="24"/>
        <v>#NAME?</v>
      </c>
      <c r="O87" t="e">
        <f t="shared" ca="1" si="25"/>
        <v>#NAME?</v>
      </c>
      <c r="P87" t="e">
        <f t="shared" ca="1" si="26"/>
        <v>#NAME?</v>
      </c>
      <c r="R87" t="e">
        <f t="shared" ca="1" si="27"/>
        <v>#NAME?</v>
      </c>
      <c r="S87" t="e">
        <f t="shared" ca="1" si="28"/>
        <v>#NAME?</v>
      </c>
      <c r="T87" t="e">
        <f t="shared" ca="1" si="29"/>
        <v>#NAME?</v>
      </c>
      <c r="U87" t="e">
        <f t="shared" ca="1" si="30"/>
        <v>#NAME?</v>
      </c>
      <c r="V87" t="e">
        <f t="shared" ca="1" si="31"/>
        <v>#NAME?</v>
      </c>
      <c r="W87" t="e">
        <f t="shared" ca="1" si="32"/>
        <v>#NAME?</v>
      </c>
      <c r="X87" t="e">
        <f t="shared" ca="1" si="33"/>
        <v>#NAME?</v>
      </c>
      <c r="Z87" s="15">
        <v>1</v>
      </c>
    </row>
    <row r="88" spans="1:26" ht="15" customHeight="1">
      <c r="A88" s="22" t="s">
        <v>164</v>
      </c>
      <c r="B88" s="120" t="s">
        <v>116</v>
      </c>
      <c r="C88" s="25"/>
      <c r="D88" s="25" t="s">
        <v>141</v>
      </c>
      <c r="E88" s="28" t="s">
        <v>119</v>
      </c>
      <c r="F88" s="110" t="s">
        <v>139</v>
      </c>
      <c r="G88" s="25"/>
      <c r="H88" s="25"/>
      <c r="J88" t="e">
        <f t="shared" ca="1" si="20"/>
        <v>#NAME?</v>
      </c>
      <c r="K88" t="e">
        <f t="shared" ca="1" si="21"/>
        <v>#NAME?</v>
      </c>
      <c r="L88" t="e">
        <f t="shared" ca="1" si="22"/>
        <v>#NAME?</v>
      </c>
      <c r="M88" t="e">
        <f t="shared" ca="1" si="23"/>
        <v>#NAME?</v>
      </c>
      <c r="N88" t="e">
        <f t="shared" ca="1" si="24"/>
        <v>#NAME?</v>
      </c>
      <c r="O88" t="e">
        <f t="shared" ca="1" si="25"/>
        <v>#NAME?</v>
      </c>
      <c r="P88" t="e">
        <f t="shared" ca="1" si="26"/>
        <v>#NAME?</v>
      </c>
      <c r="R88" t="e">
        <f t="shared" ca="1" si="27"/>
        <v>#NAME?</v>
      </c>
      <c r="S88" t="e">
        <f t="shared" ca="1" si="28"/>
        <v>#NAME?</v>
      </c>
      <c r="T88" t="e">
        <f t="shared" ca="1" si="29"/>
        <v>#NAME?</v>
      </c>
      <c r="U88" t="e">
        <f t="shared" ca="1" si="30"/>
        <v>#NAME?</v>
      </c>
      <c r="V88" t="e">
        <f t="shared" ca="1" si="31"/>
        <v>#NAME?</v>
      </c>
      <c r="W88" t="e">
        <f t="shared" ca="1" si="32"/>
        <v>#NAME?</v>
      </c>
      <c r="X88" t="e">
        <f t="shared" ca="1" si="33"/>
        <v>#NAME?</v>
      </c>
      <c r="Z88" s="15">
        <v>0.75</v>
      </c>
    </row>
    <row r="89" spans="1:26" ht="15" customHeight="1">
      <c r="A89" s="22" t="s">
        <v>167</v>
      </c>
      <c r="B89" s="127" t="s">
        <v>18</v>
      </c>
      <c r="C89" s="128"/>
      <c r="D89" s="128"/>
      <c r="E89" s="128"/>
      <c r="F89" s="128"/>
      <c r="G89" s="128"/>
      <c r="H89" s="129"/>
      <c r="J89" t="e">
        <f t="shared" ca="1" si="20"/>
        <v>#NAME?</v>
      </c>
      <c r="K89" t="e">
        <f t="shared" ca="1" si="21"/>
        <v>#NAME?</v>
      </c>
      <c r="L89" t="e">
        <f t="shared" ca="1" si="22"/>
        <v>#NAME?</v>
      </c>
      <c r="M89" t="e">
        <f t="shared" ca="1" si="23"/>
        <v>#NAME?</v>
      </c>
      <c r="N89" t="e">
        <f t="shared" ca="1" si="24"/>
        <v>#NAME?</v>
      </c>
      <c r="O89" t="e">
        <f t="shared" ca="1" si="25"/>
        <v>#NAME?</v>
      </c>
      <c r="P89" t="e">
        <f t="shared" ca="1" si="26"/>
        <v>#NAME?</v>
      </c>
      <c r="R89" t="e">
        <f t="shared" ca="1" si="27"/>
        <v>#NAME?</v>
      </c>
      <c r="S89" t="e">
        <f t="shared" ca="1" si="28"/>
        <v>#NAME?</v>
      </c>
      <c r="T89" t="e">
        <f t="shared" ca="1" si="29"/>
        <v>#NAME?</v>
      </c>
      <c r="U89" t="e">
        <f t="shared" ca="1" si="30"/>
        <v>#NAME?</v>
      </c>
      <c r="V89" t="e">
        <f t="shared" ca="1" si="31"/>
        <v>#NAME?</v>
      </c>
      <c r="W89" t="e">
        <f t="shared" ca="1" si="32"/>
        <v>#NAME?</v>
      </c>
      <c r="X89" t="e">
        <f t="shared" ca="1" si="33"/>
        <v>#NAME?</v>
      </c>
      <c r="Z89" s="15">
        <v>0.75</v>
      </c>
    </row>
    <row r="90" spans="1:26" ht="15" customHeight="1">
      <c r="A90" s="22" t="s">
        <v>168</v>
      </c>
      <c r="B90" s="121" t="s">
        <v>118</v>
      </c>
      <c r="C90" s="110" t="s">
        <v>142</v>
      </c>
      <c r="D90" s="25" t="s">
        <v>141</v>
      </c>
      <c r="E90" s="25"/>
      <c r="F90" s="25" t="s">
        <v>152</v>
      </c>
      <c r="G90" s="25" t="s">
        <v>152</v>
      </c>
      <c r="H90" s="25" t="s">
        <v>152</v>
      </c>
      <c r="J90" t="e">
        <f t="shared" ca="1" si="20"/>
        <v>#NAME?</v>
      </c>
      <c r="K90" t="e">
        <f t="shared" ca="1" si="21"/>
        <v>#NAME?</v>
      </c>
      <c r="L90" t="e">
        <f t="shared" ca="1" si="22"/>
        <v>#NAME?</v>
      </c>
      <c r="M90" t="e">
        <f t="shared" ca="1" si="23"/>
        <v>#NAME?</v>
      </c>
      <c r="N90" t="e">
        <f t="shared" ca="1" si="24"/>
        <v>#NAME?</v>
      </c>
      <c r="O90" t="e">
        <f t="shared" ca="1" si="25"/>
        <v>#NAME?</v>
      </c>
      <c r="P90" t="e">
        <f t="shared" ca="1" si="26"/>
        <v>#NAME?</v>
      </c>
      <c r="R90" t="e">
        <f t="shared" ca="1" si="27"/>
        <v>#NAME?</v>
      </c>
      <c r="S90" t="e">
        <f t="shared" ca="1" si="28"/>
        <v>#NAME?</v>
      </c>
      <c r="T90" t="e">
        <f t="shared" ca="1" si="29"/>
        <v>#NAME?</v>
      </c>
      <c r="U90" t="e">
        <f t="shared" ca="1" si="30"/>
        <v>#NAME?</v>
      </c>
      <c r="V90" t="e">
        <f t="shared" ca="1" si="31"/>
        <v>#NAME?</v>
      </c>
      <c r="W90" t="e">
        <f t="shared" ca="1" si="32"/>
        <v>#NAME?</v>
      </c>
      <c r="X90" t="e">
        <f t="shared" ca="1" si="33"/>
        <v>#NAME?</v>
      </c>
      <c r="Z90" s="15">
        <v>1</v>
      </c>
    </row>
    <row r="91" spans="1:26" ht="15" customHeight="1">
      <c r="A91" s="22" t="s">
        <v>169</v>
      </c>
      <c r="B91" s="25" t="s">
        <v>152</v>
      </c>
      <c r="C91" s="25" t="s">
        <v>152</v>
      </c>
      <c r="D91" s="25" t="s">
        <v>141</v>
      </c>
      <c r="E91" s="25"/>
      <c r="F91" s="25"/>
      <c r="G91" s="121" t="s">
        <v>118</v>
      </c>
      <c r="H91" s="121" t="s">
        <v>118</v>
      </c>
      <c r="J91" t="e">
        <f t="shared" ca="1" si="20"/>
        <v>#NAME?</v>
      </c>
      <c r="K91" t="e">
        <f t="shared" ca="1" si="21"/>
        <v>#NAME?</v>
      </c>
      <c r="L91" t="e">
        <f t="shared" ca="1" si="22"/>
        <v>#NAME?</v>
      </c>
      <c r="M91" t="e">
        <f t="shared" ca="1" si="23"/>
        <v>#NAME?</v>
      </c>
      <c r="N91" t="e">
        <f t="shared" ca="1" si="24"/>
        <v>#NAME?</v>
      </c>
      <c r="O91" t="e">
        <f t="shared" ca="1" si="25"/>
        <v>#NAME?</v>
      </c>
      <c r="P91" t="e">
        <f t="shared" ca="1" si="26"/>
        <v>#NAME?</v>
      </c>
      <c r="R91" t="e">
        <f t="shared" ca="1" si="27"/>
        <v>#NAME?</v>
      </c>
      <c r="S91" t="e">
        <f t="shared" ca="1" si="28"/>
        <v>#NAME?</v>
      </c>
      <c r="T91" t="e">
        <f t="shared" ca="1" si="29"/>
        <v>#NAME?</v>
      </c>
      <c r="U91" t="e">
        <f t="shared" ca="1" si="30"/>
        <v>#NAME?</v>
      </c>
      <c r="V91" t="e">
        <f t="shared" ca="1" si="31"/>
        <v>#NAME?</v>
      </c>
      <c r="W91" t="e">
        <f t="shared" ca="1" si="32"/>
        <v>#NAME?</v>
      </c>
      <c r="X91" t="e">
        <f t="shared" ca="1" si="33"/>
        <v>#NAME?</v>
      </c>
      <c r="Z91" s="15">
        <v>1</v>
      </c>
    </row>
    <row r="92" spans="1:26" ht="15" customHeight="1">
      <c r="A92" s="22" t="s">
        <v>171</v>
      </c>
      <c r="B92" s="25"/>
      <c r="C92" s="25" t="s">
        <v>152</v>
      </c>
      <c r="D92" s="25" t="s">
        <v>152</v>
      </c>
      <c r="E92" s="25"/>
      <c r="F92" s="25"/>
      <c r="G92" s="28" t="s">
        <v>115</v>
      </c>
      <c r="H92" s="110" t="s">
        <v>139</v>
      </c>
      <c r="J92" t="e">
        <f t="shared" ca="1" si="20"/>
        <v>#NAME?</v>
      </c>
      <c r="K92" t="e">
        <f t="shared" ca="1" si="21"/>
        <v>#NAME?</v>
      </c>
      <c r="L92" t="e">
        <f t="shared" ca="1" si="22"/>
        <v>#NAME?</v>
      </c>
      <c r="M92" t="e">
        <f t="shared" ca="1" si="23"/>
        <v>#NAME?</v>
      </c>
      <c r="N92" t="e">
        <f t="shared" ca="1" si="24"/>
        <v>#NAME?</v>
      </c>
      <c r="O92" t="e">
        <f t="shared" ca="1" si="25"/>
        <v>#NAME?</v>
      </c>
      <c r="P92" t="e">
        <f t="shared" ca="1" si="26"/>
        <v>#NAME?</v>
      </c>
      <c r="R92" t="e">
        <f t="shared" ca="1" si="27"/>
        <v>#NAME?</v>
      </c>
      <c r="S92" t="e">
        <f t="shared" ca="1" si="28"/>
        <v>#NAME?</v>
      </c>
      <c r="T92" t="e">
        <f t="shared" ca="1" si="29"/>
        <v>#NAME?</v>
      </c>
      <c r="U92" t="e">
        <f t="shared" ca="1" si="30"/>
        <v>#NAME?</v>
      </c>
      <c r="V92" t="e">
        <f t="shared" ca="1" si="31"/>
        <v>#NAME?</v>
      </c>
      <c r="W92" t="e">
        <f t="shared" ca="1" si="32"/>
        <v>#NAME?</v>
      </c>
      <c r="X92" t="e">
        <f t="shared" ca="1" si="33"/>
        <v>#NAME?</v>
      </c>
      <c r="Z92" s="15">
        <v>0.75</v>
      </c>
    </row>
    <row r="93" spans="1:26">
      <c r="A93" s="22" t="s">
        <v>174</v>
      </c>
      <c r="B93" s="110" t="s">
        <v>142</v>
      </c>
      <c r="C93" s="25"/>
      <c r="D93" s="28" t="s">
        <v>115</v>
      </c>
      <c r="E93" s="25" t="s">
        <v>152</v>
      </c>
      <c r="F93" s="25" t="s">
        <v>152</v>
      </c>
      <c r="G93" s="25"/>
      <c r="H93" s="25"/>
      <c r="J93" t="e">
        <f t="shared" ca="1" si="20"/>
        <v>#NAME?</v>
      </c>
      <c r="K93" t="e">
        <f t="shared" ca="1" si="21"/>
        <v>#NAME?</v>
      </c>
      <c r="L93" t="e">
        <f t="shared" ca="1" si="22"/>
        <v>#NAME?</v>
      </c>
      <c r="M93" t="e">
        <f t="shared" ca="1" si="23"/>
        <v>#NAME?</v>
      </c>
      <c r="N93" t="e">
        <f t="shared" ca="1" si="24"/>
        <v>#NAME?</v>
      </c>
      <c r="O93" t="e">
        <f t="shared" ca="1" si="25"/>
        <v>#NAME?</v>
      </c>
      <c r="P93" t="e">
        <f t="shared" ca="1" si="26"/>
        <v>#NAME?</v>
      </c>
      <c r="R93" t="e">
        <f t="shared" ca="1" si="27"/>
        <v>#NAME?</v>
      </c>
      <c r="S93" t="e">
        <f t="shared" ca="1" si="28"/>
        <v>#NAME?</v>
      </c>
      <c r="T93" t="e">
        <f t="shared" ca="1" si="29"/>
        <v>#NAME?</v>
      </c>
      <c r="U93" t="e">
        <f t="shared" ca="1" si="30"/>
        <v>#NAME?</v>
      </c>
      <c r="V93" t="e">
        <f t="shared" ca="1" si="31"/>
        <v>#NAME?</v>
      </c>
      <c r="W93" t="e">
        <f t="shared" ca="1" si="32"/>
        <v>#NAME?</v>
      </c>
      <c r="X93" t="e">
        <f t="shared" ca="1" si="33"/>
        <v>#NAME?</v>
      </c>
      <c r="Z93" s="15">
        <v>0.75</v>
      </c>
    </row>
    <row r="94" spans="1:26">
      <c r="A94" s="22" t="s">
        <v>175</v>
      </c>
      <c r="B94" s="120" t="s">
        <v>118</v>
      </c>
      <c r="C94" s="121" t="s">
        <v>116</v>
      </c>
      <c r="D94" s="25" t="s">
        <v>141</v>
      </c>
      <c r="E94" s="25"/>
      <c r="F94" s="25"/>
      <c r="G94" s="28" t="s">
        <v>119</v>
      </c>
      <c r="H94" s="120" t="s">
        <v>118</v>
      </c>
      <c r="J94" t="e">
        <f t="shared" ca="1" si="20"/>
        <v>#NAME?</v>
      </c>
      <c r="K94" t="e">
        <f t="shared" ca="1" si="21"/>
        <v>#NAME?</v>
      </c>
      <c r="L94" t="e">
        <f t="shared" ca="1" si="22"/>
        <v>#NAME?</v>
      </c>
      <c r="M94" t="e">
        <f t="shared" ca="1" si="23"/>
        <v>#NAME?</v>
      </c>
      <c r="N94" t="e">
        <f t="shared" ca="1" si="24"/>
        <v>#NAME?</v>
      </c>
      <c r="O94" t="e">
        <f t="shared" ca="1" si="25"/>
        <v>#NAME?</v>
      </c>
      <c r="P94" t="e">
        <f t="shared" ca="1" si="26"/>
        <v>#NAME?</v>
      </c>
      <c r="R94" t="e">
        <f t="shared" ca="1" si="27"/>
        <v>#NAME?</v>
      </c>
      <c r="S94" t="e">
        <f t="shared" ca="1" si="28"/>
        <v>#NAME?</v>
      </c>
      <c r="T94" t="e">
        <f t="shared" ca="1" si="29"/>
        <v>#NAME?</v>
      </c>
      <c r="U94" t="e">
        <f t="shared" ca="1" si="30"/>
        <v>#NAME?</v>
      </c>
      <c r="V94" t="e">
        <f t="shared" ca="1" si="31"/>
        <v>#NAME?</v>
      </c>
      <c r="W94" t="e">
        <f t="shared" ca="1" si="32"/>
        <v>#NAME?</v>
      </c>
      <c r="X94" t="e">
        <f t="shared" ca="1" si="33"/>
        <v>#NAME?</v>
      </c>
      <c r="Z94" s="15">
        <v>1</v>
      </c>
    </row>
    <row r="95" spans="1:26" ht="15" customHeight="1">
      <c r="A95" s="22" t="s">
        <v>176</v>
      </c>
      <c r="B95" s="25"/>
      <c r="C95" s="25"/>
      <c r="D95" s="25"/>
      <c r="E95" s="25"/>
      <c r="F95" s="25"/>
      <c r="G95" s="25"/>
      <c r="H95" s="28" t="s">
        <v>115</v>
      </c>
      <c r="J95" t="e">
        <f t="shared" ca="1" si="20"/>
        <v>#NAME?</v>
      </c>
      <c r="K95" t="e">
        <f t="shared" ca="1" si="21"/>
        <v>#NAME?</v>
      </c>
      <c r="L95" t="e">
        <f t="shared" ca="1" si="22"/>
        <v>#NAME?</v>
      </c>
      <c r="M95" t="e">
        <f t="shared" ca="1" si="23"/>
        <v>#NAME?</v>
      </c>
      <c r="N95" t="e">
        <f t="shared" ca="1" si="24"/>
        <v>#NAME?</v>
      </c>
      <c r="O95" t="e">
        <f t="shared" ca="1" si="25"/>
        <v>#NAME?</v>
      </c>
      <c r="P95" t="e">
        <f t="shared" ca="1" si="26"/>
        <v>#NAME?</v>
      </c>
      <c r="R95" t="e">
        <f t="shared" ca="1" si="27"/>
        <v>#NAME?</v>
      </c>
      <c r="S95" t="e">
        <f t="shared" ca="1" si="28"/>
        <v>#NAME?</v>
      </c>
      <c r="T95" t="e">
        <f t="shared" ca="1" si="29"/>
        <v>#NAME?</v>
      </c>
      <c r="U95" t="e">
        <f t="shared" ca="1" si="30"/>
        <v>#NAME?</v>
      </c>
      <c r="V95" t="e">
        <f t="shared" ca="1" si="31"/>
        <v>#NAME?</v>
      </c>
      <c r="W95" t="e">
        <f t="shared" ca="1" si="32"/>
        <v>#NAME?</v>
      </c>
      <c r="X95" t="e">
        <f t="shared" ca="1" si="33"/>
        <v>#NAME?</v>
      </c>
      <c r="Z95" s="15">
        <v>0.25</v>
      </c>
    </row>
    <row r="96" spans="1:26" ht="15" customHeight="1">
      <c r="A96" s="22" t="s">
        <v>177</v>
      </c>
      <c r="B96" s="25" t="s">
        <v>152</v>
      </c>
      <c r="C96" s="25"/>
      <c r="D96" s="25" t="s">
        <v>141</v>
      </c>
      <c r="E96" s="25"/>
      <c r="F96" s="110" t="s">
        <v>142</v>
      </c>
      <c r="G96" s="25"/>
      <c r="H96" s="25"/>
      <c r="J96" t="e">
        <f t="shared" ca="1" si="20"/>
        <v>#NAME?</v>
      </c>
      <c r="K96" t="e">
        <f t="shared" ca="1" si="21"/>
        <v>#NAME?</v>
      </c>
      <c r="L96" t="e">
        <f t="shared" ca="1" si="22"/>
        <v>#NAME?</v>
      </c>
      <c r="M96" t="e">
        <f t="shared" ca="1" si="23"/>
        <v>#NAME?</v>
      </c>
      <c r="N96" t="e">
        <f t="shared" ca="1" si="24"/>
        <v>#NAME?</v>
      </c>
      <c r="O96" t="e">
        <f t="shared" ca="1" si="25"/>
        <v>#NAME?</v>
      </c>
      <c r="P96" t="e">
        <f t="shared" ca="1" si="26"/>
        <v>#NAME?</v>
      </c>
      <c r="R96" t="e">
        <f t="shared" ca="1" si="27"/>
        <v>#NAME?</v>
      </c>
      <c r="S96" t="e">
        <f t="shared" ca="1" si="28"/>
        <v>#NAME?</v>
      </c>
      <c r="T96" t="e">
        <f t="shared" ca="1" si="29"/>
        <v>#NAME?</v>
      </c>
      <c r="U96" t="e">
        <f t="shared" ca="1" si="30"/>
        <v>#NAME?</v>
      </c>
      <c r="V96" t="e">
        <f t="shared" ca="1" si="31"/>
        <v>#NAME?</v>
      </c>
      <c r="W96" t="e">
        <f t="shared" ca="1" si="32"/>
        <v>#NAME?</v>
      </c>
      <c r="X96" t="e">
        <f t="shared" ca="1" si="33"/>
        <v>#NAME?</v>
      </c>
      <c r="Z96" s="15">
        <v>0.75</v>
      </c>
    </row>
    <row r="97" spans="1:26" ht="15" customHeight="1">
      <c r="A97" s="22" t="s">
        <v>178</v>
      </c>
      <c r="B97" s="25"/>
      <c r="C97" s="25"/>
      <c r="D97" s="25" t="s">
        <v>152</v>
      </c>
      <c r="E97" s="25" t="s">
        <v>152</v>
      </c>
      <c r="F97" s="25" t="s">
        <v>152</v>
      </c>
      <c r="G97" s="25"/>
      <c r="H97" s="25"/>
      <c r="J97" t="e">
        <f t="shared" ca="1" si="20"/>
        <v>#NAME?</v>
      </c>
      <c r="K97" t="e">
        <f t="shared" ca="1" si="21"/>
        <v>#NAME?</v>
      </c>
      <c r="L97" t="e">
        <f t="shared" ca="1" si="22"/>
        <v>#NAME?</v>
      </c>
      <c r="M97" t="e">
        <f t="shared" ca="1" si="23"/>
        <v>#NAME?</v>
      </c>
      <c r="N97" t="e">
        <f t="shared" ca="1" si="24"/>
        <v>#NAME?</v>
      </c>
      <c r="O97" t="e">
        <f t="shared" ca="1" si="25"/>
        <v>#NAME?</v>
      </c>
      <c r="P97" t="e">
        <f t="shared" ca="1" si="26"/>
        <v>#NAME?</v>
      </c>
      <c r="R97" t="e">
        <f t="shared" ca="1" si="27"/>
        <v>#NAME?</v>
      </c>
      <c r="S97" t="e">
        <f t="shared" ca="1" si="28"/>
        <v>#NAME?</v>
      </c>
      <c r="T97" t="e">
        <f t="shared" ca="1" si="29"/>
        <v>#NAME?</v>
      </c>
      <c r="U97" t="e">
        <f t="shared" ca="1" si="30"/>
        <v>#NAME?</v>
      </c>
      <c r="V97" t="e">
        <f t="shared" ca="1" si="31"/>
        <v>#NAME?</v>
      </c>
      <c r="W97" t="e">
        <f t="shared" ca="1" si="32"/>
        <v>#NAME?</v>
      </c>
      <c r="X97" t="e">
        <f t="shared" ca="1" si="33"/>
        <v>#NAME?</v>
      </c>
      <c r="Z97" s="15">
        <v>1</v>
      </c>
    </row>
    <row r="98" spans="1:26">
      <c r="A98" s="106" t="s">
        <v>179</v>
      </c>
      <c r="B98" s="107" t="str">
        <f t="shared" ref="B98:H98" si="34">B58</f>
        <v>Mon 27 Jul</v>
      </c>
      <c r="C98" s="107" t="str">
        <f t="shared" si="34"/>
        <v>Tues 28 Jul</v>
      </c>
      <c r="D98" s="107" t="str">
        <f t="shared" si="34"/>
        <v>Wed 29 Jul</v>
      </c>
      <c r="E98" s="107" t="str">
        <f t="shared" si="34"/>
        <v>Thu 30 Jul</v>
      </c>
      <c r="F98" s="107" t="str">
        <f t="shared" si="34"/>
        <v>Fri 31 Jul</v>
      </c>
      <c r="G98" s="107" t="str">
        <f t="shared" si="34"/>
        <v>Sat 1 Aug</v>
      </c>
      <c r="H98" s="107" t="str">
        <f t="shared" si="34"/>
        <v>Sun 2 Aug</v>
      </c>
      <c r="J98" t="e">
        <f t="shared" ca="1" si="20"/>
        <v>#NAME?</v>
      </c>
      <c r="K98" t="e">
        <f t="shared" ca="1" si="21"/>
        <v>#NAME?</v>
      </c>
      <c r="L98" t="e">
        <f t="shared" ca="1" si="22"/>
        <v>#NAME?</v>
      </c>
      <c r="M98" t="e">
        <f t="shared" ca="1" si="23"/>
        <v>#NAME?</v>
      </c>
      <c r="N98" t="e">
        <f t="shared" ca="1" si="24"/>
        <v>#NAME?</v>
      </c>
      <c r="O98" t="e">
        <f t="shared" ca="1" si="25"/>
        <v>#NAME?</v>
      </c>
      <c r="P98" t="e">
        <f t="shared" ca="1" si="26"/>
        <v>#NAME?</v>
      </c>
      <c r="R98" t="e">
        <f t="shared" ca="1" si="27"/>
        <v>#NAME?</v>
      </c>
      <c r="S98" t="e">
        <f t="shared" ca="1" si="28"/>
        <v>#NAME?</v>
      </c>
      <c r="T98" t="e">
        <f t="shared" ca="1" si="29"/>
        <v>#NAME?</v>
      </c>
      <c r="U98" t="e">
        <f t="shared" ca="1" si="30"/>
        <v>#NAME?</v>
      </c>
      <c r="V98" t="e">
        <f t="shared" ca="1" si="31"/>
        <v>#NAME?</v>
      </c>
      <c r="W98" t="e">
        <f t="shared" ca="1" si="32"/>
        <v>#NAME?</v>
      </c>
      <c r="X98" t="e">
        <f t="shared" ca="1" si="33"/>
        <v>#NAME?</v>
      </c>
      <c r="Z98" s="54">
        <f>SUM(Z76:Z97)</f>
        <v>18.25</v>
      </c>
    </row>
    <row r="99" spans="1:26">
      <c r="A99" s="22" t="s">
        <v>180</v>
      </c>
      <c r="B99" s="110" t="s">
        <v>116</v>
      </c>
      <c r="C99" s="110" t="s">
        <v>116</v>
      </c>
      <c r="D99" s="110" t="s">
        <v>116</v>
      </c>
      <c r="E99" s="25"/>
      <c r="F99" s="110" t="s">
        <v>182</v>
      </c>
      <c r="G99" s="110" t="s">
        <v>116</v>
      </c>
      <c r="H99" s="110" t="s">
        <v>116</v>
      </c>
      <c r="J99" t="e">
        <f t="shared" ca="1" si="20"/>
        <v>#NAME?</v>
      </c>
      <c r="K99" t="e">
        <f t="shared" ca="1" si="21"/>
        <v>#NAME?</v>
      </c>
      <c r="L99" t="e">
        <f t="shared" ca="1" si="22"/>
        <v>#NAME?</v>
      </c>
      <c r="M99" t="e">
        <f t="shared" ca="1" si="23"/>
        <v>#NAME?</v>
      </c>
      <c r="N99" t="e">
        <f t="shared" ca="1" si="24"/>
        <v>#NAME?</v>
      </c>
      <c r="O99" t="e">
        <f t="shared" ca="1" si="25"/>
        <v>#NAME?</v>
      </c>
      <c r="P99" t="e">
        <f t="shared" ca="1" si="26"/>
        <v>#NAME?</v>
      </c>
      <c r="R99" t="e">
        <f t="shared" ca="1" si="27"/>
        <v>#NAME?</v>
      </c>
      <c r="S99" t="e">
        <f t="shared" ca="1" si="28"/>
        <v>#NAME?</v>
      </c>
      <c r="T99" t="e">
        <f t="shared" ca="1" si="29"/>
        <v>#NAME?</v>
      </c>
      <c r="U99" t="e">
        <f t="shared" ca="1" si="30"/>
        <v>#NAME?</v>
      </c>
      <c r="V99" t="e">
        <f t="shared" ca="1" si="31"/>
        <v>#NAME?</v>
      </c>
      <c r="W99" t="e">
        <f t="shared" ca="1" si="32"/>
        <v>#NAME?</v>
      </c>
      <c r="X99" t="e">
        <f t="shared" ca="1" si="33"/>
        <v>#NAME?</v>
      </c>
      <c r="Z99" s="15">
        <v>1</v>
      </c>
    </row>
    <row r="100" spans="1:26">
      <c r="A100" s="22" t="s">
        <v>183</v>
      </c>
      <c r="B100" s="25"/>
      <c r="C100" s="25"/>
      <c r="D100" s="110" t="s">
        <v>182</v>
      </c>
      <c r="E100" s="110" t="s">
        <v>116</v>
      </c>
      <c r="F100" s="25"/>
      <c r="G100" s="110" t="s">
        <v>182</v>
      </c>
      <c r="H100" s="110" t="s">
        <v>182</v>
      </c>
      <c r="J100" t="e">
        <f t="shared" ca="1" si="20"/>
        <v>#NAME?</v>
      </c>
      <c r="K100" t="e">
        <f t="shared" ca="1" si="21"/>
        <v>#NAME?</v>
      </c>
      <c r="L100" t="e">
        <f t="shared" ca="1" si="22"/>
        <v>#NAME?</v>
      </c>
      <c r="M100" t="e">
        <f t="shared" ca="1" si="23"/>
        <v>#NAME?</v>
      </c>
      <c r="N100" t="e">
        <f t="shared" ca="1" si="24"/>
        <v>#NAME?</v>
      </c>
      <c r="O100" t="e">
        <f t="shared" ca="1" si="25"/>
        <v>#NAME?</v>
      </c>
      <c r="P100" t="e">
        <f t="shared" ca="1" si="26"/>
        <v>#NAME?</v>
      </c>
      <c r="R100" t="e">
        <f t="shared" ca="1" si="27"/>
        <v>#NAME?</v>
      </c>
      <c r="S100" t="e">
        <f t="shared" ca="1" si="28"/>
        <v>#NAME?</v>
      </c>
      <c r="T100" t="e">
        <f t="shared" ca="1" si="29"/>
        <v>#NAME?</v>
      </c>
      <c r="U100" t="e">
        <f t="shared" ca="1" si="30"/>
        <v>#NAME?</v>
      </c>
      <c r="V100" t="e">
        <f t="shared" ca="1" si="31"/>
        <v>#NAME?</v>
      </c>
      <c r="W100" t="e">
        <f t="shared" ca="1" si="32"/>
        <v>#NAME?</v>
      </c>
      <c r="X100" t="e">
        <f t="shared" ca="1" si="33"/>
        <v>#NAME?</v>
      </c>
      <c r="Z100" s="15">
        <v>1</v>
      </c>
    </row>
    <row r="101" spans="1:26">
      <c r="A101" s="106" t="s">
        <v>184</v>
      </c>
      <c r="B101" s="105" t="str">
        <f t="shared" ref="B101:H101" si="35">B58</f>
        <v>Mon 27 Jul</v>
      </c>
      <c r="C101" s="105" t="str">
        <f t="shared" si="35"/>
        <v>Tues 28 Jul</v>
      </c>
      <c r="D101" s="105" t="str">
        <f t="shared" si="35"/>
        <v>Wed 29 Jul</v>
      </c>
      <c r="E101" s="105" t="str">
        <f t="shared" si="35"/>
        <v>Thu 30 Jul</v>
      </c>
      <c r="F101" s="105" t="str">
        <f t="shared" si="35"/>
        <v>Fri 31 Jul</v>
      </c>
      <c r="G101" s="105" t="str">
        <f t="shared" si="35"/>
        <v>Sat 1 Aug</v>
      </c>
      <c r="H101" s="105" t="str">
        <f t="shared" si="35"/>
        <v>Sun 2 Aug</v>
      </c>
      <c r="J101" t="e">
        <f t="shared" ca="1" si="20"/>
        <v>#NAME?</v>
      </c>
      <c r="K101" t="e">
        <f t="shared" ca="1" si="21"/>
        <v>#NAME?</v>
      </c>
      <c r="L101" t="e">
        <f t="shared" ca="1" si="22"/>
        <v>#NAME?</v>
      </c>
      <c r="M101" t="e">
        <f t="shared" ca="1" si="23"/>
        <v>#NAME?</v>
      </c>
      <c r="N101" t="e">
        <f t="shared" ca="1" si="24"/>
        <v>#NAME?</v>
      </c>
      <c r="O101" t="e">
        <f t="shared" ca="1" si="25"/>
        <v>#NAME?</v>
      </c>
      <c r="P101" t="e">
        <f t="shared" ca="1" si="26"/>
        <v>#NAME?</v>
      </c>
      <c r="R101" t="e">
        <f t="shared" ca="1" si="27"/>
        <v>#NAME?</v>
      </c>
      <c r="S101" t="e">
        <f t="shared" ca="1" si="28"/>
        <v>#NAME?</v>
      </c>
      <c r="T101" t="e">
        <f t="shared" ca="1" si="29"/>
        <v>#NAME?</v>
      </c>
      <c r="U101" t="e">
        <f t="shared" ca="1" si="30"/>
        <v>#NAME?</v>
      </c>
      <c r="V101" t="e">
        <f t="shared" ca="1" si="31"/>
        <v>#NAME?</v>
      </c>
      <c r="W101" t="e">
        <f t="shared" ca="1" si="32"/>
        <v>#NAME?</v>
      </c>
      <c r="X101" t="e">
        <f t="shared" ca="1" si="33"/>
        <v>#NAME?</v>
      </c>
      <c r="Z101" s="53">
        <f>SUM(Z99:Z100)</f>
        <v>2</v>
      </c>
    </row>
    <row r="102" spans="1:26">
      <c r="A102" s="22" t="s">
        <v>185</v>
      </c>
      <c r="B102" s="127" t="s">
        <v>18</v>
      </c>
      <c r="C102" s="128"/>
      <c r="D102" s="128"/>
      <c r="E102" s="128"/>
      <c r="F102" s="128"/>
      <c r="G102" s="128"/>
      <c r="H102" s="129"/>
      <c r="J102" t="e">
        <f t="shared" ca="1" si="20"/>
        <v>#NAME?</v>
      </c>
      <c r="K102" t="e">
        <f t="shared" ca="1" si="21"/>
        <v>#NAME?</v>
      </c>
      <c r="L102" t="e">
        <f t="shared" ca="1" si="22"/>
        <v>#NAME?</v>
      </c>
      <c r="M102" t="e">
        <f t="shared" ca="1" si="23"/>
        <v>#NAME?</v>
      </c>
      <c r="N102" t="e">
        <f t="shared" ca="1" si="24"/>
        <v>#NAME?</v>
      </c>
      <c r="O102" t="e">
        <f t="shared" ca="1" si="25"/>
        <v>#NAME?</v>
      </c>
      <c r="P102" t="e">
        <f t="shared" ca="1" si="26"/>
        <v>#NAME?</v>
      </c>
      <c r="R102" t="e">
        <f t="shared" ca="1" si="27"/>
        <v>#NAME?</v>
      </c>
      <c r="S102" t="e">
        <f t="shared" ca="1" si="28"/>
        <v>#NAME?</v>
      </c>
      <c r="T102" t="e">
        <f t="shared" ca="1" si="29"/>
        <v>#NAME?</v>
      </c>
      <c r="U102" t="e">
        <f t="shared" ca="1" si="30"/>
        <v>#NAME?</v>
      </c>
      <c r="V102" t="e">
        <f t="shared" ca="1" si="31"/>
        <v>#NAME?</v>
      </c>
      <c r="W102" t="e">
        <f t="shared" ca="1" si="32"/>
        <v>#NAME?</v>
      </c>
      <c r="X102" t="e">
        <f t="shared" ca="1" si="33"/>
        <v>#NAME?</v>
      </c>
      <c r="Z102" s="15">
        <v>1</v>
      </c>
    </row>
    <row r="103" spans="1:26">
      <c r="A103" s="22" t="s">
        <v>187</v>
      </c>
      <c r="B103" s="121" t="s">
        <v>118</v>
      </c>
      <c r="C103" s="101" t="s">
        <v>116</v>
      </c>
      <c r="D103" s="111"/>
      <c r="E103" s="111"/>
      <c r="F103" s="111" t="s">
        <v>152</v>
      </c>
      <c r="G103" s="111" t="s">
        <v>152</v>
      </c>
      <c r="H103" s="111" t="s">
        <v>152</v>
      </c>
      <c r="J103" t="e">
        <f t="shared" ca="1" si="20"/>
        <v>#NAME?</v>
      </c>
      <c r="K103" t="e">
        <f t="shared" ca="1" si="21"/>
        <v>#NAME?</v>
      </c>
      <c r="L103" t="e">
        <f t="shared" ca="1" si="22"/>
        <v>#NAME?</v>
      </c>
      <c r="M103" t="e">
        <f t="shared" ca="1" si="23"/>
        <v>#NAME?</v>
      </c>
      <c r="N103" t="e">
        <f t="shared" ca="1" si="24"/>
        <v>#NAME?</v>
      </c>
      <c r="O103" t="e">
        <f t="shared" ca="1" si="25"/>
        <v>#NAME?</v>
      </c>
      <c r="P103" t="e">
        <f t="shared" ca="1" si="26"/>
        <v>#NAME?</v>
      </c>
      <c r="R103" t="e">
        <f t="shared" ca="1" si="27"/>
        <v>#NAME?</v>
      </c>
      <c r="S103" t="e">
        <f t="shared" ca="1" si="28"/>
        <v>#NAME?</v>
      </c>
      <c r="T103" t="e">
        <f t="shared" ca="1" si="29"/>
        <v>#NAME?</v>
      </c>
      <c r="U103" t="e">
        <f t="shared" ca="1" si="30"/>
        <v>#NAME?</v>
      </c>
      <c r="V103" t="e">
        <f t="shared" ca="1" si="31"/>
        <v>#NAME?</v>
      </c>
      <c r="W103" t="e">
        <f t="shared" ca="1" si="32"/>
        <v>#NAME?</v>
      </c>
      <c r="X103" t="e">
        <f t="shared" ca="1" si="33"/>
        <v>#NAME?</v>
      </c>
      <c r="Z103" s="15">
        <v>1</v>
      </c>
    </row>
    <row r="104" spans="1:26">
      <c r="A104" s="22" t="s">
        <v>188</v>
      </c>
      <c r="B104" s="120" t="s">
        <v>116</v>
      </c>
      <c r="C104" s="111"/>
      <c r="D104" s="111" t="s">
        <v>152</v>
      </c>
      <c r="E104" s="111" t="s">
        <v>152</v>
      </c>
      <c r="F104" s="111" t="s">
        <v>152</v>
      </c>
      <c r="G104" s="111"/>
      <c r="H104" s="111"/>
      <c r="J104" t="e">
        <f t="shared" ca="1" si="20"/>
        <v>#NAME?</v>
      </c>
      <c r="K104" t="e">
        <f t="shared" ca="1" si="21"/>
        <v>#NAME?</v>
      </c>
      <c r="L104" t="e">
        <f t="shared" ca="1" si="22"/>
        <v>#NAME?</v>
      </c>
      <c r="M104" t="e">
        <f t="shared" ca="1" si="23"/>
        <v>#NAME?</v>
      </c>
      <c r="N104" t="e">
        <f t="shared" ca="1" si="24"/>
        <v>#NAME?</v>
      </c>
      <c r="O104" t="e">
        <f t="shared" ca="1" si="25"/>
        <v>#NAME?</v>
      </c>
      <c r="P104" t="e">
        <f t="shared" ca="1" si="26"/>
        <v>#NAME?</v>
      </c>
      <c r="R104" t="e">
        <f t="shared" ca="1" si="27"/>
        <v>#NAME?</v>
      </c>
      <c r="S104" t="e">
        <f t="shared" ca="1" si="28"/>
        <v>#NAME?</v>
      </c>
      <c r="T104" t="e">
        <f t="shared" ca="1" si="29"/>
        <v>#NAME?</v>
      </c>
      <c r="U104" t="e">
        <f t="shared" ca="1" si="30"/>
        <v>#NAME?</v>
      </c>
      <c r="V104" t="e">
        <f t="shared" ca="1" si="31"/>
        <v>#NAME?</v>
      </c>
      <c r="W104" t="e">
        <f t="shared" ca="1" si="32"/>
        <v>#NAME?</v>
      </c>
      <c r="X104" t="e">
        <f t="shared" ca="1" si="33"/>
        <v>#NAME?</v>
      </c>
      <c r="Z104" s="15">
        <v>1</v>
      </c>
    </row>
    <row r="105" spans="1:26">
      <c r="A105" s="22" t="s">
        <v>190</v>
      </c>
      <c r="B105" s="110" t="s">
        <v>142</v>
      </c>
      <c r="C105" s="120" t="s">
        <v>118</v>
      </c>
      <c r="D105" s="101" t="s">
        <v>116</v>
      </c>
      <c r="E105" s="44" t="s">
        <v>189</v>
      </c>
      <c r="F105" s="111"/>
      <c r="G105" s="111"/>
      <c r="H105" s="111"/>
      <c r="J105" t="e">
        <f t="shared" ca="1" si="20"/>
        <v>#NAME?</v>
      </c>
      <c r="K105" t="e">
        <f t="shared" ca="1" si="21"/>
        <v>#NAME?</v>
      </c>
      <c r="L105" t="e">
        <f t="shared" ca="1" si="22"/>
        <v>#NAME?</v>
      </c>
      <c r="M105" t="e">
        <f t="shared" ca="1" si="23"/>
        <v>#NAME?</v>
      </c>
      <c r="N105" t="e">
        <f t="shared" ca="1" si="24"/>
        <v>#NAME?</v>
      </c>
      <c r="O105" t="e">
        <f t="shared" ca="1" si="25"/>
        <v>#NAME?</v>
      </c>
      <c r="P105" t="e">
        <f t="shared" ca="1" si="26"/>
        <v>#NAME?</v>
      </c>
      <c r="R105" t="e">
        <f t="shared" ca="1" si="27"/>
        <v>#NAME?</v>
      </c>
      <c r="S105" t="e">
        <f t="shared" ca="1" si="28"/>
        <v>#NAME?</v>
      </c>
      <c r="T105" t="e">
        <f t="shared" ca="1" si="29"/>
        <v>#NAME?</v>
      </c>
      <c r="U105" t="e">
        <f t="shared" ca="1" si="30"/>
        <v>#NAME?</v>
      </c>
      <c r="V105" t="e">
        <f t="shared" ca="1" si="31"/>
        <v>#NAME?</v>
      </c>
      <c r="W105" t="e">
        <f t="shared" ca="1" si="32"/>
        <v>#NAME?</v>
      </c>
      <c r="X105" t="e">
        <f t="shared" ca="1" si="33"/>
        <v>#NAME?</v>
      </c>
      <c r="Z105" s="15">
        <v>1</v>
      </c>
    </row>
    <row r="106" spans="1:26">
      <c r="A106" s="22" t="s">
        <v>191</v>
      </c>
      <c r="B106" s="121" t="s">
        <v>116</v>
      </c>
      <c r="C106" s="120" t="s">
        <v>116</v>
      </c>
      <c r="D106" s="111"/>
      <c r="E106" s="121" t="s">
        <v>118</v>
      </c>
      <c r="F106" s="101" t="s">
        <v>118</v>
      </c>
      <c r="G106" s="111"/>
      <c r="H106" s="111"/>
      <c r="J106" t="e">
        <f t="shared" ca="1" si="20"/>
        <v>#NAME?</v>
      </c>
      <c r="K106" t="e">
        <f t="shared" ca="1" si="21"/>
        <v>#NAME?</v>
      </c>
      <c r="L106" t="e">
        <f t="shared" ca="1" si="22"/>
        <v>#NAME?</v>
      </c>
      <c r="M106" t="e">
        <f t="shared" ca="1" si="23"/>
        <v>#NAME?</v>
      </c>
      <c r="N106" t="e">
        <f t="shared" ca="1" si="24"/>
        <v>#NAME?</v>
      </c>
      <c r="O106" t="e">
        <f t="shared" ca="1" si="25"/>
        <v>#NAME?</v>
      </c>
      <c r="P106" t="e">
        <f t="shared" ca="1" si="26"/>
        <v>#NAME?</v>
      </c>
      <c r="R106" t="e">
        <f t="shared" ca="1" si="27"/>
        <v>#NAME?</v>
      </c>
      <c r="S106" t="e">
        <f t="shared" ca="1" si="28"/>
        <v>#NAME?</v>
      </c>
      <c r="T106" t="e">
        <f t="shared" ca="1" si="29"/>
        <v>#NAME?</v>
      </c>
      <c r="U106" t="e">
        <f t="shared" ca="1" si="30"/>
        <v>#NAME?</v>
      </c>
      <c r="V106" t="e">
        <f t="shared" ca="1" si="31"/>
        <v>#NAME?</v>
      </c>
      <c r="W106" t="e">
        <f t="shared" ca="1" si="32"/>
        <v>#NAME?</v>
      </c>
      <c r="X106" t="e">
        <f t="shared" ca="1" si="33"/>
        <v>#NAME?</v>
      </c>
      <c r="Z106" s="15">
        <v>1</v>
      </c>
    </row>
    <row r="107" spans="1:26">
      <c r="A107" s="22" t="s">
        <v>192</v>
      </c>
      <c r="B107" s="111"/>
      <c r="C107" s="110" t="s">
        <v>142</v>
      </c>
      <c r="D107" s="44" t="s">
        <v>186</v>
      </c>
      <c r="E107" s="120" t="s">
        <v>116</v>
      </c>
      <c r="F107" s="121" t="s">
        <v>116</v>
      </c>
      <c r="G107" s="111"/>
      <c r="H107" s="111"/>
      <c r="J107" t="e">
        <f t="shared" ca="1" si="20"/>
        <v>#NAME?</v>
      </c>
      <c r="K107" t="e">
        <f t="shared" ca="1" si="21"/>
        <v>#NAME?</v>
      </c>
      <c r="L107" t="e">
        <f t="shared" ca="1" si="22"/>
        <v>#NAME?</v>
      </c>
      <c r="M107" t="e">
        <f t="shared" ca="1" si="23"/>
        <v>#NAME?</v>
      </c>
      <c r="N107" t="e">
        <f t="shared" ca="1" si="24"/>
        <v>#NAME?</v>
      </c>
      <c r="O107" t="e">
        <f t="shared" ca="1" si="25"/>
        <v>#NAME?</v>
      </c>
      <c r="P107" t="e">
        <f t="shared" ca="1" si="26"/>
        <v>#NAME?</v>
      </c>
      <c r="R107" t="e">
        <f t="shared" ca="1" si="27"/>
        <v>#NAME?</v>
      </c>
      <c r="S107" t="e">
        <f t="shared" ca="1" si="28"/>
        <v>#NAME?</v>
      </c>
      <c r="T107" t="e">
        <f t="shared" ca="1" si="29"/>
        <v>#NAME?</v>
      </c>
      <c r="U107" t="e">
        <f t="shared" ca="1" si="30"/>
        <v>#NAME?</v>
      </c>
      <c r="V107" t="e">
        <f t="shared" ca="1" si="31"/>
        <v>#NAME?</v>
      </c>
      <c r="W107" t="e">
        <f t="shared" ca="1" si="32"/>
        <v>#NAME?</v>
      </c>
      <c r="X107" t="e">
        <f t="shared" ca="1" si="33"/>
        <v>#NAME?</v>
      </c>
      <c r="Z107" s="15">
        <v>0.875</v>
      </c>
    </row>
    <row r="108" spans="1:26">
      <c r="A108" s="22" t="s">
        <v>193</v>
      </c>
      <c r="B108" s="111"/>
      <c r="C108" s="121" t="s">
        <v>118</v>
      </c>
      <c r="D108" s="120" t="s">
        <v>118</v>
      </c>
      <c r="E108" s="111"/>
      <c r="F108" s="111"/>
      <c r="G108" s="120" t="s">
        <v>116</v>
      </c>
      <c r="H108" s="101" t="s">
        <v>116</v>
      </c>
      <c r="J108" t="e">
        <f t="shared" ca="1" si="20"/>
        <v>#NAME?</v>
      </c>
      <c r="K108" t="e">
        <f t="shared" ca="1" si="21"/>
        <v>#NAME?</v>
      </c>
      <c r="L108" t="e">
        <f t="shared" ca="1" si="22"/>
        <v>#NAME?</v>
      </c>
      <c r="M108" t="e">
        <f t="shared" ca="1" si="23"/>
        <v>#NAME?</v>
      </c>
      <c r="N108" t="e">
        <f t="shared" ca="1" si="24"/>
        <v>#NAME?</v>
      </c>
      <c r="O108" t="e">
        <f t="shared" ca="1" si="25"/>
        <v>#NAME?</v>
      </c>
      <c r="P108" t="e">
        <f t="shared" ca="1" si="26"/>
        <v>#NAME?</v>
      </c>
      <c r="R108" t="e">
        <f t="shared" ca="1" si="27"/>
        <v>#NAME?</v>
      </c>
      <c r="S108" t="e">
        <f t="shared" ca="1" si="28"/>
        <v>#NAME?</v>
      </c>
      <c r="T108" t="e">
        <f t="shared" ca="1" si="29"/>
        <v>#NAME?</v>
      </c>
      <c r="U108" t="e">
        <f t="shared" ca="1" si="30"/>
        <v>#NAME?</v>
      </c>
      <c r="V108" t="e">
        <f t="shared" ca="1" si="31"/>
        <v>#NAME?</v>
      </c>
      <c r="W108" t="e">
        <f t="shared" ca="1" si="32"/>
        <v>#NAME?</v>
      </c>
      <c r="X108" t="e">
        <f t="shared" ca="1" si="33"/>
        <v>#NAME?</v>
      </c>
      <c r="Z108" s="15">
        <v>1</v>
      </c>
    </row>
    <row r="109" spans="1:26" ht="14.45" customHeight="1">
      <c r="A109" s="22" t="s">
        <v>283</v>
      </c>
      <c r="B109" s="44" t="s">
        <v>189</v>
      </c>
      <c r="C109" s="25"/>
      <c r="D109" s="101" t="s">
        <v>118</v>
      </c>
      <c r="E109" s="110" t="s">
        <v>142</v>
      </c>
      <c r="F109" s="120" t="s">
        <v>118</v>
      </c>
      <c r="G109" s="127" t="s">
        <v>20</v>
      </c>
      <c r="H109" s="129"/>
      <c r="J109" t="e">
        <f t="shared" ca="1" si="20"/>
        <v>#NAME?</v>
      </c>
      <c r="K109" t="e">
        <f t="shared" ca="1" si="21"/>
        <v>#NAME?</v>
      </c>
      <c r="L109" t="e">
        <f t="shared" ca="1" si="22"/>
        <v>#NAME?</v>
      </c>
      <c r="M109" t="e">
        <f t="shared" ca="1" si="23"/>
        <v>#NAME?</v>
      </c>
      <c r="N109" t="e">
        <f t="shared" ca="1" si="24"/>
        <v>#NAME?</v>
      </c>
      <c r="O109" t="e">
        <f t="shared" ca="1" si="25"/>
        <v>#NAME?</v>
      </c>
      <c r="P109" t="e">
        <f t="shared" ca="1" si="26"/>
        <v>#NAME?</v>
      </c>
      <c r="R109" t="e">
        <f t="shared" ca="1" si="27"/>
        <v>#NAME?</v>
      </c>
      <c r="S109" t="e">
        <f t="shared" ca="1" si="28"/>
        <v>#NAME?</v>
      </c>
      <c r="T109" t="e">
        <f t="shared" ca="1" si="29"/>
        <v>#NAME?</v>
      </c>
      <c r="U109" t="e">
        <f t="shared" ca="1" si="30"/>
        <v>#NAME?</v>
      </c>
      <c r="V109" t="e">
        <f t="shared" ca="1" si="31"/>
        <v>#NAME?</v>
      </c>
      <c r="W109" t="e">
        <f t="shared" ca="1" si="32"/>
        <v>#NAME?</v>
      </c>
      <c r="X109" t="e">
        <f t="shared" ca="1" si="33"/>
        <v>#NAME?</v>
      </c>
      <c r="Z109" s="15">
        <v>1</v>
      </c>
    </row>
    <row r="110" spans="1:26">
      <c r="A110" s="22" t="s">
        <v>195</v>
      </c>
      <c r="B110" s="127"/>
      <c r="C110" s="128"/>
      <c r="D110" s="128"/>
      <c r="E110" s="128"/>
      <c r="F110" s="128"/>
      <c r="G110" s="128"/>
      <c r="H110" s="129"/>
      <c r="J110" t="e">
        <f t="shared" ca="1" si="20"/>
        <v>#NAME?</v>
      </c>
      <c r="K110" t="e">
        <f t="shared" ca="1" si="21"/>
        <v>#NAME?</v>
      </c>
      <c r="L110" t="e">
        <f t="shared" ca="1" si="22"/>
        <v>#NAME?</v>
      </c>
      <c r="M110" t="e">
        <f t="shared" ca="1" si="23"/>
        <v>#NAME?</v>
      </c>
      <c r="N110" t="e">
        <f t="shared" ca="1" si="24"/>
        <v>#NAME?</v>
      </c>
      <c r="O110" t="e">
        <f t="shared" ca="1" si="25"/>
        <v>#NAME?</v>
      </c>
      <c r="P110" t="e">
        <f t="shared" ca="1" si="26"/>
        <v>#NAME?</v>
      </c>
      <c r="R110" t="e">
        <f t="shared" ca="1" si="27"/>
        <v>#NAME?</v>
      </c>
      <c r="S110" t="e">
        <f t="shared" ca="1" si="28"/>
        <v>#NAME?</v>
      </c>
      <c r="T110" t="e">
        <f t="shared" ca="1" si="29"/>
        <v>#NAME?</v>
      </c>
      <c r="U110" t="e">
        <f t="shared" ca="1" si="30"/>
        <v>#NAME?</v>
      </c>
      <c r="V110" t="e">
        <f t="shared" ca="1" si="31"/>
        <v>#NAME?</v>
      </c>
      <c r="W110" t="e">
        <f t="shared" ca="1" si="32"/>
        <v>#NAME?</v>
      </c>
      <c r="X110" t="e">
        <f t="shared" ca="1" si="33"/>
        <v>#NAME?</v>
      </c>
      <c r="Z110" s="15">
        <v>0.5</v>
      </c>
    </row>
    <row r="111" spans="1:26">
      <c r="A111" s="42" t="s">
        <v>196</v>
      </c>
      <c r="B111" s="25"/>
      <c r="C111" s="25"/>
      <c r="D111" s="121" t="s">
        <v>118</v>
      </c>
      <c r="E111" s="25"/>
      <c r="F111" s="25"/>
      <c r="G111" s="25" t="s">
        <v>152</v>
      </c>
      <c r="H111" s="25"/>
      <c r="J111" t="e">
        <f t="shared" ca="1" si="20"/>
        <v>#NAME?</v>
      </c>
      <c r="K111" t="e">
        <f t="shared" ca="1" si="21"/>
        <v>#NAME?</v>
      </c>
      <c r="L111" t="e">
        <f t="shared" ca="1" si="22"/>
        <v>#NAME?</v>
      </c>
      <c r="M111" t="e">
        <f t="shared" ca="1" si="23"/>
        <v>#NAME?</v>
      </c>
      <c r="N111" t="e">
        <f t="shared" ca="1" si="24"/>
        <v>#NAME?</v>
      </c>
      <c r="O111" t="e">
        <f t="shared" ca="1" si="25"/>
        <v>#NAME?</v>
      </c>
      <c r="P111" t="e">
        <f t="shared" ca="1" si="26"/>
        <v>#NAME?</v>
      </c>
      <c r="R111" t="e">
        <f t="shared" ca="1" si="27"/>
        <v>#NAME?</v>
      </c>
      <c r="S111" t="e">
        <f t="shared" ca="1" si="28"/>
        <v>#NAME?</v>
      </c>
      <c r="T111" t="e">
        <f t="shared" ca="1" si="29"/>
        <v>#NAME?</v>
      </c>
      <c r="U111" t="e">
        <f t="shared" ca="1" si="30"/>
        <v>#NAME?</v>
      </c>
      <c r="V111" t="e">
        <f t="shared" ca="1" si="31"/>
        <v>#NAME?</v>
      </c>
      <c r="W111" t="e">
        <f t="shared" ca="1" si="32"/>
        <v>#NAME?</v>
      </c>
      <c r="X111" t="e">
        <f t="shared" ca="1" si="33"/>
        <v>#NAME?</v>
      </c>
      <c r="Z111" s="15">
        <v>0.5</v>
      </c>
    </row>
    <row r="112" spans="1:26">
      <c r="A112" s="22" t="s">
        <v>197</v>
      </c>
      <c r="B112" s="127" t="s">
        <v>18</v>
      </c>
      <c r="C112" s="128"/>
      <c r="D112" s="128"/>
      <c r="E112" s="128"/>
      <c r="F112" s="128"/>
      <c r="G112" s="128"/>
      <c r="H112" s="129"/>
      <c r="J112" t="e">
        <f t="shared" ca="1" si="20"/>
        <v>#NAME?</v>
      </c>
      <c r="K112" t="e">
        <f t="shared" ca="1" si="21"/>
        <v>#NAME?</v>
      </c>
      <c r="L112" t="e">
        <f t="shared" ca="1" si="22"/>
        <v>#NAME?</v>
      </c>
      <c r="M112" t="e">
        <f t="shared" ca="1" si="23"/>
        <v>#NAME?</v>
      </c>
      <c r="N112" t="e">
        <f t="shared" ca="1" si="24"/>
        <v>#NAME?</v>
      </c>
      <c r="O112" t="e">
        <f t="shared" ca="1" si="25"/>
        <v>#NAME?</v>
      </c>
      <c r="P112" t="e">
        <f t="shared" ca="1" si="26"/>
        <v>#NAME?</v>
      </c>
      <c r="R112" t="e">
        <f t="shared" ca="1" si="27"/>
        <v>#NAME?</v>
      </c>
      <c r="S112" t="e">
        <f t="shared" ca="1" si="28"/>
        <v>#NAME?</v>
      </c>
      <c r="T112" t="e">
        <f t="shared" ca="1" si="29"/>
        <v>#NAME?</v>
      </c>
      <c r="U112" t="e">
        <f t="shared" ca="1" si="30"/>
        <v>#NAME?</v>
      </c>
      <c r="V112" t="e">
        <f t="shared" ca="1" si="31"/>
        <v>#NAME?</v>
      </c>
      <c r="W112" t="e">
        <f t="shared" ca="1" si="32"/>
        <v>#NAME?</v>
      </c>
      <c r="X112" t="e">
        <f t="shared" ca="1" si="33"/>
        <v>#NAME?</v>
      </c>
      <c r="Z112" s="15">
        <v>0.5</v>
      </c>
    </row>
    <row r="113" spans="1:26">
      <c r="A113" s="22" t="s">
        <v>199</v>
      </c>
      <c r="B113" s="112"/>
      <c r="C113" s="44" t="s">
        <v>186</v>
      </c>
      <c r="D113" s="112"/>
      <c r="E113" s="120" t="s">
        <v>116</v>
      </c>
      <c r="F113" s="112"/>
      <c r="G113" s="25"/>
      <c r="H113" s="25"/>
      <c r="J113" t="e">
        <f t="shared" ca="1" si="20"/>
        <v>#NAME?</v>
      </c>
      <c r="K113" t="e">
        <f t="shared" ca="1" si="21"/>
        <v>#NAME?</v>
      </c>
      <c r="L113" t="e">
        <f t="shared" ca="1" si="22"/>
        <v>#NAME?</v>
      </c>
      <c r="M113" t="e">
        <f t="shared" ca="1" si="23"/>
        <v>#NAME?</v>
      </c>
      <c r="N113" t="e">
        <f t="shared" ca="1" si="24"/>
        <v>#NAME?</v>
      </c>
      <c r="O113" t="e">
        <f t="shared" ca="1" si="25"/>
        <v>#NAME?</v>
      </c>
      <c r="P113" t="e">
        <f t="shared" ca="1" si="26"/>
        <v>#NAME?</v>
      </c>
      <c r="R113" t="e">
        <f t="shared" ca="1" si="27"/>
        <v>#NAME?</v>
      </c>
      <c r="S113" t="e">
        <f t="shared" ca="1" si="28"/>
        <v>#NAME?</v>
      </c>
      <c r="T113" t="e">
        <f t="shared" ca="1" si="29"/>
        <v>#NAME?</v>
      </c>
      <c r="U113" t="e">
        <f t="shared" ca="1" si="30"/>
        <v>#NAME?</v>
      </c>
      <c r="V113" t="e">
        <f t="shared" ca="1" si="31"/>
        <v>#NAME?</v>
      </c>
      <c r="W113" t="e">
        <f t="shared" ca="1" si="32"/>
        <v>#NAME?</v>
      </c>
      <c r="X113" t="e">
        <f t="shared" ca="1" si="33"/>
        <v>#NAME?</v>
      </c>
      <c r="Z113" s="15">
        <v>0.5</v>
      </c>
    </row>
    <row r="114" spans="1:26">
      <c r="A114" s="22" t="s">
        <v>200</v>
      </c>
      <c r="B114" s="25"/>
      <c r="C114" s="101" t="s">
        <v>118</v>
      </c>
      <c r="D114" s="44" t="s">
        <v>189</v>
      </c>
      <c r="E114" s="121" t="s">
        <v>116</v>
      </c>
      <c r="F114" s="120" t="s">
        <v>116</v>
      </c>
      <c r="G114" s="25"/>
      <c r="H114" s="25"/>
      <c r="J114" t="e">
        <f t="shared" ca="1" si="20"/>
        <v>#NAME?</v>
      </c>
      <c r="K114" t="e">
        <f t="shared" ca="1" si="21"/>
        <v>#NAME?</v>
      </c>
      <c r="L114" t="e">
        <f t="shared" ca="1" si="22"/>
        <v>#NAME?</v>
      </c>
      <c r="M114" t="e">
        <f t="shared" ca="1" si="23"/>
        <v>#NAME?</v>
      </c>
      <c r="N114" t="e">
        <f t="shared" ca="1" si="24"/>
        <v>#NAME?</v>
      </c>
      <c r="O114" t="e">
        <f t="shared" ca="1" si="25"/>
        <v>#NAME?</v>
      </c>
      <c r="P114" t="e">
        <f t="shared" ca="1" si="26"/>
        <v>#NAME?</v>
      </c>
      <c r="R114" t="e">
        <f t="shared" ca="1" si="27"/>
        <v>#NAME?</v>
      </c>
      <c r="S114" t="e">
        <f t="shared" ca="1" si="28"/>
        <v>#NAME?</v>
      </c>
      <c r="T114" t="e">
        <f t="shared" ca="1" si="29"/>
        <v>#NAME?</v>
      </c>
      <c r="U114" t="e">
        <f t="shared" ca="1" si="30"/>
        <v>#NAME?</v>
      </c>
      <c r="V114" t="e">
        <f t="shared" ca="1" si="31"/>
        <v>#NAME?</v>
      </c>
      <c r="W114" t="e">
        <f t="shared" ca="1" si="32"/>
        <v>#NAME?</v>
      </c>
      <c r="X114" t="e">
        <f t="shared" ca="1" si="33"/>
        <v>#NAME?</v>
      </c>
      <c r="Z114" s="15">
        <v>1</v>
      </c>
    </row>
    <row r="115" spans="1:26">
      <c r="A115" s="22" t="s">
        <v>201</v>
      </c>
      <c r="B115" s="101" t="s">
        <v>118</v>
      </c>
      <c r="C115" s="120" t="s">
        <v>118</v>
      </c>
      <c r="D115" s="25"/>
      <c r="E115" s="28" t="s">
        <v>115</v>
      </c>
      <c r="F115" s="44" t="s">
        <v>189</v>
      </c>
      <c r="G115" s="25"/>
      <c r="H115" s="25"/>
      <c r="J115" t="e">
        <f t="shared" ca="1" si="20"/>
        <v>#NAME?</v>
      </c>
      <c r="K115" t="e">
        <f t="shared" ca="1" si="21"/>
        <v>#NAME?</v>
      </c>
      <c r="L115" t="e">
        <f t="shared" ca="1" si="22"/>
        <v>#NAME?</v>
      </c>
      <c r="M115" t="e">
        <f t="shared" ca="1" si="23"/>
        <v>#NAME?</v>
      </c>
      <c r="N115" t="e">
        <f t="shared" ca="1" si="24"/>
        <v>#NAME?</v>
      </c>
      <c r="O115" t="e">
        <f t="shared" ca="1" si="25"/>
        <v>#NAME?</v>
      </c>
      <c r="P115" t="e">
        <f t="shared" ca="1" si="26"/>
        <v>#NAME?</v>
      </c>
      <c r="R115" t="e">
        <f t="shared" ca="1" si="27"/>
        <v>#NAME?</v>
      </c>
      <c r="S115" t="e">
        <f t="shared" ca="1" si="28"/>
        <v>#NAME?</v>
      </c>
      <c r="T115" t="e">
        <f t="shared" ca="1" si="29"/>
        <v>#NAME?</v>
      </c>
      <c r="U115" t="e">
        <f t="shared" ca="1" si="30"/>
        <v>#NAME?</v>
      </c>
      <c r="V115" t="e">
        <f t="shared" ca="1" si="31"/>
        <v>#NAME?</v>
      </c>
      <c r="W115" t="e">
        <f t="shared" ca="1" si="32"/>
        <v>#NAME?</v>
      </c>
      <c r="X115" t="e">
        <f t="shared" ca="1" si="33"/>
        <v>#NAME?</v>
      </c>
      <c r="Z115" s="15">
        <v>1</v>
      </c>
    </row>
    <row r="116" spans="1:26">
      <c r="A116" s="22" t="s">
        <v>202</v>
      </c>
      <c r="B116" s="101" t="s">
        <v>118</v>
      </c>
      <c r="C116" s="28" t="s">
        <v>115</v>
      </c>
      <c r="D116" s="120" t="s">
        <v>116</v>
      </c>
      <c r="E116" s="25"/>
      <c r="F116" s="25"/>
      <c r="G116" s="101" t="s">
        <v>118</v>
      </c>
      <c r="H116" s="120" t="s">
        <v>118</v>
      </c>
      <c r="J116" t="e">
        <f t="shared" ca="1" si="20"/>
        <v>#NAME?</v>
      </c>
      <c r="K116" t="e">
        <f t="shared" ca="1" si="21"/>
        <v>#NAME?</v>
      </c>
      <c r="L116" t="e">
        <f t="shared" ca="1" si="22"/>
        <v>#NAME?</v>
      </c>
      <c r="M116" t="e">
        <f t="shared" ca="1" si="23"/>
        <v>#NAME?</v>
      </c>
      <c r="N116" t="e">
        <f t="shared" ca="1" si="24"/>
        <v>#NAME?</v>
      </c>
      <c r="O116" t="e">
        <f t="shared" ca="1" si="25"/>
        <v>#NAME?</v>
      </c>
      <c r="P116" t="e">
        <f t="shared" ca="1" si="26"/>
        <v>#NAME?</v>
      </c>
      <c r="R116" t="e">
        <f t="shared" ca="1" si="27"/>
        <v>#NAME?</v>
      </c>
      <c r="S116" t="e">
        <f t="shared" ca="1" si="28"/>
        <v>#NAME?</v>
      </c>
      <c r="T116" t="e">
        <f t="shared" ca="1" si="29"/>
        <v>#NAME?</v>
      </c>
      <c r="U116" t="e">
        <f t="shared" ca="1" si="30"/>
        <v>#NAME?</v>
      </c>
      <c r="V116" t="e">
        <f t="shared" ca="1" si="31"/>
        <v>#NAME?</v>
      </c>
      <c r="W116" t="e">
        <f t="shared" ca="1" si="32"/>
        <v>#NAME?</v>
      </c>
      <c r="X116" t="e">
        <f t="shared" ca="1" si="33"/>
        <v>#NAME?</v>
      </c>
      <c r="Z116" s="15">
        <v>1</v>
      </c>
    </row>
    <row r="117" spans="1:26">
      <c r="A117" s="42" t="s">
        <v>203</v>
      </c>
      <c r="B117" s="120" t="s">
        <v>118</v>
      </c>
      <c r="C117" s="121" t="s">
        <v>118</v>
      </c>
      <c r="D117" s="120" t="s">
        <v>118</v>
      </c>
      <c r="E117" s="25"/>
      <c r="F117" s="101" t="s">
        <v>116</v>
      </c>
      <c r="G117" s="25"/>
      <c r="H117" s="25"/>
      <c r="J117" t="e">
        <f t="shared" ca="1" si="20"/>
        <v>#NAME?</v>
      </c>
      <c r="K117" t="e">
        <f t="shared" ca="1" si="21"/>
        <v>#NAME?</v>
      </c>
      <c r="L117" t="e">
        <f t="shared" ca="1" si="22"/>
        <v>#NAME?</v>
      </c>
      <c r="M117" t="e">
        <f t="shared" ca="1" si="23"/>
        <v>#NAME?</v>
      </c>
      <c r="N117" t="e">
        <f t="shared" ca="1" si="24"/>
        <v>#NAME?</v>
      </c>
      <c r="O117" t="e">
        <f t="shared" ca="1" si="25"/>
        <v>#NAME?</v>
      </c>
      <c r="P117" t="e">
        <f t="shared" ca="1" si="26"/>
        <v>#NAME?</v>
      </c>
      <c r="R117" t="e">
        <f t="shared" ca="1" si="27"/>
        <v>#NAME?</v>
      </c>
      <c r="S117" t="e">
        <f t="shared" ca="1" si="28"/>
        <v>#NAME?</v>
      </c>
      <c r="T117" t="e">
        <f t="shared" ca="1" si="29"/>
        <v>#NAME?</v>
      </c>
      <c r="U117" t="e">
        <f t="shared" ca="1" si="30"/>
        <v>#NAME?</v>
      </c>
      <c r="V117" t="e">
        <f t="shared" ca="1" si="31"/>
        <v>#NAME?</v>
      </c>
      <c r="W117" t="e">
        <f t="shared" ca="1" si="32"/>
        <v>#NAME?</v>
      </c>
      <c r="X117" t="e">
        <f t="shared" ca="1" si="33"/>
        <v>#NAME?</v>
      </c>
      <c r="Z117" s="15">
        <v>1</v>
      </c>
    </row>
    <row r="118" spans="1:26">
      <c r="A118" s="22" t="s">
        <v>204</v>
      </c>
      <c r="B118" s="25"/>
      <c r="C118" s="25"/>
      <c r="D118" s="121" t="s">
        <v>116</v>
      </c>
      <c r="E118" s="25"/>
      <c r="F118" s="121" t="s">
        <v>118</v>
      </c>
      <c r="G118" s="44" t="s">
        <v>186</v>
      </c>
      <c r="H118" s="101" t="s">
        <v>118</v>
      </c>
      <c r="J118" t="e">
        <f t="shared" ca="1" si="20"/>
        <v>#NAME?</v>
      </c>
      <c r="K118" t="e">
        <f t="shared" ca="1" si="21"/>
        <v>#NAME?</v>
      </c>
      <c r="L118" t="e">
        <f t="shared" ca="1" si="22"/>
        <v>#NAME?</v>
      </c>
      <c r="M118" t="e">
        <f t="shared" ca="1" si="23"/>
        <v>#NAME?</v>
      </c>
      <c r="N118" t="e">
        <f t="shared" ca="1" si="24"/>
        <v>#NAME?</v>
      </c>
      <c r="O118" t="e">
        <f t="shared" ca="1" si="25"/>
        <v>#NAME?</v>
      </c>
      <c r="P118" t="e">
        <f t="shared" ca="1" si="26"/>
        <v>#NAME?</v>
      </c>
      <c r="R118" t="e">
        <f t="shared" ca="1" si="27"/>
        <v>#NAME?</v>
      </c>
      <c r="S118" t="e">
        <f t="shared" ca="1" si="28"/>
        <v>#NAME?</v>
      </c>
      <c r="T118" t="e">
        <f t="shared" ca="1" si="29"/>
        <v>#NAME?</v>
      </c>
      <c r="U118" t="e">
        <f t="shared" ca="1" si="30"/>
        <v>#NAME?</v>
      </c>
      <c r="V118" t="e">
        <f t="shared" ca="1" si="31"/>
        <v>#NAME?</v>
      </c>
      <c r="W118" t="e">
        <f t="shared" ca="1" si="32"/>
        <v>#NAME?</v>
      </c>
      <c r="X118" t="e">
        <f t="shared" ca="1" si="33"/>
        <v>#NAME?</v>
      </c>
      <c r="Z118" s="15">
        <v>1</v>
      </c>
    </row>
    <row r="119" spans="1:26">
      <c r="A119" s="22" t="s">
        <v>205</v>
      </c>
      <c r="B119" s="25"/>
      <c r="C119" s="25" t="s">
        <v>152</v>
      </c>
      <c r="D119" s="25" t="s">
        <v>152</v>
      </c>
      <c r="E119" s="25" t="s">
        <v>152</v>
      </c>
      <c r="F119" s="25" t="s">
        <v>152</v>
      </c>
      <c r="G119" s="25"/>
      <c r="H119" s="25"/>
      <c r="J119" t="e">
        <f t="shared" ca="1" si="20"/>
        <v>#NAME?</v>
      </c>
      <c r="K119" t="e">
        <f t="shared" ca="1" si="21"/>
        <v>#NAME?</v>
      </c>
      <c r="L119" t="e">
        <f t="shared" ca="1" si="22"/>
        <v>#NAME?</v>
      </c>
      <c r="M119" t="e">
        <f t="shared" ca="1" si="23"/>
        <v>#NAME?</v>
      </c>
      <c r="N119" t="e">
        <f t="shared" ca="1" si="24"/>
        <v>#NAME?</v>
      </c>
      <c r="O119" t="e">
        <f t="shared" ca="1" si="25"/>
        <v>#NAME?</v>
      </c>
      <c r="P119" t="e">
        <f t="shared" ca="1" si="26"/>
        <v>#NAME?</v>
      </c>
      <c r="R119" t="e">
        <f t="shared" ca="1" si="27"/>
        <v>#NAME?</v>
      </c>
      <c r="S119" t="e">
        <f t="shared" ca="1" si="28"/>
        <v>#NAME?</v>
      </c>
      <c r="T119" t="e">
        <f t="shared" ca="1" si="29"/>
        <v>#NAME?</v>
      </c>
      <c r="U119" t="e">
        <f t="shared" ca="1" si="30"/>
        <v>#NAME?</v>
      </c>
      <c r="V119" t="e">
        <f t="shared" ca="1" si="31"/>
        <v>#NAME?</v>
      </c>
      <c r="W119" t="e">
        <f t="shared" ca="1" si="32"/>
        <v>#NAME?</v>
      </c>
      <c r="X119" t="e">
        <f t="shared" ca="1" si="33"/>
        <v>#NAME?</v>
      </c>
      <c r="Z119" s="15">
        <v>1</v>
      </c>
    </row>
    <row r="120" spans="1:26">
      <c r="A120" s="22" t="s">
        <v>206</v>
      </c>
      <c r="B120" s="25"/>
      <c r="C120" s="25"/>
      <c r="D120" s="110" t="s">
        <v>139</v>
      </c>
      <c r="E120" s="25"/>
      <c r="F120" s="121" t="s">
        <v>118</v>
      </c>
      <c r="G120" s="120" t="s">
        <v>118</v>
      </c>
      <c r="H120" s="44" t="s">
        <v>186</v>
      </c>
      <c r="J120" t="e">
        <f t="shared" ca="1" si="20"/>
        <v>#NAME?</v>
      </c>
      <c r="K120" t="e">
        <f t="shared" ca="1" si="21"/>
        <v>#NAME?</v>
      </c>
      <c r="L120" t="e">
        <f t="shared" ca="1" si="22"/>
        <v>#NAME?</v>
      </c>
      <c r="M120" t="e">
        <f t="shared" ca="1" si="23"/>
        <v>#NAME?</v>
      </c>
      <c r="N120" t="e">
        <f t="shared" ca="1" si="24"/>
        <v>#NAME?</v>
      </c>
      <c r="O120" t="e">
        <f t="shared" ca="1" si="25"/>
        <v>#NAME?</v>
      </c>
      <c r="P120" t="e">
        <f t="shared" ca="1" si="26"/>
        <v>#NAME?</v>
      </c>
      <c r="R120" t="e">
        <f t="shared" ca="1" si="27"/>
        <v>#NAME?</v>
      </c>
      <c r="S120" t="e">
        <f t="shared" ca="1" si="28"/>
        <v>#NAME?</v>
      </c>
      <c r="T120" t="e">
        <f t="shared" ca="1" si="29"/>
        <v>#NAME?</v>
      </c>
      <c r="U120" t="e">
        <f t="shared" ca="1" si="30"/>
        <v>#NAME?</v>
      </c>
      <c r="V120" t="e">
        <f t="shared" ca="1" si="31"/>
        <v>#NAME?</v>
      </c>
      <c r="W120" t="e">
        <f t="shared" ca="1" si="32"/>
        <v>#NAME?</v>
      </c>
      <c r="X120" t="e">
        <f t="shared" ca="1" si="33"/>
        <v>#NAME?</v>
      </c>
      <c r="Z120" s="15">
        <v>1</v>
      </c>
    </row>
    <row r="121" spans="1:26">
      <c r="A121" s="22" t="s">
        <v>207</v>
      </c>
      <c r="B121" s="127" t="s">
        <v>18</v>
      </c>
      <c r="C121" s="128"/>
      <c r="D121" s="128"/>
      <c r="E121" s="128"/>
      <c r="F121" s="128"/>
      <c r="G121" s="128"/>
      <c r="H121" s="129"/>
      <c r="J121" t="e">
        <f t="shared" ca="1" si="20"/>
        <v>#NAME?</v>
      </c>
      <c r="K121" t="e">
        <f t="shared" ca="1" si="21"/>
        <v>#NAME?</v>
      </c>
      <c r="L121" t="e">
        <f t="shared" ca="1" si="22"/>
        <v>#NAME?</v>
      </c>
      <c r="M121" t="e">
        <f t="shared" ca="1" si="23"/>
        <v>#NAME?</v>
      </c>
      <c r="N121" t="e">
        <f t="shared" ca="1" si="24"/>
        <v>#NAME?</v>
      </c>
      <c r="O121" t="e">
        <f t="shared" ca="1" si="25"/>
        <v>#NAME?</v>
      </c>
      <c r="P121" t="e">
        <f t="shared" ca="1" si="26"/>
        <v>#NAME?</v>
      </c>
      <c r="R121" t="e">
        <f t="shared" ca="1" si="27"/>
        <v>#NAME?</v>
      </c>
      <c r="S121" t="e">
        <f t="shared" ca="1" si="28"/>
        <v>#NAME?</v>
      </c>
      <c r="T121" t="e">
        <f t="shared" ca="1" si="29"/>
        <v>#NAME?</v>
      </c>
      <c r="U121" t="e">
        <f t="shared" ca="1" si="30"/>
        <v>#NAME?</v>
      </c>
      <c r="V121" t="e">
        <f t="shared" ca="1" si="31"/>
        <v>#NAME?</v>
      </c>
      <c r="W121" t="e">
        <f t="shared" ca="1" si="32"/>
        <v>#NAME?</v>
      </c>
      <c r="X121" t="e">
        <f t="shared" ca="1" si="33"/>
        <v>#NAME?</v>
      </c>
      <c r="Z121" s="15">
        <v>0.5</v>
      </c>
    </row>
    <row r="122" spans="1:26">
      <c r="A122" s="22" t="s">
        <v>208</v>
      </c>
      <c r="B122" s="120" t="s">
        <v>118</v>
      </c>
      <c r="C122" s="25"/>
      <c r="D122" s="121" t="s">
        <v>118</v>
      </c>
      <c r="E122" s="112"/>
      <c r="F122" s="112"/>
      <c r="G122" s="25"/>
      <c r="H122" s="25"/>
      <c r="J122" t="e">
        <f t="shared" ca="1" si="20"/>
        <v>#NAME?</v>
      </c>
      <c r="K122" t="e">
        <f t="shared" ca="1" si="21"/>
        <v>#NAME?</v>
      </c>
      <c r="L122" t="e">
        <f t="shared" ca="1" si="22"/>
        <v>#NAME?</v>
      </c>
      <c r="M122" t="e">
        <f t="shared" ca="1" si="23"/>
        <v>#NAME?</v>
      </c>
      <c r="N122" t="e">
        <f t="shared" ca="1" si="24"/>
        <v>#NAME?</v>
      </c>
      <c r="O122" t="e">
        <f t="shared" ca="1" si="25"/>
        <v>#NAME?</v>
      </c>
      <c r="P122" t="e">
        <f t="shared" ca="1" si="26"/>
        <v>#NAME?</v>
      </c>
      <c r="R122" t="e">
        <f t="shared" ca="1" si="27"/>
        <v>#NAME?</v>
      </c>
      <c r="S122" t="e">
        <f t="shared" ca="1" si="28"/>
        <v>#NAME?</v>
      </c>
      <c r="T122" t="e">
        <f t="shared" ca="1" si="29"/>
        <v>#NAME?</v>
      </c>
      <c r="U122" t="e">
        <f t="shared" ca="1" si="30"/>
        <v>#NAME?</v>
      </c>
      <c r="V122" t="e">
        <f t="shared" ca="1" si="31"/>
        <v>#NAME?</v>
      </c>
      <c r="W122" t="e">
        <f t="shared" ca="1" si="32"/>
        <v>#NAME?</v>
      </c>
      <c r="X122" t="e">
        <f t="shared" ca="1" si="33"/>
        <v>#NAME?</v>
      </c>
      <c r="Z122" s="15">
        <v>0.5</v>
      </c>
    </row>
    <row r="123" spans="1:26">
      <c r="A123" s="22" t="s">
        <v>209</v>
      </c>
      <c r="B123" s="25"/>
      <c r="C123" s="25"/>
      <c r="D123" s="25"/>
      <c r="E123" s="120" t="s">
        <v>118</v>
      </c>
      <c r="F123" s="28" t="s">
        <v>115</v>
      </c>
      <c r="G123" s="25"/>
      <c r="H123" s="25"/>
      <c r="J123" t="e">
        <f t="shared" ca="1" si="20"/>
        <v>#NAME?</v>
      </c>
      <c r="K123" t="e">
        <f t="shared" ca="1" si="21"/>
        <v>#NAME?</v>
      </c>
      <c r="L123" t="e">
        <f t="shared" ca="1" si="22"/>
        <v>#NAME?</v>
      </c>
      <c r="M123" t="e">
        <f t="shared" ca="1" si="23"/>
        <v>#NAME?</v>
      </c>
      <c r="N123" t="e">
        <f t="shared" ca="1" si="24"/>
        <v>#NAME?</v>
      </c>
      <c r="O123" t="e">
        <f t="shared" ca="1" si="25"/>
        <v>#NAME?</v>
      </c>
      <c r="P123" t="e">
        <f t="shared" ca="1" si="26"/>
        <v>#NAME?</v>
      </c>
      <c r="R123" t="e">
        <f t="shared" ca="1" si="27"/>
        <v>#NAME?</v>
      </c>
      <c r="S123" t="e">
        <f t="shared" ca="1" si="28"/>
        <v>#NAME?</v>
      </c>
      <c r="T123" t="e">
        <f t="shared" ca="1" si="29"/>
        <v>#NAME?</v>
      </c>
      <c r="U123" t="e">
        <f t="shared" ca="1" si="30"/>
        <v>#NAME?</v>
      </c>
      <c r="V123" t="e">
        <f t="shared" ca="1" si="31"/>
        <v>#NAME?</v>
      </c>
      <c r="W123" t="e">
        <f t="shared" ca="1" si="32"/>
        <v>#NAME?</v>
      </c>
      <c r="X123" t="e">
        <f t="shared" ca="1" si="33"/>
        <v>#NAME?</v>
      </c>
      <c r="Z123" s="15">
        <v>0.5</v>
      </c>
    </row>
    <row r="124" spans="1:26" ht="15" customHeight="1">
      <c r="A124" s="22" t="s">
        <v>210</v>
      </c>
      <c r="B124" s="25"/>
      <c r="C124" s="25"/>
      <c r="D124" s="25"/>
      <c r="E124" s="25"/>
      <c r="F124" s="25"/>
      <c r="G124" s="121" t="s">
        <v>118</v>
      </c>
      <c r="H124" s="120" t="s">
        <v>118</v>
      </c>
      <c r="J124" t="e">
        <f t="shared" ca="1" si="20"/>
        <v>#NAME?</v>
      </c>
      <c r="K124" t="e">
        <f t="shared" ca="1" si="21"/>
        <v>#NAME?</v>
      </c>
      <c r="L124" t="e">
        <f t="shared" ca="1" si="22"/>
        <v>#NAME?</v>
      </c>
      <c r="M124" t="e">
        <f t="shared" ca="1" si="23"/>
        <v>#NAME?</v>
      </c>
      <c r="N124" t="e">
        <f t="shared" ca="1" si="24"/>
        <v>#NAME?</v>
      </c>
      <c r="O124" t="e">
        <f t="shared" ca="1" si="25"/>
        <v>#NAME?</v>
      </c>
      <c r="P124" t="e">
        <f t="shared" ca="1" si="26"/>
        <v>#NAME?</v>
      </c>
      <c r="R124" t="e">
        <f t="shared" ca="1" si="27"/>
        <v>#NAME?</v>
      </c>
      <c r="S124" t="e">
        <f t="shared" ca="1" si="28"/>
        <v>#NAME?</v>
      </c>
      <c r="T124" t="e">
        <f t="shared" ca="1" si="29"/>
        <v>#NAME?</v>
      </c>
      <c r="U124" t="e">
        <f t="shared" ca="1" si="30"/>
        <v>#NAME?</v>
      </c>
      <c r="V124" t="e">
        <f t="shared" ca="1" si="31"/>
        <v>#NAME?</v>
      </c>
      <c r="W124" t="e">
        <f t="shared" ca="1" si="32"/>
        <v>#NAME?</v>
      </c>
      <c r="X124" t="e">
        <f t="shared" ca="1" si="33"/>
        <v>#NAME?</v>
      </c>
      <c r="Z124" s="15">
        <v>0.5</v>
      </c>
    </row>
    <row r="125" spans="1:26">
      <c r="A125" s="22" t="s">
        <v>212</v>
      </c>
      <c r="B125" s="44" t="s">
        <v>186</v>
      </c>
      <c r="C125" s="120" t="s">
        <v>116</v>
      </c>
      <c r="D125" s="25"/>
      <c r="E125" s="120" t="s">
        <v>118</v>
      </c>
      <c r="F125" s="28" t="s">
        <v>119</v>
      </c>
      <c r="G125" s="25"/>
      <c r="H125" s="25"/>
      <c r="J125" t="e">
        <f t="shared" ca="1" si="20"/>
        <v>#NAME?</v>
      </c>
      <c r="K125" t="e">
        <f t="shared" ca="1" si="21"/>
        <v>#NAME?</v>
      </c>
      <c r="L125" t="e">
        <f t="shared" ca="1" si="22"/>
        <v>#NAME?</v>
      </c>
      <c r="M125" t="e">
        <f t="shared" ca="1" si="23"/>
        <v>#NAME?</v>
      </c>
      <c r="N125" t="e">
        <f t="shared" ca="1" si="24"/>
        <v>#NAME?</v>
      </c>
      <c r="O125" t="e">
        <f t="shared" ca="1" si="25"/>
        <v>#NAME?</v>
      </c>
      <c r="P125" t="e">
        <f t="shared" ca="1" si="26"/>
        <v>#NAME?</v>
      </c>
      <c r="R125" t="e">
        <f t="shared" ca="1" si="27"/>
        <v>#NAME?</v>
      </c>
      <c r="S125" t="e">
        <f t="shared" ca="1" si="28"/>
        <v>#NAME?</v>
      </c>
      <c r="T125" t="e">
        <f t="shared" ca="1" si="29"/>
        <v>#NAME?</v>
      </c>
      <c r="U125" t="e">
        <f t="shared" ca="1" si="30"/>
        <v>#NAME?</v>
      </c>
      <c r="V125" t="e">
        <f t="shared" ca="1" si="31"/>
        <v>#NAME?</v>
      </c>
      <c r="W125" t="e">
        <f t="shared" ca="1" si="32"/>
        <v>#NAME?</v>
      </c>
      <c r="X125" t="e">
        <f t="shared" ca="1" si="33"/>
        <v>#NAME?</v>
      </c>
      <c r="Z125" s="15">
        <v>1</v>
      </c>
    </row>
    <row r="126" spans="1:26">
      <c r="A126" s="22" t="s">
        <v>213</v>
      </c>
      <c r="B126" s="25" t="s">
        <v>152</v>
      </c>
      <c r="C126" s="25" t="s">
        <v>152</v>
      </c>
      <c r="D126" s="25" t="s">
        <v>152</v>
      </c>
      <c r="E126" s="25"/>
      <c r="F126" s="25"/>
      <c r="G126" s="25"/>
      <c r="H126" s="25" t="s">
        <v>328</v>
      </c>
      <c r="J126" t="e">
        <f t="shared" ca="1" si="20"/>
        <v>#NAME?</v>
      </c>
      <c r="K126" t="e">
        <f t="shared" ca="1" si="21"/>
        <v>#NAME?</v>
      </c>
      <c r="L126" t="e">
        <f t="shared" ca="1" si="22"/>
        <v>#NAME?</v>
      </c>
      <c r="M126" t="e">
        <f t="shared" ca="1" si="23"/>
        <v>#NAME?</v>
      </c>
      <c r="N126" t="e">
        <f t="shared" ca="1" si="24"/>
        <v>#NAME?</v>
      </c>
      <c r="O126" t="e">
        <f t="shared" ca="1" si="25"/>
        <v>#NAME?</v>
      </c>
      <c r="P126" t="e">
        <f t="shared" ca="1" si="26"/>
        <v>#NAME?</v>
      </c>
      <c r="R126" t="e">
        <f t="shared" ca="1" si="27"/>
        <v>#NAME?</v>
      </c>
      <c r="S126" t="e">
        <f t="shared" ca="1" si="28"/>
        <v>#NAME?</v>
      </c>
      <c r="T126" t="e">
        <f t="shared" ca="1" si="29"/>
        <v>#NAME?</v>
      </c>
      <c r="U126" t="e">
        <f t="shared" ca="1" si="30"/>
        <v>#NAME?</v>
      </c>
      <c r="V126" t="e">
        <f t="shared" ca="1" si="31"/>
        <v>#NAME?</v>
      </c>
      <c r="W126" t="e">
        <f t="shared" ca="1" si="32"/>
        <v>#NAME?</v>
      </c>
      <c r="X126" t="e">
        <f t="shared" ca="1" si="33"/>
        <v>#NAME?</v>
      </c>
      <c r="Z126" s="15">
        <v>1</v>
      </c>
    </row>
    <row r="127" spans="1:26">
      <c r="A127" s="106" t="s">
        <v>383</v>
      </c>
      <c r="B127" s="107" t="str">
        <f t="shared" ref="B127:H127" si="36">B58</f>
        <v>Mon 27 Jul</v>
      </c>
      <c r="C127" s="107" t="str">
        <f t="shared" si="36"/>
        <v>Tues 28 Jul</v>
      </c>
      <c r="D127" s="107" t="str">
        <f t="shared" si="36"/>
        <v>Wed 29 Jul</v>
      </c>
      <c r="E127" s="107" t="str">
        <f t="shared" si="36"/>
        <v>Thu 30 Jul</v>
      </c>
      <c r="F127" s="107" t="str">
        <f t="shared" si="36"/>
        <v>Fri 31 Jul</v>
      </c>
      <c r="G127" s="107" t="str">
        <f t="shared" si="36"/>
        <v>Sat 1 Aug</v>
      </c>
      <c r="H127" s="107" t="str">
        <f t="shared" si="36"/>
        <v>Sun 2 Aug</v>
      </c>
      <c r="J127" t="e">
        <f t="shared" ca="1" si="20"/>
        <v>#NAME?</v>
      </c>
      <c r="K127" t="e">
        <f t="shared" ca="1" si="21"/>
        <v>#NAME?</v>
      </c>
      <c r="L127" t="e">
        <f t="shared" ca="1" si="22"/>
        <v>#NAME?</v>
      </c>
      <c r="M127" t="e">
        <f t="shared" ca="1" si="23"/>
        <v>#NAME?</v>
      </c>
      <c r="N127" t="e">
        <f t="shared" ca="1" si="24"/>
        <v>#NAME?</v>
      </c>
      <c r="O127" t="e">
        <f t="shared" ca="1" si="25"/>
        <v>#NAME?</v>
      </c>
      <c r="P127" t="e">
        <f t="shared" ca="1" si="26"/>
        <v>#NAME?</v>
      </c>
      <c r="R127" t="e">
        <f t="shared" ca="1" si="27"/>
        <v>#NAME?</v>
      </c>
      <c r="S127" t="e">
        <f t="shared" ca="1" si="28"/>
        <v>#NAME?</v>
      </c>
      <c r="T127" t="e">
        <f t="shared" ca="1" si="29"/>
        <v>#NAME?</v>
      </c>
      <c r="U127" t="e">
        <f t="shared" ca="1" si="30"/>
        <v>#NAME?</v>
      </c>
      <c r="V127" t="e">
        <f t="shared" ca="1" si="31"/>
        <v>#NAME?</v>
      </c>
      <c r="W127" t="e">
        <f t="shared" ca="1" si="32"/>
        <v>#NAME?</v>
      </c>
      <c r="X127" t="e">
        <f t="shared" ca="1" si="33"/>
        <v>#NAME?</v>
      </c>
      <c r="Z127" s="53"/>
    </row>
    <row r="128" spans="1:26">
      <c r="A128" s="22" t="s">
        <v>358</v>
      </c>
      <c r="B128" s="25"/>
      <c r="C128" s="25"/>
      <c r="D128" s="25"/>
      <c r="E128" s="25"/>
      <c r="F128" s="44" t="s">
        <v>186</v>
      </c>
      <c r="G128" s="101" t="s">
        <v>116</v>
      </c>
      <c r="H128" s="121" t="s">
        <v>116</v>
      </c>
      <c r="J128" t="e">
        <f t="shared" ca="1" si="20"/>
        <v>#NAME?</v>
      </c>
      <c r="K128" t="e">
        <f t="shared" ca="1" si="21"/>
        <v>#NAME?</v>
      </c>
      <c r="L128" t="e">
        <f t="shared" ca="1" si="22"/>
        <v>#NAME?</v>
      </c>
      <c r="M128" t="e">
        <f t="shared" ca="1" si="23"/>
        <v>#NAME?</v>
      </c>
      <c r="N128" t="e">
        <f t="shared" ca="1" si="24"/>
        <v>#NAME?</v>
      </c>
      <c r="O128" t="e">
        <f t="shared" ca="1" si="25"/>
        <v>#NAME?</v>
      </c>
      <c r="P128" t="e">
        <f t="shared" ca="1" si="26"/>
        <v>#NAME?</v>
      </c>
      <c r="R128" t="e">
        <f t="shared" ca="1" si="27"/>
        <v>#NAME?</v>
      </c>
      <c r="S128" t="e">
        <f t="shared" ca="1" si="28"/>
        <v>#NAME?</v>
      </c>
      <c r="T128" t="e">
        <f t="shared" ca="1" si="29"/>
        <v>#NAME?</v>
      </c>
      <c r="U128" t="e">
        <f t="shared" ca="1" si="30"/>
        <v>#NAME?</v>
      </c>
      <c r="V128" t="e">
        <f t="shared" ca="1" si="31"/>
        <v>#NAME?</v>
      </c>
      <c r="W128" t="e">
        <f t="shared" ca="1" si="32"/>
        <v>#NAME?</v>
      </c>
      <c r="X128" t="e">
        <f t="shared" ca="1" si="33"/>
        <v>#NAME?</v>
      </c>
      <c r="Z128" s="15">
        <v>1</v>
      </c>
    </row>
    <row r="129" spans="1:34">
      <c r="A129" s="22" t="s">
        <v>359</v>
      </c>
      <c r="B129" s="25"/>
      <c r="C129" s="25"/>
      <c r="D129" s="110" t="s">
        <v>142</v>
      </c>
      <c r="E129" s="101" t="s">
        <v>118</v>
      </c>
      <c r="F129" s="25"/>
      <c r="G129" s="121" t="s">
        <v>116</v>
      </c>
      <c r="H129" s="44" t="s">
        <v>189</v>
      </c>
      <c r="J129" t="e">
        <f t="shared" ca="1" si="20"/>
        <v>#NAME?</v>
      </c>
      <c r="K129" t="e">
        <f t="shared" ca="1" si="21"/>
        <v>#NAME?</v>
      </c>
      <c r="L129" t="e">
        <f t="shared" ca="1" si="22"/>
        <v>#NAME?</v>
      </c>
      <c r="M129" t="e">
        <f t="shared" ca="1" si="23"/>
        <v>#NAME?</v>
      </c>
      <c r="N129" t="e">
        <f t="shared" ca="1" si="24"/>
        <v>#NAME?</v>
      </c>
      <c r="O129" t="e">
        <f t="shared" ca="1" si="25"/>
        <v>#NAME?</v>
      </c>
      <c r="P129" t="e">
        <f t="shared" ca="1" si="26"/>
        <v>#NAME?</v>
      </c>
      <c r="R129" t="e">
        <f t="shared" ca="1" si="27"/>
        <v>#NAME?</v>
      </c>
      <c r="S129" t="e">
        <f t="shared" ca="1" si="28"/>
        <v>#NAME?</v>
      </c>
      <c r="T129" t="e">
        <f t="shared" ca="1" si="29"/>
        <v>#NAME?</v>
      </c>
      <c r="U129" t="e">
        <f t="shared" ca="1" si="30"/>
        <v>#NAME?</v>
      </c>
      <c r="V129" t="e">
        <f t="shared" ca="1" si="31"/>
        <v>#NAME?</v>
      </c>
      <c r="W129" t="e">
        <f t="shared" ca="1" si="32"/>
        <v>#NAME?</v>
      </c>
      <c r="X129" t="e">
        <f t="shared" ca="1" si="33"/>
        <v>#NAME?</v>
      </c>
      <c r="Z129" s="15">
        <v>1</v>
      </c>
    </row>
    <row r="130" spans="1:34">
      <c r="A130" s="22" t="s">
        <v>360</v>
      </c>
      <c r="B130" s="25"/>
      <c r="C130" s="25"/>
      <c r="D130" s="120" t="s">
        <v>116</v>
      </c>
      <c r="E130" s="101" t="s">
        <v>116</v>
      </c>
      <c r="F130" s="25"/>
      <c r="G130" s="25" t="s">
        <v>152</v>
      </c>
      <c r="H130" s="25" t="s">
        <v>152</v>
      </c>
      <c r="J130" t="e">
        <f t="shared" ca="1" si="20"/>
        <v>#NAME?</v>
      </c>
      <c r="K130" t="e">
        <f t="shared" ca="1" si="21"/>
        <v>#NAME?</v>
      </c>
      <c r="L130" t="e">
        <f t="shared" ca="1" si="22"/>
        <v>#NAME?</v>
      </c>
      <c r="M130" t="e">
        <f t="shared" ca="1" si="23"/>
        <v>#NAME?</v>
      </c>
      <c r="N130" t="e">
        <f t="shared" ca="1" si="24"/>
        <v>#NAME?</v>
      </c>
      <c r="O130" t="e">
        <f t="shared" ca="1" si="25"/>
        <v>#NAME?</v>
      </c>
      <c r="P130" t="e">
        <f t="shared" ca="1" si="26"/>
        <v>#NAME?</v>
      </c>
      <c r="R130" t="e">
        <f t="shared" ca="1" si="27"/>
        <v>#NAME?</v>
      </c>
      <c r="S130" t="e">
        <f t="shared" ca="1" si="28"/>
        <v>#NAME?</v>
      </c>
      <c r="T130" t="e">
        <f t="shared" ca="1" si="29"/>
        <v>#NAME?</v>
      </c>
      <c r="U130" t="e">
        <f t="shared" ca="1" si="30"/>
        <v>#NAME?</v>
      </c>
      <c r="V130" t="e">
        <f t="shared" ca="1" si="31"/>
        <v>#NAME?</v>
      </c>
      <c r="W130" t="e">
        <f t="shared" ca="1" si="32"/>
        <v>#NAME?</v>
      </c>
      <c r="X130" t="e">
        <f t="shared" ca="1" si="33"/>
        <v>#NAME?</v>
      </c>
      <c r="Z130" s="15">
        <v>1</v>
      </c>
    </row>
    <row r="131" spans="1:34">
      <c r="A131" s="22" t="s">
        <v>361</v>
      </c>
      <c r="B131" s="127" t="s">
        <v>18</v>
      </c>
      <c r="C131" s="128"/>
      <c r="D131" s="128"/>
      <c r="E131" s="128"/>
      <c r="F131" s="128"/>
      <c r="G131" s="128"/>
      <c r="H131" s="129"/>
      <c r="J131" t="e">
        <f t="shared" ca="1" si="20"/>
        <v>#NAME?</v>
      </c>
      <c r="K131" t="e">
        <f t="shared" ca="1" si="21"/>
        <v>#NAME?</v>
      </c>
      <c r="L131" t="e">
        <f t="shared" ca="1" si="22"/>
        <v>#NAME?</v>
      </c>
      <c r="M131" t="e">
        <f t="shared" ca="1" si="23"/>
        <v>#NAME?</v>
      </c>
      <c r="N131" t="e">
        <f t="shared" ca="1" si="24"/>
        <v>#NAME?</v>
      </c>
      <c r="O131" t="e">
        <f t="shared" ca="1" si="25"/>
        <v>#NAME?</v>
      </c>
      <c r="P131" t="e">
        <f t="shared" ca="1" si="26"/>
        <v>#NAME?</v>
      </c>
      <c r="R131" t="e">
        <f t="shared" ca="1" si="27"/>
        <v>#NAME?</v>
      </c>
      <c r="S131" t="e">
        <f t="shared" ca="1" si="28"/>
        <v>#NAME?</v>
      </c>
      <c r="T131" t="e">
        <f t="shared" ca="1" si="29"/>
        <v>#NAME?</v>
      </c>
      <c r="U131" t="e">
        <f t="shared" ca="1" si="30"/>
        <v>#NAME?</v>
      </c>
      <c r="V131" t="e">
        <f t="shared" ca="1" si="31"/>
        <v>#NAME?</v>
      </c>
      <c r="W131" t="e">
        <f t="shared" ca="1" si="32"/>
        <v>#NAME?</v>
      </c>
      <c r="X131" t="e">
        <f t="shared" ca="1" si="33"/>
        <v>#NAME?</v>
      </c>
      <c r="Z131" s="15">
        <v>1</v>
      </c>
    </row>
    <row r="132" spans="1:34">
      <c r="A132" s="22" t="s">
        <v>362</v>
      </c>
      <c r="B132" s="127" t="s">
        <v>18</v>
      </c>
      <c r="C132" s="128"/>
      <c r="D132" s="128"/>
      <c r="E132" s="128"/>
      <c r="F132" s="128"/>
      <c r="G132" s="128"/>
      <c r="H132" s="129"/>
      <c r="J132" t="e">
        <f t="shared" ref="J132:J140" ca="1" si="37">colorindex(B132)</f>
        <v>#NAME?</v>
      </c>
      <c r="K132" t="e">
        <f t="shared" ref="K132:K140" ca="1" si="38">colorindex(C132)</f>
        <v>#NAME?</v>
      </c>
      <c r="L132" t="e">
        <f t="shared" ref="L132:L140" ca="1" si="39">colorindex(D132)</f>
        <v>#NAME?</v>
      </c>
      <c r="M132" t="e">
        <f t="shared" ref="M132:M140" ca="1" si="40">colorindex(E132)</f>
        <v>#NAME?</v>
      </c>
      <c r="N132" t="e">
        <f t="shared" ref="N132:N140" ca="1" si="41">colorindex(F132)</f>
        <v>#NAME?</v>
      </c>
      <c r="O132" t="e">
        <f t="shared" ref="O132:O140" ca="1" si="42">colorindex(G132)</f>
        <v>#NAME?</v>
      </c>
      <c r="P132" t="e">
        <f t="shared" ref="P132:P140" ca="1" si="43">colorindex(H132)</f>
        <v>#NAME?</v>
      </c>
      <c r="R132" t="e">
        <f t="shared" ref="R132:R140" ca="1" si="44">ShiftIndex(B132)</f>
        <v>#NAME?</v>
      </c>
      <c r="S132" t="e">
        <f t="shared" ref="S132:S140" ca="1" si="45">ShiftIndex(C132)</f>
        <v>#NAME?</v>
      </c>
      <c r="T132" t="e">
        <f t="shared" ref="T132:T140" ca="1" si="46">ShiftIndex(D132)</f>
        <v>#NAME?</v>
      </c>
      <c r="U132" t="e">
        <f t="shared" ref="U132:U140" ca="1" si="47">ShiftIndex(E132)</f>
        <v>#NAME?</v>
      </c>
      <c r="V132" t="e">
        <f t="shared" ref="V132:V140" ca="1" si="48">ShiftIndex(F132)</f>
        <v>#NAME?</v>
      </c>
      <c r="W132" t="e">
        <f t="shared" ref="W132:W140" ca="1" si="49">ShiftIndex(G132)</f>
        <v>#NAME?</v>
      </c>
      <c r="X132" t="e">
        <f t="shared" ref="X132:X140" ca="1" si="50">ShiftIndex(H132)</f>
        <v>#NAME?</v>
      </c>
      <c r="Z132" s="15">
        <v>1</v>
      </c>
    </row>
    <row r="133" spans="1:34">
      <c r="A133" s="22" t="s">
        <v>363</v>
      </c>
      <c r="B133" s="28" t="s">
        <v>115</v>
      </c>
      <c r="C133" s="121" t="s">
        <v>116</v>
      </c>
      <c r="D133" s="25"/>
      <c r="E133" s="44" t="s">
        <v>186</v>
      </c>
      <c r="F133" s="120" t="s">
        <v>116</v>
      </c>
      <c r="G133" s="25"/>
      <c r="H133" s="25"/>
      <c r="J133" t="e">
        <f t="shared" ca="1" si="37"/>
        <v>#NAME?</v>
      </c>
      <c r="K133" t="e">
        <f t="shared" ca="1" si="38"/>
        <v>#NAME?</v>
      </c>
      <c r="L133" t="e">
        <f t="shared" ca="1" si="39"/>
        <v>#NAME?</v>
      </c>
      <c r="M133" t="e">
        <f t="shared" ca="1" si="40"/>
        <v>#NAME?</v>
      </c>
      <c r="N133" t="e">
        <f t="shared" ca="1" si="41"/>
        <v>#NAME?</v>
      </c>
      <c r="O133" t="e">
        <f t="shared" ca="1" si="42"/>
        <v>#NAME?</v>
      </c>
      <c r="P133" t="e">
        <f t="shared" ca="1" si="43"/>
        <v>#NAME?</v>
      </c>
      <c r="R133" t="e">
        <f t="shared" ca="1" si="44"/>
        <v>#NAME?</v>
      </c>
      <c r="S133" t="e">
        <f t="shared" ca="1" si="45"/>
        <v>#NAME?</v>
      </c>
      <c r="T133" t="e">
        <f t="shared" ca="1" si="46"/>
        <v>#NAME?</v>
      </c>
      <c r="U133" t="e">
        <f t="shared" ca="1" si="47"/>
        <v>#NAME?</v>
      </c>
      <c r="V133" t="e">
        <f t="shared" ca="1" si="48"/>
        <v>#NAME?</v>
      </c>
      <c r="W133" t="e">
        <f t="shared" ca="1" si="49"/>
        <v>#NAME?</v>
      </c>
      <c r="X133" t="e">
        <f t="shared" ca="1" si="50"/>
        <v>#NAME?</v>
      </c>
      <c r="Z133" s="15">
        <v>1</v>
      </c>
    </row>
    <row r="134" spans="1:34">
      <c r="A134" s="22" t="s">
        <v>364</v>
      </c>
      <c r="B134" s="101" t="s">
        <v>116</v>
      </c>
      <c r="C134" s="44" t="s">
        <v>189</v>
      </c>
      <c r="D134" s="25"/>
      <c r="E134" s="25"/>
      <c r="F134" s="25" t="s">
        <v>152</v>
      </c>
      <c r="G134" s="25" t="s">
        <v>152</v>
      </c>
      <c r="H134" s="25" t="s">
        <v>152</v>
      </c>
      <c r="J134" t="e">
        <f t="shared" ca="1" si="37"/>
        <v>#NAME?</v>
      </c>
      <c r="K134" t="e">
        <f t="shared" ca="1" si="38"/>
        <v>#NAME?</v>
      </c>
      <c r="L134" t="e">
        <f t="shared" ca="1" si="39"/>
        <v>#NAME?</v>
      </c>
      <c r="M134" t="e">
        <f t="shared" ca="1" si="40"/>
        <v>#NAME?</v>
      </c>
      <c r="N134" t="e">
        <f t="shared" ca="1" si="41"/>
        <v>#NAME?</v>
      </c>
      <c r="O134" t="e">
        <f t="shared" ca="1" si="42"/>
        <v>#NAME?</v>
      </c>
      <c r="P134" t="e">
        <f t="shared" ca="1" si="43"/>
        <v>#NAME?</v>
      </c>
      <c r="R134" t="e">
        <f t="shared" ca="1" si="44"/>
        <v>#NAME?</v>
      </c>
      <c r="S134" t="e">
        <f t="shared" ca="1" si="45"/>
        <v>#NAME?</v>
      </c>
      <c r="T134" t="e">
        <f t="shared" ca="1" si="46"/>
        <v>#NAME?</v>
      </c>
      <c r="U134" t="e">
        <f t="shared" ca="1" si="47"/>
        <v>#NAME?</v>
      </c>
      <c r="V134" t="e">
        <f t="shared" ca="1" si="48"/>
        <v>#NAME?</v>
      </c>
      <c r="W134" t="e">
        <f t="shared" ca="1" si="49"/>
        <v>#NAME?</v>
      </c>
      <c r="X134" t="e">
        <f t="shared" ca="1" si="50"/>
        <v>#NAME?</v>
      </c>
      <c r="Z134" s="15">
        <v>1</v>
      </c>
    </row>
    <row r="135" spans="1:34">
      <c r="A135" s="22" t="s">
        <v>365</v>
      </c>
      <c r="B135" s="25" t="s">
        <v>152</v>
      </c>
      <c r="C135" s="25" t="s">
        <v>152</v>
      </c>
      <c r="D135" s="25" t="s">
        <v>152</v>
      </c>
      <c r="E135" s="25" t="s">
        <v>152</v>
      </c>
      <c r="F135" s="25"/>
      <c r="G135" s="25"/>
      <c r="H135" s="25"/>
      <c r="J135" t="e">
        <f t="shared" ca="1" si="37"/>
        <v>#NAME?</v>
      </c>
      <c r="K135" t="e">
        <f t="shared" ca="1" si="38"/>
        <v>#NAME?</v>
      </c>
      <c r="L135" t="e">
        <f t="shared" ca="1" si="39"/>
        <v>#NAME?</v>
      </c>
      <c r="M135" t="e">
        <f t="shared" ca="1" si="40"/>
        <v>#NAME?</v>
      </c>
      <c r="N135" t="e">
        <f t="shared" ca="1" si="41"/>
        <v>#NAME?</v>
      </c>
      <c r="O135" t="e">
        <f t="shared" ca="1" si="42"/>
        <v>#NAME?</v>
      </c>
      <c r="P135" t="e">
        <f t="shared" ca="1" si="43"/>
        <v>#NAME?</v>
      </c>
      <c r="R135" t="e">
        <f t="shared" ca="1" si="44"/>
        <v>#NAME?</v>
      </c>
      <c r="S135" t="e">
        <f t="shared" ca="1" si="45"/>
        <v>#NAME?</v>
      </c>
      <c r="T135" t="e">
        <f t="shared" ca="1" si="46"/>
        <v>#NAME?</v>
      </c>
      <c r="U135" t="e">
        <f t="shared" ca="1" si="47"/>
        <v>#NAME?</v>
      </c>
      <c r="V135" t="e">
        <f t="shared" ca="1" si="48"/>
        <v>#NAME?</v>
      </c>
      <c r="W135" t="e">
        <f t="shared" ca="1" si="49"/>
        <v>#NAME?</v>
      </c>
      <c r="X135" t="e">
        <f t="shared" ca="1" si="50"/>
        <v>#NAME?</v>
      </c>
      <c r="Z135" s="15">
        <v>1</v>
      </c>
    </row>
    <row r="136" spans="1:34">
      <c r="A136" s="106" t="s">
        <v>223</v>
      </c>
      <c r="B136" s="107" t="str">
        <f t="shared" ref="B136:H136" si="51">B101</f>
        <v>Mon 27 Jul</v>
      </c>
      <c r="C136" s="107" t="str">
        <f t="shared" si="51"/>
        <v>Tues 28 Jul</v>
      </c>
      <c r="D136" s="107" t="str">
        <f t="shared" si="51"/>
        <v>Wed 29 Jul</v>
      </c>
      <c r="E136" s="107" t="str">
        <f t="shared" si="51"/>
        <v>Thu 30 Jul</v>
      </c>
      <c r="F136" s="107" t="str">
        <f t="shared" si="51"/>
        <v>Fri 31 Jul</v>
      </c>
      <c r="G136" s="107" t="str">
        <f t="shared" si="51"/>
        <v>Sat 1 Aug</v>
      </c>
      <c r="H136" s="107" t="str">
        <f t="shared" si="51"/>
        <v>Sun 2 Aug</v>
      </c>
      <c r="J136" t="e">
        <f t="shared" ca="1" si="37"/>
        <v>#NAME?</v>
      </c>
      <c r="K136" t="e">
        <f t="shared" ca="1" si="38"/>
        <v>#NAME?</v>
      </c>
      <c r="L136" t="e">
        <f t="shared" ca="1" si="39"/>
        <v>#NAME?</v>
      </c>
      <c r="M136" t="e">
        <f t="shared" ca="1" si="40"/>
        <v>#NAME?</v>
      </c>
      <c r="N136" t="e">
        <f t="shared" ca="1" si="41"/>
        <v>#NAME?</v>
      </c>
      <c r="O136" t="e">
        <f t="shared" ca="1" si="42"/>
        <v>#NAME?</v>
      </c>
      <c r="P136" t="e">
        <f t="shared" ca="1" si="43"/>
        <v>#NAME?</v>
      </c>
      <c r="R136" t="e">
        <f t="shared" ca="1" si="44"/>
        <v>#NAME?</v>
      </c>
      <c r="S136" t="e">
        <f t="shared" ca="1" si="45"/>
        <v>#NAME?</v>
      </c>
      <c r="T136" t="e">
        <f t="shared" ca="1" si="46"/>
        <v>#NAME?</v>
      </c>
      <c r="U136" t="e">
        <f t="shared" ca="1" si="47"/>
        <v>#NAME?</v>
      </c>
      <c r="V136" t="e">
        <f t="shared" ca="1" si="48"/>
        <v>#NAME?</v>
      </c>
      <c r="W136" t="e">
        <f t="shared" ca="1" si="49"/>
        <v>#NAME?</v>
      </c>
      <c r="X136" t="e">
        <f t="shared" ca="1" si="50"/>
        <v>#NAME?</v>
      </c>
      <c r="Z136" s="53">
        <f>SUM(Z128:Z135)</f>
        <v>8</v>
      </c>
      <c r="AA136" s="55"/>
      <c r="AB136" s="55"/>
      <c r="AC136" s="55"/>
    </row>
    <row r="137" spans="1:34">
      <c r="A137" s="21"/>
      <c r="B137" s="25"/>
      <c r="C137" s="25"/>
      <c r="D137" s="25"/>
      <c r="E137" s="25"/>
      <c r="F137" s="25"/>
      <c r="G137" s="25"/>
      <c r="H137" s="25"/>
      <c r="J137" t="e">
        <f t="shared" ca="1" si="37"/>
        <v>#NAME?</v>
      </c>
      <c r="K137" t="e">
        <f t="shared" ca="1" si="38"/>
        <v>#NAME?</v>
      </c>
      <c r="L137" t="e">
        <f t="shared" ca="1" si="39"/>
        <v>#NAME?</v>
      </c>
      <c r="M137" t="e">
        <f t="shared" ca="1" si="40"/>
        <v>#NAME?</v>
      </c>
      <c r="N137" t="e">
        <f t="shared" ca="1" si="41"/>
        <v>#NAME?</v>
      </c>
      <c r="O137" t="e">
        <f t="shared" ca="1" si="42"/>
        <v>#NAME?</v>
      </c>
      <c r="P137" t="e">
        <f t="shared" ca="1" si="43"/>
        <v>#NAME?</v>
      </c>
      <c r="R137" t="e">
        <f t="shared" ca="1" si="44"/>
        <v>#NAME?</v>
      </c>
      <c r="S137" t="e">
        <f t="shared" ca="1" si="45"/>
        <v>#NAME?</v>
      </c>
      <c r="T137" t="e">
        <f t="shared" ca="1" si="46"/>
        <v>#NAME?</v>
      </c>
      <c r="U137" t="e">
        <f t="shared" ca="1" si="47"/>
        <v>#NAME?</v>
      </c>
      <c r="V137" t="e">
        <f t="shared" ca="1" si="48"/>
        <v>#NAME?</v>
      </c>
      <c r="W137" t="e">
        <f t="shared" ca="1" si="49"/>
        <v>#NAME?</v>
      </c>
      <c r="X137" t="e">
        <f t="shared" ca="1" si="50"/>
        <v>#NAME?</v>
      </c>
      <c r="AA137" s="56"/>
      <c r="AB137" s="55"/>
      <c r="AC137" s="56"/>
    </row>
    <row r="138" spans="1:34">
      <c r="A138" s="21"/>
      <c r="B138" s="25"/>
      <c r="C138" s="25"/>
      <c r="D138" s="25"/>
      <c r="E138" s="25"/>
      <c r="F138" s="25"/>
      <c r="G138" s="25"/>
      <c r="H138" s="25"/>
      <c r="J138" t="e">
        <f t="shared" ca="1" si="37"/>
        <v>#NAME?</v>
      </c>
      <c r="K138" t="e">
        <f t="shared" ca="1" si="38"/>
        <v>#NAME?</v>
      </c>
      <c r="L138" t="e">
        <f t="shared" ca="1" si="39"/>
        <v>#NAME?</v>
      </c>
      <c r="M138" t="e">
        <f t="shared" ca="1" si="40"/>
        <v>#NAME?</v>
      </c>
      <c r="N138" t="e">
        <f t="shared" ca="1" si="41"/>
        <v>#NAME?</v>
      </c>
      <c r="O138" t="e">
        <f t="shared" ca="1" si="42"/>
        <v>#NAME?</v>
      </c>
      <c r="P138" t="e">
        <f t="shared" ca="1" si="43"/>
        <v>#NAME?</v>
      </c>
      <c r="R138" t="e">
        <f t="shared" ca="1" si="44"/>
        <v>#NAME?</v>
      </c>
      <c r="S138" t="e">
        <f t="shared" ca="1" si="45"/>
        <v>#NAME?</v>
      </c>
      <c r="T138" t="e">
        <f t="shared" ca="1" si="46"/>
        <v>#NAME?</v>
      </c>
      <c r="U138" t="e">
        <f t="shared" ca="1" si="47"/>
        <v>#NAME?</v>
      </c>
      <c r="V138" t="e">
        <f t="shared" ca="1" si="48"/>
        <v>#NAME?</v>
      </c>
      <c r="W138" t="e">
        <f t="shared" ca="1" si="49"/>
        <v>#NAME?</v>
      </c>
      <c r="X138" t="e">
        <f t="shared" ca="1" si="50"/>
        <v>#NAME?</v>
      </c>
      <c r="AA138" s="56"/>
      <c r="AB138" s="55"/>
      <c r="AC138" s="56"/>
    </row>
    <row r="139" spans="1:34" s="6" customFormat="1" ht="15" customHeight="1">
      <c r="A139" s="106" t="s">
        <v>235</v>
      </c>
      <c r="B139" s="107" t="str">
        <f t="shared" ref="B139:H139" si="52">B136</f>
        <v>Mon 27 Jul</v>
      </c>
      <c r="C139" s="107" t="str">
        <f t="shared" si="52"/>
        <v>Tues 28 Jul</v>
      </c>
      <c r="D139" s="107" t="str">
        <f t="shared" si="52"/>
        <v>Wed 29 Jul</v>
      </c>
      <c r="E139" s="107" t="str">
        <f t="shared" si="52"/>
        <v>Thu 30 Jul</v>
      </c>
      <c r="F139" s="107" t="str">
        <f t="shared" si="52"/>
        <v>Fri 31 Jul</v>
      </c>
      <c r="G139" s="107" t="str">
        <f t="shared" si="52"/>
        <v>Sat 1 Aug</v>
      </c>
      <c r="H139" s="107" t="str">
        <f t="shared" si="52"/>
        <v>Sun 2 Aug</v>
      </c>
      <c r="J139" t="e">
        <f t="shared" ca="1" si="37"/>
        <v>#NAME?</v>
      </c>
      <c r="K139" t="e">
        <f t="shared" ca="1" si="38"/>
        <v>#NAME?</v>
      </c>
      <c r="L139" t="e">
        <f t="shared" ca="1" si="39"/>
        <v>#NAME?</v>
      </c>
      <c r="M139" t="e">
        <f t="shared" ca="1" si="40"/>
        <v>#NAME?</v>
      </c>
      <c r="N139" t="e">
        <f t="shared" ca="1" si="41"/>
        <v>#NAME?</v>
      </c>
      <c r="O139" t="e">
        <f t="shared" ca="1" si="42"/>
        <v>#NAME?</v>
      </c>
      <c r="P139" t="e">
        <f t="shared" ca="1" si="43"/>
        <v>#NAME?</v>
      </c>
      <c r="Q139"/>
      <c r="R139" t="e">
        <f t="shared" ca="1" si="44"/>
        <v>#NAME?</v>
      </c>
      <c r="S139" t="e">
        <f t="shared" ca="1" si="45"/>
        <v>#NAME?</v>
      </c>
      <c r="T139" t="e">
        <f t="shared" ca="1" si="46"/>
        <v>#NAME?</v>
      </c>
      <c r="U139" t="e">
        <f t="shared" ca="1" si="47"/>
        <v>#NAME?</v>
      </c>
      <c r="V139" t="e">
        <f t="shared" ca="1" si="48"/>
        <v>#NAME?</v>
      </c>
      <c r="W139" t="e">
        <f t="shared" ca="1" si="49"/>
        <v>#NAME?</v>
      </c>
      <c r="X139" t="e">
        <f t="shared" ca="1" si="50"/>
        <v>#NAME?</v>
      </c>
      <c r="Y139" s="11"/>
      <c r="Z139" s="14"/>
      <c r="AA139" s="11"/>
      <c r="AB139" s="11"/>
      <c r="AC139" s="11"/>
      <c r="AD139" s="11"/>
      <c r="AE139" s="11"/>
      <c r="AF139" s="11"/>
      <c r="AG139" s="11"/>
      <c r="AH139" s="11"/>
    </row>
    <row r="140" spans="1:34" s="11" customFormat="1" ht="15" customHeight="1">
      <c r="A140" s="13" t="s">
        <v>236</v>
      </c>
      <c r="B140" s="28" t="s">
        <v>366</v>
      </c>
      <c r="C140" s="28" t="s">
        <v>366</v>
      </c>
      <c r="D140" s="28" t="s">
        <v>366</v>
      </c>
      <c r="E140" s="28" t="s">
        <v>366</v>
      </c>
      <c r="F140" s="28" t="s">
        <v>366</v>
      </c>
      <c r="G140" s="28" t="s">
        <v>366</v>
      </c>
      <c r="H140" s="28" t="s">
        <v>366</v>
      </c>
      <c r="J140" t="e">
        <f t="shared" ca="1" si="37"/>
        <v>#NAME?</v>
      </c>
      <c r="K140" t="e">
        <f t="shared" ca="1" si="38"/>
        <v>#NAME?</v>
      </c>
      <c r="L140" t="e">
        <f t="shared" ca="1" si="39"/>
        <v>#NAME?</v>
      </c>
      <c r="M140" t="e">
        <f t="shared" ca="1" si="40"/>
        <v>#NAME?</v>
      </c>
      <c r="N140" t="e">
        <f t="shared" ca="1" si="41"/>
        <v>#NAME?</v>
      </c>
      <c r="O140" t="e">
        <f t="shared" ca="1" si="42"/>
        <v>#NAME?</v>
      </c>
      <c r="P140" t="e">
        <f t="shared" ca="1" si="43"/>
        <v>#NAME?</v>
      </c>
      <c r="Q140"/>
      <c r="R140" t="e">
        <f t="shared" ca="1" si="44"/>
        <v>#NAME?</v>
      </c>
      <c r="S140" t="e">
        <f t="shared" ca="1" si="45"/>
        <v>#NAME?</v>
      </c>
      <c r="T140" t="e">
        <f t="shared" ca="1" si="46"/>
        <v>#NAME?</v>
      </c>
      <c r="U140" t="e">
        <f t="shared" ca="1" si="47"/>
        <v>#NAME?</v>
      </c>
      <c r="V140" t="e">
        <f t="shared" ca="1" si="48"/>
        <v>#NAME?</v>
      </c>
      <c r="W140" t="e">
        <f t="shared" ca="1" si="49"/>
        <v>#NAME?</v>
      </c>
      <c r="X140" t="e">
        <f t="shared" ca="1" si="50"/>
        <v>#NAME?</v>
      </c>
      <c r="Z140" s="12"/>
      <c r="AA140"/>
    </row>
    <row r="141" spans="1:34">
      <c r="A141" s="106" t="s">
        <v>242</v>
      </c>
      <c r="B141" s="107" t="str">
        <f t="shared" ref="B141:H141" si="53">B58</f>
        <v>Mon 27 Jul</v>
      </c>
      <c r="C141" s="107" t="str">
        <f t="shared" si="53"/>
        <v>Tues 28 Jul</v>
      </c>
      <c r="D141" s="107" t="str">
        <f t="shared" si="53"/>
        <v>Wed 29 Jul</v>
      </c>
      <c r="E141" s="107" t="str">
        <f t="shared" si="53"/>
        <v>Thu 30 Jul</v>
      </c>
      <c r="F141" s="107" t="str">
        <f t="shared" si="53"/>
        <v>Fri 31 Jul</v>
      </c>
      <c r="G141" s="107" t="str">
        <f t="shared" si="53"/>
        <v>Sat 1 Aug</v>
      </c>
      <c r="H141" s="107" t="str">
        <f t="shared" si="53"/>
        <v>Sun 2 Aug</v>
      </c>
    </row>
    <row r="142" spans="1:34">
      <c r="A142" s="27" t="s">
        <v>243</v>
      </c>
      <c r="B142" s="17">
        <f t="shared" ref="B142:H142" ca="1" si="54">COUNTIFS(J:J,"Red",R:R,"AM")</f>
        <v>0</v>
      </c>
      <c r="C142" s="17">
        <f t="shared" ca="1" si="54"/>
        <v>0</v>
      </c>
      <c r="D142" s="17">
        <f t="shared" ca="1" si="54"/>
        <v>0</v>
      </c>
      <c r="E142" s="17">
        <f t="shared" ca="1" si="54"/>
        <v>0</v>
      </c>
      <c r="F142" s="17">
        <f t="shared" ca="1" si="54"/>
        <v>0</v>
      </c>
      <c r="G142" s="17">
        <f t="shared" ca="1" si="54"/>
        <v>0</v>
      </c>
      <c r="H142" s="17">
        <f t="shared" ca="1" si="54"/>
        <v>0</v>
      </c>
    </row>
    <row r="143" spans="1:34">
      <c r="A143" s="2" t="s">
        <v>244</v>
      </c>
      <c r="B143" s="17">
        <f t="shared" ref="B143:H143" ca="1" si="55">COUNTIFS(J:J,"Green",R:R,"AM")</f>
        <v>0</v>
      </c>
      <c r="C143" s="17">
        <f t="shared" ca="1" si="55"/>
        <v>0</v>
      </c>
      <c r="D143" s="17">
        <f t="shared" ca="1" si="55"/>
        <v>0</v>
      </c>
      <c r="E143" s="17">
        <f t="shared" ca="1" si="55"/>
        <v>0</v>
      </c>
      <c r="F143" s="17">
        <f t="shared" ca="1" si="55"/>
        <v>0</v>
      </c>
      <c r="G143" s="17">
        <f t="shared" ca="1" si="55"/>
        <v>0</v>
      </c>
      <c r="H143" s="17">
        <f t="shared" ca="1" si="55"/>
        <v>0</v>
      </c>
    </row>
    <row r="144" spans="1:34">
      <c r="A144" s="26" t="s">
        <v>245</v>
      </c>
      <c r="B144" s="17">
        <f t="shared" ref="B144:H144" ca="1" si="56">COUNTIFS(J:J,"Gold",R:R,"AM")</f>
        <v>0</v>
      </c>
      <c r="C144" s="17">
        <f t="shared" ca="1" si="56"/>
        <v>0</v>
      </c>
      <c r="D144" s="17">
        <f t="shared" ca="1" si="56"/>
        <v>0</v>
      </c>
      <c r="E144" s="17">
        <f t="shared" ca="1" si="56"/>
        <v>0</v>
      </c>
      <c r="F144" s="17">
        <f t="shared" ca="1" si="56"/>
        <v>0</v>
      </c>
      <c r="G144" s="17">
        <f t="shared" ca="1" si="56"/>
        <v>0</v>
      </c>
      <c r="H144" s="17">
        <f t="shared" ca="1" si="56"/>
        <v>0</v>
      </c>
    </row>
    <row r="145" spans="1:26">
      <c r="A145" s="29" t="s">
        <v>246</v>
      </c>
      <c r="B145" s="17">
        <f t="shared" ref="B145:H145" ca="1" si="57">COUNTIFS(J:J,"LGreen",R:R,"AM")</f>
        <v>0</v>
      </c>
      <c r="C145" s="17">
        <f t="shared" ca="1" si="57"/>
        <v>0</v>
      </c>
      <c r="D145" s="17">
        <f t="shared" ca="1" si="57"/>
        <v>0</v>
      </c>
      <c r="E145" s="17">
        <f t="shared" ca="1" si="57"/>
        <v>0</v>
      </c>
      <c r="F145" s="17">
        <f t="shared" ca="1" si="57"/>
        <v>0</v>
      </c>
      <c r="G145" s="17">
        <f t="shared" ca="1" si="57"/>
        <v>0</v>
      </c>
      <c r="H145" s="17">
        <f t="shared" ca="1" si="57"/>
        <v>0</v>
      </c>
    </row>
    <row r="146" spans="1:26">
      <c r="A146" s="43" t="s">
        <v>26</v>
      </c>
      <c r="B146" s="17">
        <f t="shared" ref="B146:H146" ca="1" si="58">COUNTIFS(J:J,"Blue",R:R,"AM")</f>
        <v>0</v>
      </c>
      <c r="C146" s="17">
        <f t="shared" ca="1" si="58"/>
        <v>0</v>
      </c>
      <c r="D146" s="17">
        <f t="shared" ca="1" si="58"/>
        <v>0</v>
      </c>
      <c r="E146" s="17">
        <f t="shared" ca="1" si="58"/>
        <v>0</v>
      </c>
      <c r="F146" s="17">
        <f t="shared" ca="1" si="58"/>
        <v>0</v>
      </c>
      <c r="G146" s="17">
        <f t="shared" ca="1" si="58"/>
        <v>0</v>
      </c>
      <c r="H146" s="17">
        <f t="shared" ca="1" si="58"/>
        <v>0</v>
      </c>
    </row>
    <row r="147" spans="1:26">
      <c r="A147" s="3" t="s">
        <v>16</v>
      </c>
      <c r="B147" s="17">
        <f t="shared" ref="B147:H147" ca="1" si="59">COUNTIFS(J:J,"Pink",R:R,"AM")</f>
        <v>0</v>
      </c>
      <c r="C147" s="17">
        <f t="shared" ca="1" si="59"/>
        <v>0</v>
      </c>
      <c r="D147" s="17">
        <f t="shared" ca="1" si="59"/>
        <v>0</v>
      </c>
      <c r="E147" s="17">
        <f t="shared" ca="1" si="59"/>
        <v>0</v>
      </c>
      <c r="F147" s="17">
        <f t="shared" ca="1" si="59"/>
        <v>0</v>
      </c>
      <c r="G147" s="17">
        <f t="shared" ca="1" si="59"/>
        <v>0</v>
      </c>
      <c r="H147" s="17">
        <f t="shared" ca="1" si="59"/>
        <v>0</v>
      </c>
    </row>
    <row r="148" spans="1:26">
      <c r="A148" s="5" t="s">
        <v>247</v>
      </c>
      <c r="B148" s="17">
        <f t="shared" ref="B148:H148" ca="1" si="60">COUNTIFS(R:R,"AM") - B142-B143-B144-B145-B146-B147</f>
        <v>0</v>
      </c>
      <c r="C148" s="17">
        <f t="shared" ca="1" si="60"/>
        <v>0</v>
      </c>
      <c r="D148" s="17">
        <f t="shared" ca="1" si="60"/>
        <v>0</v>
      </c>
      <c r="E148" s="17">
        <f t="shared" ca="1" si="60"/>
        <v>0</v>
      </c>
      <c r="F148" s="17">
        <f t="shared" ca="1" si="60"/>
        <v>0</v>
      </c>
      <c r="G148" s="17">
        <f t="shared" ca="1" si="60"/>
        <v>0</v>
      </c>
      <c r="H148" s="17">
        <f t="shared" ca="1" si="60"/>
        <v>0</v>
      </c>
    </row>
    <row r="149" spans="1:26" s="46" customFormat="1">
      <c r="A149" s="45" t="s">
        <v>248</v>
      </c>
      <c r="B149" s="47">
        <f ca="1">SUM(B142:B147)</f>
        <v>0</v>
      </c>
      <c r="C149" s="47">
        <f t="shared" ref="C149:H149" ca="1" si="61">SUM(C142:C147)</f>
        <v>0</v>
      </c>
      <c r="D149" s="47">
        <f t="shared" ca="1" si="61"/>
        <v>0</v>
      </c>
      <c r="E149" s="47">
        <f t="shared" ca="1" si="61"/>
        <v>0</v>
      </c>
      <c r="F149" s="47">
        <f t="shared" ca="1" si="61"/>
        <v>0</v>
      </c>
      <c r="G149" s="47">
        <f t="shared" ca="1" si="61"/>
        <v>0</v>
      </c>
      <c r="H149" s="47">
        <f t="shared" ca="1" si="61"/>
        <v>0</v>
      </c>
      <c r="Z149" s="48"/>
    </row>
    <row r="150" spans="1:26">
      <c r="A150" s="27" t="s">
        <v>249</v>
      </c>
      <c r="B150" s="17">
        <f t="shared" ref="B150:H150" ca="1" si="62">COUNTIFS(J:J,"Red",R:R,"PM")</f>
        <v>0</v>
      </c>
      <c r="C150" s="17">
        <f t="shared" ca="1" si="62"/>
        <v>0</v>
      </c>
      <c r="D150" s="17">
        <f t="shared" ca="1" si="62"/>
        <v>0</v>
      </c>
      <c r="E150" s="17">
        <f t="shared" ca="1" si="62"/>
        <v>0</v>
      </c>
      <c r="F150" s="17">
        <f t="shared" ca="1" si="62"/>
        <v>0</v>
      </c>
      <c r="G150" s="17">
        <f t="shared" ca="1" si="62"/>
        <v>0</v>
      </c>
      <c r="H150" s="17">
        <f t="shared" ca="1" si="62"/>
        <v>0</v>
      </c>
    </row>
    <row r="151" spans="1:26">
      <c r="A151" s="2" t="s">
        <v>250</v>
      </c>
      <c r="B151" s="17">
        <f t="shared" ref="B151:H151" ca="1" si="63">COUNTIFS(J:J,"Green",R:R,"PM")</f>
        <v>0</v>
      </c>
      <c r="C151" s="17">
        <f t="shared" ca="1" si="63"/>
        <v>0</v>
      </c>
      <c r="D151" s="17">
        <f t="shared" ca="1" si="63"/>
        <v>0</v>
      </c>
      <c r="E151" s="17">
        <f t="shared" ca="1" si="63"/>
        <v>0</v>
      </c>
      <c r="F151" s="17">
        <f t="shared" ca="1" si="63"/>
        <v>0</v>
      </c>
      <c r="G151" s="17">
        <f t="shared" ca="1" si="63"/>
        <v>0</v>
      </c>
      <c r="H151" s="17">
        <f t="shared" ca="1" si="63"/>
        <v>0</v>
      </c>
    </row>
    <row r="152" spans="1:26">
      <c r="A152" s="26" t="s">
        <v>251</v>
      </c>
      <c r="B152" s="17">
        <f t="shared" ref="B152:H152" ca="1" si="64">COUNTIFS(J:J,"Gold",R:R,"PM")</f>
        <v>0</v>
      </c>
      <c r="C152" s="17">
        <f t="shared" ca="1" si="64"/>
        <v>0</v>
      </c>
      <c r="D152" s="17">
        <f t="shared" ca="1" si="64"/>
        <v>0</v>
      </c>
      <c r="E152" s="17">
        <f t="shared" ca="1" si="64"/>
        <v>0</v>
      </c>
      <c r="F152" s="17">
        <f t="shared" ca="1" si="64"/>
        <v>0</v>
      </c>
      <c r="G152" s="17">
        <f t="shared" ca="1" si="64"/>
        <v>0</v>
      </c>
      <c r="H152" s="17">
        <f t="shared" ca="1" si="64"/>
        <v>0</v>
      </c>
    </row>
    <row r="153" spans="1:26">
      <c r="A153" s="29" t="s">
        <v>252</v>
      </c>
      <c r="B153" s="17">
        <f t="shared" ref="B153:H153" ca="1" si="65">COUNTIFS(J:J,"LGreen",R:R,"PM")</f>
        <v>0</v>
      </c>
      <c r="C153" s="17">
        <f t="shared" ca="1" si="65"/>
        <v>0</v>
      </c>
      <c r="D153" s="17">
        <f t="shared" ca="1" si="65"/>
        <v>0</v>
      </c>
      <c r="E153" s="17">
        <f t="shared" ca="1" si="65"/>
        <v>0</v>
      </c>
      <c r="F153" s="17">
        <f t="shared" ca="1" si="65"/>
        <v>0</v>
      </c>
      <c r="G153" s="17">
        <f t="shared" ca="1" si="65"/>
        <v>0</v>
      </c>
      <c r="H153" s="17">
        <f t="shared" ca="1" si="65"/>
        <v>0</v>
      </c>
    </row>
    <row r="154" spans="1:26">
      <c r="A154" s="10" t="s">
        <v>253</v>
      </c>
      <c r="B154" s="17">
        <f t="shared" ref="B154:H154" ca="1" si="66">COUNTIFS(J:J,"Blue",R:R,"PM")</f>
        <v>0</v>
      </c>
      <c r="C154" s="17">
        <f t="shared" ca="1" si="66"/>
        <v>0</v>
      </c>
      <c r="D154" s="17">
        <f t="shared" ca="1" si="66"/>
        <v>0</v>
      </c>
      <c r="E154" s="17">
        <f t="shared" ca="1" si="66"/>
        <v>0</v>
      </c>
      <c r="F154" s="17">
        <f t="shared" ca="1" si="66"/>
        <v>0</v>
      </c>
      <c r="G154" s="17">
        <f t="shared" ca="1" si="66"/>
        <v>0</v>
      </c>
      <c r="H154" s="17">
        <f t="shared" ca="1" si="66"/>
        <v>0</v>
      </c>
    </row>
    <row r="155" spans="1:26">
      <c r="A155" s="3" t="s">
        <v>59</v>
      </c>
      <c r="B155" s="17">
        <f t="shared" ref="B155:H155" ca="1" si="67">COUNTIFS(J:J,"Pink",R:R,"PM")</f>
        <v>0</v>
      </c>
      <c r="C155" s="17">
        <f t="shared" ca="1" si="67"/>
        <v>0</v>
      </c>
      <c r="D155" s="17">
        <f t="shared" ca="1" si="67"/>
        <v>0</v>
      </c>
      <c r="E155" s="17">
        <f t="shared" ca="1" si="67"/>
        <v>0</v>
      </c>
      <c r="F155" s="17">
        <f t="shared" ca="1" si="67"/>
        <v>0</v>
      </c>
      <c r="G155" s="17">
        <f t="shared" ca="1" si="67"/>
        <v>0</v>
      </c>
      <c r="H155" s="17">
        <f t="shared" ca="1" si="67"/>
        <v>0</v>
      </c>
    </row>
    <row r="156" spans="1:26">
      <c r="A156" s="5" t="s">
        <v>254</v>
      </c>
      <c r="B156" s="17">
        <f t="shared" ref="B156:H156" ca="1" si="68">COUNTIFS(R:R,"PM") -B151-B152-B155-B154-B150-B153</f>
        <v>0</v>
      </c>
      <c r="C156" s="17">
        <f t="shared" ca="1" si="68"/>
        <v>0</v>
      </c>
      <c r="D156" s="17">
        <f t="shared" ca="1" si="68"/>
        <v>0</v>
      </c>
      <c r="E156" s="17">
        <f t="shared" ca="1" si="68"/>
        <v>0</v>
      </c>
      <c r="F156" s="17">
        <f t="shared" ca="1" si="68"/>
        <v>0</v>
      </c>
      <c r="G156" s="17">
        <f t="shared" ca="1" si="68"/>
        <v>0</v>
      </c>
      <c r="H156" s="17">
        <f t="shared" ca="1" si="68"/>
        <v>0</v>
      </c>
    </row>
    <row r="157" spans="1:26" s="46" customFormat="1">
      <c r="A157" s="45" t="s">
        <v>255</v>
      </c>
      <c r="B157" s="47">
        <f ca="1">SUM(B150:B155)</f>
        <v>0</v>
      </c>
      <c r="C157" s="47">
        <f t="shared" ref="C157:H157" ca="1" si="69">SUM(C150:C155)</f>
        <v>0</v>
      </c>
      <c r="D157" s="47">
        <f t="shared" ca="1" si="69"/>
        <v>0</v>
      </c>
      <c r="E157" s="47">
        <f t="shared" ca="1" si="69"/>
        <v>0</v>
      </c>
      <c r="F157" s="47">
        <f t="shared" ca="1" si="69"/>
        <v>0</v>
      </c>
      <c r="G157" s="47">
        <f t="shared" ca="1" si="69"/>
        <v>0</v>
      </c>
      <c r="H157" s="47">
        <f t="shared" ca="1" si="69"/>
        <v>0</v>
      </c>
      <c r="Z157" s="48"/>
    </row>
    <row r="158" spans="1:26">
      <c r="A158" s="4" t="s">
        <v>256</v>
      </c>
      <c r="B158" s="17">
        <f t="shared" ref="B158:H158" ca="1" si="70">COUNTIFS(R:R,"ND")</f>
        <v>0</v>
      </c>
      <c r="C158" s="17">
        <f t="shared" ca="1" si="70"/>
        <v>0</v>
      </c>
      <c r="D158" s="17">
        <f t="shared" ca="1" si="70"/>
        <v>0</v>
      </c>
      <c r="E158" s="17">
        <f t="shared" ca="1" si="70"/>
        <v>0</v>
      </c>
      <c r="F158" s="17">
        <f t="shared" ca="1" si="70"/>
        <v>0</v>
      </c>
      <c r="G158" s="17">
        <f t="shared" ca="1" si="70"/>
        <v>0</v>
      </c>
      <c r="H158" s="17">
        <f t="shared" ca="1" si="70"/>
        <v>0</v>
      </c>
    </row>
    <row r="159" spans="1:26">
      <c r="I159" s="9"/>
    </row>
    <row r="160" spans="1:26">
      <c r="A160" s="8"/>
      <c r="B160" s="18"/>
      <c r="C160" s="18"/>
      <c r="D160" s="19"/>
      <c r="E160" s="18"/>
      <c r="F160" s="18"/>
      <c r="G160" s="18"/>
      <c r="H160" s="20"/>
      <c r="Z160" s="23"/>
    </row>
    <row r="161" spans="4:4">
      <c r="D161" s="19"/>
    </row>
  </sheetData>
  <sortState xmlns:xlrd2="http://schemas.microsoft.com/office/spreadsheetml/2017/richdata2" ref="A87:A94">
    <sortCondition ref="A87"/>
  </sortState>
  <mergeCells count="24">
    <mergeCell ref="B49:H49"/>
    <mergeCell ref="G109:H109"/>
    <mergeCell ref="B131:H131"/>
    <mergeCell ref="B132:H132"/>
    <mergeCell ref="B102:H102"/>
    <mergeCell ref="B73:H73"/>
    <mergeCell ref="B82:H82"/>
    <mergeCell ref="B83:H83"/>
    <mergeCell ref="B89:H89"/>
    <mergeCell ref="G62:H62"/>
    <mergeCell ref="B110:H110"/>
    <mergeCell ref="B112:H112"/>
    <mergeCell ref="B121:H121"/>
    <mergeCell ref="B5:H5"/>
    <mergeCell ref="B13:H13"/>
    <mergeCell ref="B14:H14"/>
    <mergeCell ref="B21:H21"/>
    <mergeCell ref="B27:H27"/>
    <mergeCell ref="B48:H48"/>
    <mergeCell ref="B28:H28"/>
    <mergeCell ref="B31:H31"/>
    <mergeCell ref="B33:H33"/>
    <mergeCell ref="B41:H41"/>
    <mergeCell ref="B42:H42"/>
  </mergeCells>
  <phoneticPr fontId="12" type="noConversion"/>
  <conditionalFormatting sqref="B145:H145 B147:H147 B153:H153 B155:H155">
    <cfRule type="cellIs" dxfId="5" priority="4" operator="lessThan">
      <formula>2</formula>
    </cfRule>
  </conditionalFormatting>
  <conditionalFormatting sqref="B146:H146">
    <cfRule type="cellIs" dxfId="4" priority="2" operator="lessThan">
      <formula>2</formula>
    </cfRule>
  </conditionalFormatting>
  <conditionalFormatting sqref="B143:H144 B151:H152">
    <cfRule type="cellIs" dxfId="3" priority="5" operator="lessThan">
      <formula>4</formula>
    </cfRule>
  </conditionalFormatting>
  <conditionalFormatting sqref="B142:H142 B150:H150">
    <cfRule type="cellIs" dxfId="2" priority="6" operator="lessThan">
      <formula>2</formula>
    </cfRule>
  </conditionalFormatting>
  <conditionalFormatting sqref="B158:H158">
    <cfRule type="cellIs" dxfId="1" priority="3" operator="lessThan">
      <formula>7</formula>
    </cfRule>
  </conditionalFormatting>
  <conditionalFormatting sqref="B154:H154">
    <cfRule type="cellIs" dxfId="0" priority="1" operator="lessThan">
      <formula>1</formula>
    </cfRule>
  </conditionalFormatting>
  <printOptions horizontalCentered="1" verticalCentered="1"/>
  <pageMargins left="0.31496062992125984" right="0.31496062992125984" top="0.15748031496062992" bottom="0.15748031496062992" header="0.31496062992125984" footer="0.31496062992125984"/>
  <pageSetup paperSize="8" scale="53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H67"/>
  <sheetViews>
    <sheetView workbookViewId="0">
      <selection activeCell="E10" sqref="E10"/>
    </sheetView>
  </sheetViews>
  <sheetFormatPr defaultRowHeight="15"/>
  <cols>
    <col min="1" max="1" width="15.85546875" customWidth="1"/>
    <col min="2" max="8" width="14.5703125" style="62" customWidth="1"/>
  </cols>
  <sheetData>
    <row r="1" spans="1:8" ht="52.5" customHeight="1" thickBot="1">
      <c r="A1" s="78" t="s">
        <v>465</v>
      </c>
      <c r="B1" s="79"/>
      <c r="C1" s="79"/>
      <c r="D1" s="79"/>
      <c r="E1" s="80"/>
      <c r="F1" s="81"/>
      <c r="G1" s="133"/>
      <c r="H1" s="133"/>
    </row>
    <row r="2" spans="1:8" ht="33" customHeight="1" thickBot="1">
      <c r="A2" s="82" t="s">
        <v>466</v>
      </c>
      <c r="B2" s="83" t="s">
        <v>1</v>
      </c>
      <c r="C2" s="84" t="s">
        <v>2</v>
      </c>
      <c r="D2" s="84" t="s">
        <v>3</v>
      </c>
      <c r="E2" s="84" t="s">
        <v>4</v>
      </c>
      <c r="F2" s="84" t="s">
        <v>5</v>
      </c>
      <c r="G2" s="84" t="s">
        <v>6</v>
      </c>
      <c r="H2" s="85" t="s">
        <v>7</v>
      </c>
    </row>
    <row r="3" spans="1:8" ht="21.95" customHeight="1">
      <c r="A3" s="86"/>
      <c r="B3" s="72"/>
      <c r="C3" s="73"/>
      <c r="D3" s="73"/>
      <c r="E3" s="73"/>
      <c r="F3" s="73"/>
      <c r="G3" s="73"/>
      <c r="H3" s="74"/>
    </row>
    <row r="4" spans="1:8" ht="21.95" customHeight="1">
      <c r="A4" s="87"/>
      <c r="B4" s="75"/>
      <c r="C4" s="76"/>
      <c r="D4" s="76"/>
      <c r="E4" s="76"/>
      <c r="F4" s="76"/>
      <c r="G4" s="76"/>
      <c r="H4" s="77"/>
    </row>
    <row r="5" spans="1:8" ht="21.95" customHeight="1">
      <c r="A5" s="87"/>
      <c r="B5" s="63"/>
      <c r="C5" s="64"/>
      <c r="D5" s="64"/>
      <c r="E5" s="64"/>
      <c r="F5" s="64"/>
      <c r="G5" s="64"/>
      <c r="H5" s="65"/>
    </row>
    <row r="6" spans="1:8" ht="21.95" customHeight="1">
      <c r="A6" s="87"/>
      <c r="B6" s="63"/>
      <c r="C6" s="64"/>
      <c r="D6" s="64"/>
      <c r="E6" s="64"/>
      <c r="F6" s="64"/>
      <c r="G6" s="64"/>
      <c r="H6" s="65"/>
    </row>
    <row r="7" spans="1:8" ht="21.95" customHeight="1">
      <c r="A7" s="87"/>
      <c r="B7" s="63"/>
      <c r="C7" s="64"/>
      <c r="D7" s="64"/>
      <c r="E7" s="64"/>
      <c r="F7" s="64"/>
      <c r="G7" s="64"/>
      <c r="H7" s="65"/>
    </row>
    <row r="8" spans="1:8" ht="21.95" customHeight="1">
      <c r="A8" s="87"/>
      <c r="B8" s="63"/>
      <c r="C8" s="64"/>
      <c r="D8" s="64"/>
      <c r="E8" s="64"/>
      <c r="F8" s="64"/>
      <c r="G8" s="64"/>
      <c r="H8" s="66"/>
    </row>
    <row r="9" spans="1:8" ht="21.95" customHeight="1">
      <c r="A9" s="87"/>
      <c r="B9" s="63"/>
      <c r="C9" s="64"/>
      <c r="D9" s="64"/>
      <c r="E9" s="64"/>
      <c r="F9" s="64"/>
      <c r="G9" s="64"/>
      <c r="H9" s="66"/>
    </row>
    <row r="10" spans="1:8" ht="21.95" customHeight="1">
      <c r="A10" s="87"/>
      <c r="B10" s="63"/>
      <c r="C10" s="64"/>
      <c r="D10" s="64"/>
      <c r="E10" s="64"/>
      <c r="F10" s="67"/>
      <c r="G10" s="64"/>
      <c r="H10" s="65"/>
    </row>
    <row r="11" spans="1:8" ht="21.95" customHeight="1">
      <c r="A11" s="87"/>
      <c r="B11" s="63"/>
      <c r="C11" s="64"/>
      <c r="D11" s="64"/>
      <c r="E11" s="64"/>
      <c r="F11" s="64"/>
      <c r="G11" s="67"/>
      <c r="H11" s="65"/>
    </row>
    <row r="12" spans="1:8" ht="21.95" customHeight="1">
      <c r="A12" s="87"/>
      <c r="B12" s="63"/>
      <c r="C12" s="64"/>
      <c r="D12" s="67"/>
      <c r="E12" s="64"/>
      <c r="F12" s="64"/>
      <c r="G12" s="64"/>
      <c r="H12" s="65"/>
    </row>
    <row r="13" spans="1:8" ht="21.95" customHeight="1">
      <c r="A13" s="87"/>
      <c r="B13" s="63"/>
      <c r="C13" s="64"/>
      <c r="D13" s="64"/>
      <c r="E13" s="64"/>
      <c r="F13" s="64"/>
      <c r="G13" s="64"/>
      <c r="H13" s="65"/>
    </row>
    <row r="14" spans="1:8" ht="21.95" customHeight="1">
      <c r="A14" s="87"/>
      <c r="B14" s="63"/>
      <c r="C14" s="64"/>
      <c r="D14" s="64"/>
      <c r="E14" s="64"/>
      <c r="F14" s="64"/>
      <c r="G14" s="64"/>
      <c r="H14" s="65"/>
    </row>
    <row r="15" spans="1:8" ht="21.95" customHeight="1" thickBot="1">
      <c r="A15" s="88"/>
      <c r="B15" s="68"/>
      <c r="C15" s="69"/>
      <c r="D15" s="69"/>
      <c r="E15" s="69"/>
      <c r="F15" s="70"/>
      <c r="G15" s="69"/>
      <c r="H15" s="71"/>
    </row>
    <row r="16" spans="1:8" ht="21.95" customHeight="1">
      <c r="A16" s="58"/>
      <c r="B16" s="59"/>
      <c r="C16" s="59"/>
      <c r="D16" s="60"/>
      <c r="E16" s="59"/>
      <c r="F16" s="59"/>
      <c r="G16" s="59"/>
      <c r="H16" s="59"/>
    </row>
    <row r="17" spans="1:8" ht="21.95" customHeight="1">
      <c r="A17" s="58"/>
      <c r="B17" s="59"/>
      <c r="C17" s="59"/>
      <c r="D17" s="61"/>
      <c r="E17" s="59"/>
      <c r="F17" s="60"/>
      <c r="G17" s="59"/>
      <c r="H17" s="59"/>
    </row>
    <row r="18" spans="1:8">
      <c r="A18" s="89"/>
    </row>
    <row r="19" spans="1:8">
      <c r="A19" s="89"/>
    </row>
    <row r="20" spans="1:8">
      <c r="A20" s="89"/>
    </row>
    <row r="21" spans="1:8">
      <c r="A21" s="89"/>
    </row>
    <row r="22" spans="1:8">
      <c r="A22" s="89"/>
    </row>
    <row r="23" spans="1:8">
      <c r="A23" s="89"/>
    </row>
    <row r="24" spans="1:8">
      <c r="A24" s="89"/>
    </row>
    <row r="25" spans="1:8">
      <c r="A25" s="89"/>
    </row>
    <row r="26" spans="1:8">
      <c r="A26" s="89"/>
    </row>
    <row r="27" spans="1:8">
      <c r="A27" s="89"/>
    </row>
    <row r="28" spans="1:8">
      <c r="A28" s="89"/>
    </row>
    <row r="29" spans="1:8">
      <c r="A29" s="89"/>
    </row>
    <row r="30" spans="1:8">
      <c r="A30" s="89"/>
    </row>
    <row r="31" spans="1:8">
      <c r="A31" s="89"/>
    </row>
    <row r="32" spans="1:8">
      <c r="A32" s="89"/>
    </row>
    <row r="33" spans="1:1">
      <c r="A33" s="89"/>
    </row>
    <row r="34" spans="1:1">
      <c r="A34" s="89"/>
    </row>
    <row r="35" spans="1:1">
      <c r="A35" s="89"/>
    </row>
    <row r="36" spans="1:1">
      <c r="A36" s="89"/>
    </row>
    <row r="37" spans="1:1">
      <c r="A37" s="89"/>
    </row>
    <row r="38" spans="1:1">
      <c r="A38" s="89"/>
    </row>
    <row r="39" spans="1:1">
      <c r="A39" s="89"/>
    </row>
    <row r="40" spans="1:1">
      <c r="A40" s="89"/>
    </row>
    <row r="41" spans="1:1">
      <c r="A41" s="89"/>
    </row>
    <row r="42" spans="1:1">
      <c r="A42" s="89"/>
    </row>
    <row r="43" spans="1:1">
      <c r="A43" s="89"/>
    </row>
    <row r="44" spans="1:1">
      <c r="A44" s="89"/>
    </row>
    <row r="45" spans="1:1">
      <c r="A45" s="89"/>
    </row>
    <row r="46" spans="1:1">
      <c r="A46" s="89"/>
    </row>
    <row r="47" spans="1:1">
      <c r="A47" s="89"/>
    </row>
    <row r="48" spans="1:1">
      <c r="A48" s="89"/>
    </row>
    <row r="49" spans="1:1">
      <c r="A49" s="89"/>
    </row>
    <row r="50" spans="1:1">
      <c r="A50" s="89"/>
    </row>
    <row r="51" spans="1:1">
      <c r="A51" s="89"/>
    </row>
    <row r="52" spans="1:1">
      <c r="A52" s="89"/>
    </row>
    <row r="53" spans="1:1">
      <c r="A53" s="89"/>
    </row>
    <row r="54" spans="1:1">
      <c r="A54" s="89"/>
    </row>
    <row r="55" spans="1:1">
      <c r="A55" s="89"/>
    </row>
    <row r="56" spans="1:1">
      <c r="A56" s="89"/>
    </row>
    <row r="57" spans="1:1">
      <c r="A57" s="89"/>
    </row>
    <row r="58" spans="1:1">
      <c r="A58" s="89"/>
    </row>
    <row r="59" spans="1:1">
      <c r="A59" s="89"/>
    </row>
    <row r="60" spans="1:1">
      <c r="A60" s="89"/>
    </row>
    <row r="61" spans="1:1">
      <c r="A61" s="89"/>
    </row>
    <row r="62" spans="1:1">
      <c r="A62" s="89"/>
    </row>
    <row r="63" spans="1:1">
      <c r="A63" s="89"/>
    </row>
    <row r="64" spans="1:1">
      <c r="A64" s="89"/>
    </row>
    <row r="65" spans="1:1">
      <c r="A65" s="89"/>
    </row>
    <row r="66" spans="1:1">
      <c r="A66" s="89"/>
    </row>
    <row r="67" spans="1:1">
      <c r="A67" s="89"/>
    </row>
  </sheetData>
  <mergeCells count="1">
    <mergeCell ref="G1:H1"/>
  </mergeCells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G36"/>
  <sheetViews>
    <sheetView workbookViewId="0">
      <selection activeCell="G1" sqref="E1:G1"/>
    </sheetView>
  </sheetViews>
  <sheetFormatPr defaultRowHeight="21"/>
  <cols>
    <col min="1" max="1" width="22.5703125" style="30" bestFit="1" customWidth="1"/>
    <col min="2" max="2" width="32.7109375" customWidth="1"/>
    <col min="3" max="3" width="16.5703125" bestFit="1" customWidth="1"/>
    <col min="4" max="4" width="34.85546875" customWidth="1"/>
    <col min="5" max="5" width="14" bestFit="1" customWidth="1"/>
    <col min="6" max="6" width="35.42578125" customWidth="1"/>
    <col min="7" max="7" width="20.42578125" customWidth="1"/>
  </cols>
  <sheetData>
    <row r="1" spans="1:7" s="30" customFormat="1">
      <c r="A1" s="30" t="s">
        <v>467</v>
      </c>
      <c r="B1" s="30" t="s">
        <v>7</v>
      </c>
      <c r="C1" s="31">
        <v>46152</v>
      </c>
    </row>
    <row r="2" spans="1:7" ht="21.75" thickBot="1"/>
    <row r="3" spans="1:7" s="30" customFormat="1" ht="21.75" thickBot="1">
      <c r="B3" s="32" t="s">
        <v>288</v>
      </c>
      <c r="C3" s="33"/>
      <c r="D3" s="32" t="s">
        <v>337</v>
      </c>
      <c r="E3" s="33"/>
      <c r="F3" s="32" t="s">
        <v>256</v>
      </c>
      <c r="G3" s="34"/>
    </row>
    <row r="4" spans="1:7">
      <c r="A4" s="40" t="s">
        <v>468</v>
      </c>
      <c r="B4" s="97" t="s">
        <v>65</v>
      </c>
      <c r="C4" s="98" t="s">
        <v>45</v>
      </c>
      <c r="D4" s="97" t="s">
        <v>30</v>
      </c>
      <c r="E4" s="98" t="s">
        <v>32</v>
      </c>
      <c r="F4" s="97" t="s">
        <v>121</v>
      </c>
      <c r="G4" s="99" t="s">
        <v>123</v>
      </c>
    </row>
    <row r="5" spans="1:7">
      <c r="A5" s="35"/>
      <c r="B5" s="92" t="s">
        <v>221</v>
      </c>
      <c r="C5" t="s">
        <v>118</v>
      </c>
      <c r="D5" s="92"/>
      <c r="F5" s="92" t="s">
        <v>151</v>
      </c>
      <c r="G5" s="95" t="s">
        <v>469</v>
      </c>
    </row>
    <row r="6" spans="1:7" ht="21.75" thickBot="1">
      <c r="A6" s="35"/>
      <c r="B6" s="92"/>
      <c r="D6" s="92"/>
      <c r="F6" s="92" t="s">
        <v>167</v>
      </c>
      <c r="G6" s="95" t="s">
        <v>152</v>
      </c>
    </row>
    <row r="7" spans="1:7">
      <c r="A7" s="38" t="s">
        <v>470</v>
      </c>
      <c r="B7" s="97" t="s">
        <v>44</v>
      </c>
      <c r="C7" s="98" t="s">
        <v>31</v>
      </c>
      <c r="D7" s="97" t="s">
        <v>80</v>
      </c>
      <c r="E7" s="98" t="s">
        <v>36</v>
      </c>
      <c r="F7" s="97" t="s">
        <v>169</v>
      </c>
      <c r="G7" s="99" t="s">
        <v>471</v>
      </c>
    </row>
    <row r="8" spans="1:7">
      <c r="A8" s="35"/>
      <c r="B8" s="92" t="s">
        <v>145</v>
      </c>
      <c r="C8" t="s">
        <v>118</v>
      </c>
      <c r="D8" s="92" t="s">
        <v>114</v>
      </c>
      <c r="E8" t="s">
        <v>116</v>
      </c>
      <c r="F8" s="92" t="s">
        <v>197</v>
      </c>
      <c r="G8" s="95" t="s">
        <v>152</v>
      </c>
    </row>
    <row r="9" spans="1:7">
      <c r="A9" s="35"/>
      <c r="B9" s="92" t="s">
        <v>162</v>
      </c>
      <c r="C9" t="s">
        <v>118</v>
      </c>
      <c r="D9" s="92" t="s">
        <v>174</v>
      </c>
      <c r="E9" t="s">
        <v>116</v>
      </c>
      <c r="F9" s="92" t="s">
        <v>206</v>
      </c>
      <c r="G9" s="95" t="s">
        <v>152</v>
      </c>
    </row>
    <row r="10" spans="1:7">
      <c r="A10" s="35"/>
      <c r="B10" s="92"/>
      <c r="D10" s="92" t="s">
        <v>208</v>
      </c>
      <c r="E10" t="s">
        <v>116</v>
      </c>
      <c r="F10" s="92" t="s">
        <v>212</v>
      </c>
      <c r="G10" s="95" t="s">
        <v>472</v>
      </c>
    </row>
    <row r="11" spans="1:7">
      <c r="A11" s="35"/>
      <c r="B11" s="92"/>
      <c r="D11" s="92"/>
      <c r="F11" s="92" t="s">
        <v>220</v>
      </c>
      <c r="G11" s="95" t="s">
        <v>152</v>
      </c>
    </row>
    <row r="12" spans="1:7" ht="21.75" thickBot="1">
      <c r="A12" s="35"/>
      <c r="B12" s="92"/>
      <c r="D12" s="92"/>
      <c r="F12" s="92"/>
      <c r="G12" s="95"/>
    </row>
    <row r="13" spans="1:7">
      <c r="A13" s="36" t="s">
        <v>473</v>
      </c>
      <c r="B13" s="97" t="s">
        <v>62</v>
      </c>
      <c r="C13" s="98" t="s">
        <v>31</v>
      </c>
      <c r="D13" s="97" t="s">
        <v>55</v>
      </c>
      <c r="E13" s="98" t="s">
        <v>36</v>
      </c>
      <c r="F13" s="97"/>
      <c r="G13" s="99"/>
    </row>
    <row r="14" spans="1:7">
      <c r="A14" s="35"/>
      <c r="B14" s="92" t="s">
        <v>201</v>
      </c>
      <c r="C14" t="s">
        <v>118</v>
      </c>
      <c r="D14" s="92" t="s">
        <v>156</v>
      </c>
      <c r="E14" t="s">
        <v>116</v>
      </c>
      <c r="F14" s="92"/>
      <c r="G14" s="95"/>
    </row>
    <row r="15" spans="1:7">
      <c r="A15" s="35"/>
      <c r="B15" s="92" t="s">
        <v>234</v>
      </c>
      <c r="C15" t="s">
        <v>118</v>
      </c>
      <c r="D15" s="92" t="s">
        <v>205</v>
      </c>
      <c r="E15" t="s">
        <v>116</v>
      </c>
      <c r="F15" s="92"/>
      <c r="G15" s="95"/>
    </row>
    <row r="16" spans="1:7">
      <c r="A16" s="35"/>
      <c r="B16" s="92"/>
      <c r="D16" s="92" t="s">
        <v>224</v>
      </c>
      <c r="E16" t="s">
        <v>116</v>
      </c>
      <c r="F16" s="92"/>
      <c r="G16" s="95"/>
    </row>
    <row r="17" spans="1:7">
      <c r="A17" s="35"/>
      <c r="B17" s="92"/>
      <c r="D17" s="92"/>
      <c r="F17" s="92"/>
      <c r="G17" s="95"/>
    </row>
    <row r="18" spans="1:7">
      <c r="A18" s="35"/>
      <c r="B18" s="92"/>
      <c r="D18" s="92"/>
      <c r="F18" s="92"/>
      <c r="G18" s="95"/>
    </row>
    <row r="19" spans="1:7" ht="21.75" thickBot="1">
      <c r="A19" s="35"/>
      <c r="B19" s="92"/>
      <c r="D19" s="92"/>
      <c r="F19" s="92"/>
      <c r="G19" s="95"/>
    </row>
    <row r="20" spans="1:7">
      <c r="A20" s="39" t="s">
        <v>474</v>
      </c>
      <c r="B20" s="97" t="s">
        <v>125</v>
      </c>
      <c r="C20" s="98" t="s">
        <v>119</v>
      </c>
      <c r="D20" s="97" t="s">
        <v>140</v>
      </c>
      <c r="E20" s="98" t="s">
        <v>115</v>
      </c>
      <c r="F20" s="97"/>
      <c r="G20" s="99"/>
    </row>
    <row r="21" spans="1:7">
      <c r="A21" s="35"/>
      <c r="B21" s="92" t="s">
        <v>213</v>
      </c>
      <c r="C21" t="s">
        <v>119</v>
      </c>
      <c r="D21" s="92" t="s">
        <v>168</v>
      </c>
      <c r="E21" t="s">
        <v>115</v>
      </c>
      <c r="F21" s="92"/>
      <c r="G21" s="95"/>
    </row>
    <row r="22" spans="1:7">
      <c r="A22" s="35"/>
      <c r="B22" s="92" t="s">
        <v>236</v>
      </c>
      <c r="C22" t="s">
        <v>241</v>
      </c>
      <c r="D22" s="92"/>
      <c r="F22" s="92"/>
      <c r="G22" s="95"/>
    </row>
    <row r="23" spans="1:7" ht="21.75" thickBot="1">
      <c r="A23" s="35"/>
      <c r="B23" s="92"/>
      <c r="D23" s="92"/>
      <c r="F23" s="92"/>
      <c r="G23" s="95"/>
    </row>
    <row r="24" spans="1:7">
      <c r="A24" s="41" t="s">
        <v>475</v>
      </c>
      <c r="B24" s="97" t="s">
        <v>22</v>
      </c>
      <c r="C24" s="98" t="s">
        <v>26</v>
      </c>
      <c r="D24" s="97" t="s">
        <v>188</v>
      </c>
      <c r="E24" s="98" t="s">
        <v>189</v>
      </c>
      <c r="F24" s="97"/>
      <c r="G24" s="99"/>
    </row>
    <row r="25" spans="1:7">
      <c r="A25" s="35"/>
      <c r="B25" s="92" t="s">
        <v>200</v>
      </c>
      <c r="C25" t="s">
        <v>186</v>
      </c>
      <c r="D25" s="92"/>
      <c r="F25" s="92"/>
      <c r="G25" s="95"/>
    </row>
    <row r="26" spans="1:7">
      <c r="A26" s="35"/>
      <c r="B26" s="92"/>
      <c r="D26" s="92"/>
      <c r="F26" s="92"/>
      <c r="G26" s="95"/>
    </row>
    <row r="27" spans="1:7" ht="21.75" thickBot="1">
      <c r="A27" s="35"/>
      <c r="B27" s="92"/>
      <c r="D27" s="92"/>
      <c r="F27" s="92"/>
      <c r="G27" s="95"/>
    </row>
    <row r="28" spans="1:7">
      <c r="A28" s="37" t="s">
        <v>476</v>
      </c>
      <c r="B28" s="97" t="s">
        <v>75</v>
      </c>
      <c r="C28" s="98" t="s">
        <v>16</v>
      </c>
      <c r="D28" s="97" t="s">
        <v>83</v>
      </c>
      <c r="E28" s="98" t="s">
        <v>59</v>
      </c>
      <c r="F28" s="97"/>
      <c r="G28" s="99"/>
    </row>
    <row r="29" spans="1:7">
      <c r="A29" s="35"/>
      <c r="B29" s="92" t="s">
        <v>176</v>
      </c>
      <c r="C29" t="s">
        <v>142</v>
      </c>
      <c r="D29" s="92" t="s">
        <v>183</v>
      </c>
      <c r="E29" t="s">
        <v>116</v>
      </c>
      <c r="F29" s="92"/>
      <c r="G29" s="95"/>
    </row>
    <row r="30" spans="1:7">
      <c r="A30" s="35"/>
      <c r="B30" s="92" t="s">
        <v>180</v>
      </c>
      <c r="C30" t="s">
        <v>182</v>
      </c>
      <c r="D30" s="92"/>
      <c r="F30" s="92"/>
      <c r="G30" s="95"/>
    </row>
    <row r="31" spans="1:7" ht="21.75" thickBot="1">
      <c r="A31" s="35"/>
      <c r="B31" s="92"/>
      <c r="D31" s="92"/>
      <c r="F31" s="92"/>
      <c r="G31" s="95"/>
    </row>
    <row r="32" spans="1:7">
      <c r="A32" s="32" t="s">
        <v>477</v>
      </c>
      <c r="B32" s="97" t="s">
        <v>112</v>
      </c>
      <c r="C32" s="98" t="s">
        <v>111</v>
      </c>
      <c r="D32" s="97" t="s">
        <v>147</v>
      </c>
      <c r="E32" s="98" t="s">
        <v>150</v>
      </c>
      <c r="F32" s="97"/>
      <c r="G32" s="99"/>
    </row>
    <row r="33" spans="1:7">
      <c r="A33" s="35"/>
      <c r="B33" s="92"/>
      <c r="D33" s="92" t="s">
        <v>232</v>
      </c>
      <c r="E33" t="s">
        <v>233</v>
      </c>
      <c r="F33" s="92"/>
      <c r="G33" s="95"/>
    </row>
    <row r="34" spans="1:7">
      <c r="A34" s="35"/>
      <c r="B34" s="92"/>
      <c r="D34" s="125" t="s">
        <v>171</v>
      </c>
      <c r="E34" s="126" t="s">
        <v>173</v>
      </c>
      <c r="F34" s="92"/>
      <c r="G34" s="95"/>
    </row>
    <row r="35" spans="1:7">
      <c r="A35" s="35"/>
      <c r="B35" s="92"/>
      <c r="D35" s="92"/>
      <c r="F35" s="92"/>
      <c r="G35" s="95"/>
    </row>
    <row r="36" spans="1:7" ht="21.75" thickBot="1">
      <c r="A36" s="49"/>
      <c r="B36" s="93"/>
      <c r="C36" s="94"/>
      <c r="D36" s="93"/>
      <c r="E36" s="94"/>
      <c r="F36" s="93"/>
      <c r="G36" s="96"/>
    </row>
  </sheetData>
  <printOptions horizontalCentered="1"/>
  <pageMargins left="0.31496062992125984" right="0.31496062992125984" top="0.35433070866141736" bottom="0.35433070866141736" header="0.31496062992125984" footer="0.31496062992125984"/>
  <pageSetup paperSize="9" scale="73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4d91bf-eaa8-49a5-8584-2ff95cd20d3a">
      <Terms xmlns="http://schemas.microsoft.com/office/infopath/2007/PartnerControls"/>
    </lcf76f155ced4ddcb4097134ff3c332f>
    <SharedWithUsers xmlns="fd277a2c-5365-4a98-abe1-ba888ee433d4">
      <UserInfo>
        <DisplayName>Sow Neng Pang</DisplayName>
        <AccountId>452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9F9A58D09A4C449EB7EA15230F2B48" ma:contentTypeVersion="12" ma:contentTypeDescription="Create a new document." ma:contentTypeScope="" ma:versionID="7b6193d07d90d146c20189e0c90dde25">
  <xsd:schema xmlns:xsd="http://www.w3.org/2001/XMLSchema" xmlns:xs="http://www.w3.org/2001/XMLSchema" xmlns:p="http://schemas.microsoft.com/office/2006/metadata/properties" xmlns:ns2="7a4d91bf-eaa8-49a5-8584-2ff95cd20d3a" xmlns:ns3="fd277a2c-5365-4a98-abe1-ba888ee433d4" targetNamespace="http://schemas.microsoft.com/office/2006/metadata/properties" ma:root="true" ma:fieldsID="3ceb0721979517bef44b5c376a80dde3" ns2:_="" ns3:_="">
    <xsd:import namespace="7a4d91bf-eaa8-49a5-8584-2ff95cd20d3a"/>
    <xsd:import namespace="fd277a2c-5365-4a98-abe1-ba888ee433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4d91bf-eaa8-49a5-8584-2ff95cd20d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498763fd-94b5-4da1-826f-f7dcd53e6d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77a2c-5365-4a98-abe1-ba888ee433d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887632-E36E-4EC7-873B-6D69FCAFCB85}"/>
</file>

<file path=customXml/itemProps2.xml><?xml version="1.0" encoding="utf-8"?>
<ds:datastoreItem xmlns:ds="http://schemas.openxmlformats.org/officeDocument/2006/customXml" ds:itemID="{AC47B9DE-2AB7-4C05-B613-88DB27DC1A6B}"/>
</file>

<file path=customXml/itemProps3.xml><?xml version="1.0" encoding="utf-8"?>
<ds:datastoreItem xmlns:ds="http://schemas.openxmlformats.org/officeDocument/2006/customXml" ds:itemID="{DFE65F62-8031-4A84-99F9-3D696E7E23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Southern Health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Leah Williams</dc:creator>
  <cp:keywords/>
  <dc:description/>
  <cp:lastModifiedBy>Leah Williams</cp:lastModifiedBy>
  <cp:revision/>
  <dcterms:created xsi:type="dcterms:W3CDTF">2014-01-12T22:55:30Z</dcterms:created>
  <dcterms:modified xsi:type="dcterms:W3CDTF">2026-05-08T04:51:56Z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0x010100FE9F9A58D09A4C449EB7EA15230F2B48</vt:lpwstr>
  </property>
  <property fmtid="{D5CDD505-2E9C-101B-9397-08002B2CF9AE}" pid="3" name="MediaServiceImageTags">
    <vt:lpwstr/>
  </property>
</Properties>
</file>